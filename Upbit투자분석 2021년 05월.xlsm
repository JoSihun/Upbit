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drawings/drawing4.xml" ContentType="application/vnd.openxmlformats-officedocument.drawing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drawings/drawing5.xml" ContentType="application/vnd.openxmlformats-officedocument.drawing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drawings/drawing6.xml" ContentType="application/vnd.openxmlformats-officedocument.drawing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drawings/drawing7.xml" ContentType="application/vnd.openxmlformats-officedocument.drawing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drawings/drawing8.xml" ContentType="application/vnd.openxmlformats-officedocument.drawing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drawings/drawing9.xml" ContentType="application/vnd.openxmlformats-officedocument.drawing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drawings/drawing10.xml" ContentType="application/vnd.openxmlformats-officedocument.drawing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E475C3B8-FA38-4D9D-9AF1-F99AC036BAB1}" xr6:coauthVersionLast="46" xr6:coauthVersionMax="46" xr10:uidLastSave="{00000000-0000-0000-0000-000000000000}"/>
  <bookViews>
    <workbookView xWindow="-120" yWindow="-120" windowWidth="29040" windowHeight="15840" firstSheet="1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5.01" sheetId="24" r:id="rId6"/>
    <sheet name="2021.05.02" sheetId="25" r:id="rId7"/>
    <sheet name="2021.05.03" sheetId="26" r:id="rId8"/>
    <sheet name="2021.05.04" sheetId="27" r:id="rId9"/>
    <sheet name="2021.05.05" sheetId="28" r:id="rId10"/>
  </sheets>
  <definedNames>
    <definedName name="_xlnm._FilterDatabase" localSheetId="5" hidden="1">'2021.05.01'!#REF!</definedName>
    <definedName name="_xlnm._FilterDatabase" localSheetId="6" hidden="1">'2021.05.02'!#REF!</definedName>
    <definedName name="_xlnm._FilterDatabase" localSheetId="7" hidden="1">'2021.05.03'!#REF!</definedName>
    <definedName name="_xlnm._FilterDatabase" localSheetId="8" hidden="1">'2021.05.04'!#REF!</definedName>
    <definedName name="_xlnm._FilterDatabase" localSheetId="9" hidden="1">'2021.05.05'!#REF!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9" l="1"/>
  <c r="A242" i="9"/>
  <c r="A204" i="9"/>
  <c r="A166" i="9"/>
  <c r="A128" i="9"/>
  <c r="A90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A52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199" i="28"/>
  <c r="O198" i="28"/>
  <c r="N198" i="28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E197" i="28"/>
  <c r="F197" i="28" s="1"/>
  <c r="O196" i="28"/>
  <c r="N196" i="28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E195" i="28"/>
  <c r="F195" i="28" s="1"/>
  <c r="O194" i="28"/>
  <c r="N194" i="28"/>
  <c r="L194" i="28"/>
  <c r="K194" i="28"/>
  <c r="H194" i="28"/>
  <c r="I194" i="28" s="1"/>
  <c r="E194" i="28"/>
  <c r="F194" i="28" s="1"/>
  <c r="O193" i="28"/>
  <c r="N193" i="28"/>
  <c r="K193" i="28"/>
  <c r="L193" i="28" s="1"/>
  <c r="H193" i="28"/>
  <c r="I193" i="28" s="1"/>
  <c r="E193" i="28"/>
  <c r="F193" i="28" s="1"/>
  <c r="O192" i="28"/>
  <c r="N192" i="28"/>
  <c r="K192" i="28"/>
  <c r="L192" i="28" s="1"/>
  <c r="H192" i="28"/>
  <c r="I192" i="28" s="1"/>
  <c r="E192" i="28"/>
  <c r="F192" i="28" s="1"/>
  <c r="O191" i="28"/>
  <c r="N191" i="28"/>
  <c r="K191" i="28"/>
  <c r="L191" i="28" s="1"/>
  <c r="H191" i="28"/>
  <c r="I191" i="28" s="1"/>
  <c r="E191" i="28"/>
  <c r="F191" i="28" s="1"/>
  <c r="O190" i="28"/>
  <c r="N190" i="28"/>
  <c r="L190" i="28"/>
  <c r="K190" i="28"/>
  <c r="H190" i="28"/>
  <c r="I190" i="28" s="1"/>
  <c r="E190" i="28"/>
  <c r="F190" i="28" s="1"/>
  <c r="O189" i="28"/>
  <c r="N189" i="28"/>
  <c r="K189" i="28"/>
  <c r="L189" i="28" s="1"/>
  <c r="I189" i="28"/>
  <c r="H189" i="28"/>
  <c r="E189" i="28"/>
  <c r="F189" i="28" s="1"/>
  <c r="O188" i="28"/>
  <c r="N188" i="28"/>
  <c r="L188" i="28"/>
  <c r="K188" i="28"/>
  <c r="H188" i="28"/>
  <c r="I188" i="28" s="1"/>
  <c r="E188" i="28"/>
  <c r="F188" i="28" s="1"/>
  <c r="O187" i="28"/>
  <c r="N187" i="28"/>
  <c r="L187" i="28"/>
  <c r="K187" i="28"/>
  <c r="H187" i="28"/>
  <c r="I187" i="28" s="1"/>
  <c r="E187" i="28"/>
  <c r="F187" i="28" s="1"/>
  <c r="O186" i="28"/>
  <c r="N186" i="28"/>
  <c r="K186" i="28"/>
  <c r="L186" i="28" s="1"/>
  <c r="H186" i="28"/>
  <c r="I186" i="28" s="1"/>
  <c r="E186" i="28"/>
  <c r="F186" i="28" s="1"/>
  <c r="O185" i="28"/>
  <c r="N185" i="28"/>
  <c r="K185" i="28"/>
  <c r="L185" i="28" s="1"/>
  <c r="H185" i="28"/>
  <c r="I185" i="28" s="1"/>
  <c r="E185" i="28"/>
  <c r="F185" i="28" s="1"/>
  <c r="O184" i="28"/>
  <c r="N184" i="28"/>
  <c r="L184" i="28"/>
  <c r="K184" i="28"/>
  <c r="H184" i="28"/>
  <c r="I184" i="28" s="1"/>
  <c r="E184" i="28"/>
  <c r="F184" i="28" s="1"/>
  <c r="O183" i="28"/>
  <c r="N183" i="28"/>
  <c r="L183" i="28"/>
  <c r="K183" i="28"/>
  <c r="H183" i="28"/>
  <c r="I183" i="28" s="1"/>
  <c r="E183" i="28"/>
  <c r="F183" i="28" s="1"/>
  <c r="O182" i="28"/>
  <c r="N182" i="28"/>
  <c r="K182" i="28"/>
  <c r="L182" i="28" s="1"/>
  <c r="H182" i="28"/>
  <c r="I182" i="28" s="1"/>
  <c r="E182" i="28"/>
  <c r="F182" i="28" s="1"/>
  <c r="O181" i="28"/>
  <c r="N181" i="28"/>
  <c r="K181" i="28"/>
  <c r="L181" i="28" s="1"/>
  <c r="H181" i="28"/>
  <c r="I181" i="28" s="1"/>
  <c r="E181" i="28"/>
  <c r="F181" i="28" s="1"/>
  <c r="O180" i="28"/>
  <c r="N180" i="28"/>
  <c r="L180" i="28"/>
  <c r="K180" i="28"/>
  <c r="H180" i="28"/>
  <c r="I180" i="28" s="1"/>
  <c r="E180" i="28"/>
  <c r="F180" i="28" s="1"/>
  <c r="O179" i="28"/>
  <c r="O199" i="28" s="1"/>
  <c r="N179" i="28"/>
  <c r="N199" i="28" s="1"/>
  <c r="L179" i="28"/>
  <c r="K179" i="28"/>
  <c r="H179" i="28"/>
  <c r="E179" i="28"/>
  <c r="M177" i="28"/>
  <c r="J177" i="28"/>
  <c r="G177" i="28"/>
  <c r="D177" i="28"/>
  <c r="B177" i="28"/>
  <c r="M176" i="28"/>
  <c r="G176" i="28"/>
  <c r="B172" i="28"/>
  <c r="O171" i="28"/>
  <c r="N171" i="28"/>
  <c r="K171" i="28"/>
  <c r="L171" i="28" s="1"/>
  <c r="H171" i="28"/>
  <c r="I171" i="28" s="1"/>
  <c r="E171" i="28"/>
  <c r="F171" i="28" s="1"/>
  <c r="O170" i="28"/>
  <c r="N170" i="28"/>
  <c r="K170" i="28"/>
  <c r="L170" i="28" s="1"/>
  <c r="H170" i="28"/>
  <c r="I170" i="28" s="1"/>
  <c r="E170" i="28"/>
  <c r="F170" i="28" s="1"/>
  <c r="O169" i="28"/>
  <c r="N169" i="28"/>
  <c r="K169" i="28"/>
  <c r="L169" i="28" s="1"/>
  <c r="H169" i="28"/>
  <c r="I169" i="28" s="1"/>
  <c r="E169" i="28"/>
  <c r="F169" i="28" s="1"/>
  <c r="O168" i="28"/>
  <c r="N168" i="28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O166" i="28"/>
  <c r="N166" i="28"/>
  <c r="K166" i="28"/>
  <c r="L166" i="28" s="1"/>
  <c r="I166" i="28"/>
  <c r="H166" i="28"/>
  <c r="E166" i="28"/>
  <c r="F166" i="28" s="1"/>
  <c r="O165" i="28"/>
  <c r="N165" i="28"/>
  <c r="K165" i="28"/>
  <c r="L165" i="28" s="1"/>
  <c r="H165" i="28"/>
  <c r="I165" i="28" s="1"/>
  <c r="E165" i="28"/>
  <c r="F165" i="28" s="1"/>
  <c r="O164" i="28"/>
  <c r="N164" i="28"/>
  <c r="K164" i="28"/>
  <c r="L164" i="28" s="1"/>
  <c r="I164" i="28"/>
  <c r="H164" i="28"/>
  <c r="E164" i="28"/>
  <c r="F164" i="28" s="1"/>
  <c r="O163" i="28"/>
  <c r="N163" i="28"/>
  <c r="L163" i="28"/>
  <c r="K163" i="28"/>
  <c r="H163" i="28"/>
  <c r="I163" i="28" s="1"/>
  <c r="E163" i="28"/>
  <c r="F163" i="28" s="1"/>
  <c r="O162" i="28"/>
  <c r="N162" i="28"/>
  <c r="K162" i="28"/>
  <c r="L162" i="28" s="1"/>
  <c r="I162" i="28"/>
  <c r="H162" i="28"/>
  <c r="E162" i="28"/>
  <c r="F162" i="28" s="1"/>
  <c r="O161" i="28"/>
  <c r="N161" i="28"/>
  <c r="K161" i="28"/>
  <c r="L161" i="28" s="1"/>
  <c r="H161" i="28"/>
  <c r="I161" i="28" s="1"/>
  <c r="E161" i="28"/>
  <c r="F161" i="28" s="1"/>
  <c r="O160" i="28"/>
  <c r="N160" i="28"/>
  <c r="K160" i="28"/>
  <c r="L160" i="28" s="1"/>
  <c r="H160" i="28"/>
  <c r="I160" i="28" s="1"/>
  <c r="E160" i="28"/>
  <c r="F160" i="28" s="1"/>
  <c r="O159" i="28"/>
  <c r="N159" i="28"/>
  <c r="L159" i="28"/>
  <c r="K159" i="28"/>
  <c r="H159" i="28"/>
  <c r="I159" i="28" s="1"/>
  <c r="E159" i="28"/>
  <c r="F159" i="28" s="1"/>
  <c r="O158" i="28"/>
  <c r="N158" i="28"/>
  <c r="K158" i="28"/>
  <c r="L158" i="28" s="1"/>
  <c r="I158" i="28"/>
  <c r="H158" i="28"/>
  <c r="E158" i="28"/>
  <c r="F158" i="28" s="1"/>
  <c r="O157" i="28"/>
  <c r="N157" i="28"/>
  <c r="K157" i="28"/>
  <c r="L157" i="28" s="1"/>
  <c r="H157" i="28"/>
  <c r="I157" i="28" s="1"/>
  <c r="E157" i="28"/>
  <c r="F157" i="28" s="1"/>
  <c r="O156" i="28"/>
  <c r="N156" i="28"/>
  <c r="K156" i="28"/>
  <c r="L156" i="28" s="1"/>
  <c r="H156" i="28"/>
  <c r="I156" i="28" s="1"/>
  <c r="E156" i="28"/>
  <c r="F156" i="28" s="1"/>
  <c r="O155" i="28"/>
  <c r="N155" i="28"/>
  <c r="K155" i="28"/>
  <c r="L155" i="28" s="1"/>
  <c r="H155" i="28"/>
  <c r="I155" i="28" s="1"/>
  <c r="E155" i="28"/>
  <c r="F155" i="28" s="1"/>
  <c r="O154" i="28"/>
  <c r="N154" i="28"/>
  <c r="L154" i="28"/>
  <c r="K154" i="28"/>
  <c r="H154" i="28"/>
  <c r="I154" i="28" s="1"/>
  <c r="E154" i="28"/>
  <c r="F154" i="28" s="1"/>
  <c r="O153" i="28"/>
  <c r="N153" i="28"/>
  <c r="K153" i="28"/>
  <c r="L153" i="28" s="1"/>
  <c r="H153" i="28"/>
  <c r="I153" i="28" s="1"/>
  <c r="E153" i="28"/>
  <c r="F153" i="28" s="1"/>
  <c r="O152" i="28"/>
  <c r="N152" i="28"/>
  <c r="N172" i="28" s="1"/>
  <c r="K152" i="28"/>
  <c r="L152" i="28" s="1"/>
  <c r="H152" i="28"/>
  <c r="I152" i="28" s="1"/>
  <c r="E152" i="28"/>
  <c r="F15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I143" i="28"/>
  <c r="H143" i="28"/>
  <c r="F143" i="28"/>
  <c r="E143" i="28"/>
  <c r="O142" i="28"/>
  <c r="N142" i="28"/>
  <c r="L142" i="28"/>
  <c r="K142" i="28"/>
  <c r="I142" i="28"/>
  <c r="H142" i="28"/>
  <c r="F142" i="28"/>
  <c r="E142" i="28"/>
  <c r="O141" i="28"/>
  <c r="N141" i="28"/>
  <c r="K141" i="28"/>
  <c r="L141" i="28" s="1"/>
  <c r="I141" i="28"/>
  <c r="H141" i="28"/>
  <c r="E141" i="28"/>
  <c r="F141" i="28" s="1"/>
  <c r="O140" i="28"/>
  <c r="N140" i="28"/>
  <c r="K140" i="28"/>
  <c r="L140" i="28" s="1"/>
  <c r="H140" i="28"/>
  <c r="I140" i="28" s="1"/>
  <c r="E140" i="28"/>
  <c r="F140" i="28" s="1"/>
  <c r="O139" i="28"/>
  <c r="N139" i="28"/>
  <c r="K139" i="28"/>
  <c r="L139" i="28" s="1"/>
  <c r="H139" i="28"/>
  <c r="I139" i="28" s="1"/>
  <c r="E139" i="28"/>
  <c r="F139" i="28" s="1"/>
  <c r="O138" i="28"/>
  <c r="N138" i="28"/>
  <c r="K138" i="28"/>
  <c r="L138" i="28" s="1"/>
  <c r="H138" i="28"/>
  <c r="I138" i="28" s="1"/>
  <c r="E138" i="28"/>
  <c r="F138" i="28" s="1"/>
  <c r="O137" i="28"/>
  <c r="N137" i="28"/>
  <c r="L137" i="28"/>
  <c r="K137" i="28"/>
  <c r="H137" i="28"/>
  <c r="I137" i="28" s="1"/>
  <c r="E137" i="28"/>
  <c r="F137" i="28" s="1"/>
  <c r="O136" i="28"/>
  <c r="N136" i="28"/>
  <c r="K136" i="28"/>
  <c r="L136" i="28" s="1"/>
  <c r="H136" i="28"/>
  <c r="I136" i="28" s="1"/>
  <c r="E136" i="28"/>
  <c r="F136" i="28" s="1"/>
  <c r="O135" i="28"/>
  <c r="N135" i="28"/>
  <c r="K135" i="28"/>
  <c r="L135" i="28" s="1"/>
  <c r="H135" i="28"/>
  <c r="I135" i="28" s="1"/>
  <c r="E135" i="28"/>
  <c r="F135" i="28" s="1"/>
  <c r="O134" i="28"/>
  <c r="N134" i="28"/>
  <c r="K134" i="28"/>
  <c r="L134" i="28" s="1"/>
  <c r="H134" i="28"/>
  <c r="I134" i="28" s="1"/>
  <c r="E134" i="28"/>
  <c r="F134" i="28" s="1"/>
  <c r="O133" i="28"/>
  <c r="N133" i="28"/>
  <c r="L133" i="28"/>
  <c r="K133" i="28"/>
  <c r="I133" i="28"/>
  <c r="H133" i="28"/>
  <c r="E133" i="28"/>
  <c r="F133" i="28" s="1"/>
  <c r="O132" i="28"/>
  <c r="N132" i="28"/>
  <c r="L132" i="28"/>
  <c r="K132" i="28"/>
  <c r="H132" i="28"/>
  <c r="I132" i="28" s="1"/>
  <c r="E132" i="28"/>
  <c r="F132" i="28" s="1"/>
  <c r="O131" i="28"/>
  <c r="N131" i="28"/>
  <c r="L131" i="28"/>
  <c r="K131" i="28"/>
  <c r="H131" i="28"/>
  <c r="I131" i="28" s="1"/>
  <c r="E131" i="28"/>
  <c r="F131" i="28" s="1"/>
  <c r="O130" i="28"/>
  <c r="N130" i="28"/>
  <c r="K130" i="28"/>
  <c r="L130" i="28" s="1"/>
  <c r="H130" i="28"/>
  <c r="I130" i="28" s="1"/>
  <c r="E130" i="28"/>
  <c r="F130" i="28" s="1"/>
  <c r="O129" i="28"/>
  <c r="N129" i="28"/>
  <c r="L129" i="28"/>
  <c r="K129" i="28"/>
  <c r="H129" i="28"/>
  <c r="I129" i="28" s="1"/>
  <c r="E129" i="28"/>
  <c r="F129" i="28" s="1"/>
  <c r="O128" i="28"/>
  <c r="N128" i="28"/>
  <c r="K128" i="28"/>
  <c r="L128" i="28" s="1"/>
  <c r="H128" i="28"/>
  <c r="I128" i="28" s="1"/>
  <c r="E128" i="28"/>
  <c r="F128" i="28" s="1"/>
  <c r="O127" i="28"/>
  <c r="N127" i="28"/>
  <c r="L127" i="28"/>
  <c r="K127" i="28"/>
  <c r="H127" i="28"/>
  <c r="I127" i="28" s="1"/>
  <c r="E127" i="28"/>
  <c r="F127" i="28" s="1"/>
  <c r="O126" i="28"/>
  <c r="N126" i="28"/>
  <c r="K126" i="28"/>
  <c r="H126" i="28"/>
  <c r="I126" i="28" s="1"/>
  <c r="E126" i="28"/>
  <c r="O125" i="28"/>
  <c r="O145" i="28" s="1"/>
  <c r="N125" i="28"/>
  <c r="N145" i="28" s="1"/>
  <c r="K125" i="28"/>
  <c r="L125" i="28" s="1"/>
  <c r="H125" i="28"/>
  <c r="I125" i="28" s="1"/>
  <c r="E125" i="28"/>
  <c r="F125" i="28" s="1"/>
  <c r="M123" i="28"/>
  <c r="J123" i="28"/>
  <c r="G123" i="28"/>
  <c r="D123" i="28"/>
  <c r="B123" i="28"/>
  <c r="M122" i="28"/>
  <c r="G122" i="28"/>
  <c r="B118" i="28"/>
  <c r="O117" i="28"/>
  <c r="N117" i="28"/>
  <c r="K117" i="28"/>
  <c r="L117" i="28" s="1"/>
  <c r="L36" i="28" s="1"/>
  <c r="H117" i="28"/>
  <c r="H36" i="28" s="1"/>
  <c r="E117" i="28"/>
  <c r="F117" i="28" s="1"/>
  <c r="F36" i="28" s="1"/>
  <c r="O116" i="28"/>
  <c r="N116" i="28"/>
  <c r="L116" i="28"/>
  <c r="L35" i="28" s="1"/>
  <c r="K116" i="28"/>
  <c r="I116" i="28"/>
  <c r="H116" i="28"/>
  <c r="E116" i="28"/>
  <c r="F116" i="28" s="1"/>
  <c r="O115" i="28"/>
  <c r="N115" i="28"/>
  <c r="K115" i="28"/>
  <c r="K34" i="28" s="1"/>
  <c r="H115" i="28"/>
  <c r="I115" i="28" s="1"/>
  <c r="I34" i="28" s="1"/>
  <c r="E115" i="28"/>
  <c r="F115" i="28" s="1"/>
  <c r="O114" i="28"/>
  <c r="N114" i="28"/>
  <c r="L114" i="28"/>
  <c r="K114" i="28"/>
  <c r="H114" i="28"/>
  <c r="I114" i="28" s="1"/>
  <c r="I33" i="28" s="1"/>
  <c r="E114" i="28"/>
  <c r="F114" i="28" s="1"/>
  <c r="F33" i="28" s="1"/>
  <c r="O113" i="28"/>
  <c r="N113" i="28"/>
  <c r="K113" i="28"/>
  <c r="L113" i="28" s="1"/>
  <c r="L32" i="28" s="1"/>
  <c r="H113" i="28"/>
  <c r="I113" i="28" s="1"/>
  <c r="I32" i="28" s="1"/>
  <c r="E113" i="28"/>
  <c r="F113" i="28" s="1"/>
  <c r="F32" i="28" s="1"/>
  <c r="O112" i="28"/>
  <c r="N112" i="28"/>
  <c r="L112" i="28"/>
  <c r="K112" i="28"/>
  <c r="H112" i="28"/>
  <c r="I112" i="28" s="1"/>
  <c r="I31" i="28" s="1"/>
  <c r="E112" i="28"/>
  <c r="F112" i="28" s="1"/>
  <c r="F31" i="28" s="1"/>
  <c r="O111" i="28"/>
  <c r="N111" i="28"/>
  <c r="K111" i="28"/>
  <c r="K30" i="28" s="1"/>
  <c r="I111" i="28"/>
  <c r="H111" i="28"/>
  <c r="E111" i="28"/>
  <c r="F111" i="28" s="1"/>
  <c r="O110" i="28"/>
  <c r="N110" i="28"/>
  <c r="K110" i="28"/>
  <c r="L110" i="28" s="1"/>
  <c r="L29" i="28" s="1"/>
  <c r="H110" i="28"/>
  <c r="I110" i="28" s="1"/>
  <c r="I29" i="28" s="1"/>
  <c r="E110" i="28"/>
  <c r="F110" i="28" s="1"/>
  <c r="O109" i="28"/>
  <c r="N109" i="28"/>
  <c r="L109" i="28"/>
  <c r="K109" i="28"/>
  <c r="H109" i="28"/>
  <c r="I109" i="28" s="1"/>
  <c r="I28" i="28" s="1"/>
  <c r="E109" i="28"/>
  <c r="F109" i="28" s="1"/>
  <c r="F28" i="28" s="1"/>
  <c r="O108" i="28"/>
  <c r="N108" i="28"/>
  <c r="K108" i="28"/>
  <c r="L108" i="28" s="1"/>
  <c r="I108" i="28"/>
  <c r="H108" i="28"/>
  <c r="E108" i="28"/>
  <c r="F108" i="28" s="1"/>
  <c r="O107" i="28"/>
  <c r="N107" i="28"/>
  <c r="L107" i="28"/>
  <c r="K107" i="28"/>
  <c r="H107" i="28"/>
  <c r="I107" i="28" s="1"/>
  <c r="I26" i="28" s="1"/>
  <c r="E107" i="28"/>
  <c r="F107" i="28" s="1"/>
  <c r="O106" i="28"/>
  <c r="N106" i="28"/>
  <c r="K106" i="28"/>
  <c r="L106" i="28" s="1"/>
  <c r="L25" i="28" s="1"/>
  <c r="H106" i="28"/>
  <c r="I106" i="28" s="1"/>
  <c r="I25" i="28" s="1"/>
  <c r="E106" i="28"/>
  <c r="F106" i="28" s="1"/>
  <c r="O105" i="28"/>
  <c r="N105" i="28"/>
  <c r="L105" i="28"/>
  <c r="K105" i="28"/>
  <c r="H105" i="28"/>
  <c r="I105" i="28" s="1"/>
  <c r="I24" i="28" s="1"/>
  <c r="E105" i="28"/>
  <c r="F105" i="28" s="1"/>
  <c r="F24" i="28" s="1"/>
  <c r="O104" i="28"/>
  <c r="N104" i="28"/>
  <c r="K104" i="28"/>
  <c r="L104" i="28" s="1"/>
  <c r="I104" i="28"/>
  <c r="H104" i="28"/>
  <c r="E104" i="28"/>
  <c r="F104" i="28" s="1"/>
  <c r="O103" i="28"/>
  <c r="N103" i="28"/>
  <c r="K103" i="28"/>
  <c r="L103" i="28" s="1"/>
  <c r="L22" i="28" s="1"/>
  <c r="H103" i="28"/>
  <c r="I103" i="28" s="1"/>
  <c r="I22" i="28" s="1"/>
  <c r="E103" i="28"/>
  <c r="F103" i="28" s="1"/>
  <c r="O102" i="28"/>
  <c r="N102" i="28"/>
  <c r="L102" i="28"/>
  <c r="K102" i="28"/>
  <c r="H102" i="28"/>
  <c r="H21" i="28" s="1"/>
  <c r="E102" i="28"/>
  <c r="F102" i="28" s="1"/>
  <c r="O101" i="28"/>
  <c r="N101" i="28"/>
  <c r="K101" i="28"/>
  <c r="L101" i="28" s="1"/>
  <c r="L20" i="28" s="1"/>
  <c r="H101" i="28"/>
  <c r="I101" i="28" s="1"/>
  <c r="I20" i="28" s="1"/>
  <c r="E101" i="28"/>
  <c r="F101" i="28" s="1"/>
  <c r="F20" i="28" s="1"/>
  <c r="O100" i="28"/>
  <c r="N100" i="28"/>
  <c r="L100" i="28"/>
  <c r="K100" i="28"/>
  <c r="I100" i="28"/>
  <c r="H100" i="28"/>
  <c r="E100" i="28"/>
  <c r="F100" i="28" s="1"/>
  <c r="O99" i="28"/>
  <c r="N99" i="28"/>
  <c r="K99" i="28"/>
  <c r="H99" i="28"/>
  <c r="I99" i="28" s="1"/>
  <c r="I18" i="28" s="1"/>
  <c r="E99" i="28"/>
  <c r="F99" i="28" s="1"/>
  <c r="O98" i="28"/>
  <c r="N98" i="28"/>
  <c r="N118" i="28" s="1"/>
  <c r="L98" i="28"/>
  <c r="K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K87" i="28"/>
  <c r="L87" i="28" s="1"/>
  <c r="I87" i="28"/>
  <c r="H87" i="28"/>
  <c r="E87" i="28"/>
  <c r="F87" i="28" s="1"/>
  <c r="O86" i="28"/>
  <c r="N86" i="28"/>
  <c r="L86" i="28"/>
  <c r="K86" i="28"/>
  <c r="H86" i="28"/>
  <c r="I86" i="28" s="1"/>
  <c r="E86" i="28"/>
  <c r="F86" i="28" s="1"/>
  <c r="O85" i="28"/>
  <c r="N85" i="28"/>
  <c r="K85" i="28"/>
  <c r="L85" i="28" s="1"/>
  <c r="I85" i="28"/>
  <c r="H85" i="28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K83" i="28"/>
  <c r="L83" i="28" s="1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I80" i="28"/>
  <c r="H80" i="28"/>
  <c r="E80" i="28"/>
  <c r="F80" i="28" s="1"/>
  <c r="O79" i="28"/>
  <c r="N79" i="28"/>
  <c r="L79" i="28"/>
  <c r="K79" i="28"/>
  <c r="H79" i="28"/>
  <c r="I79" i="28" s="1"/>
  <c r="E79" i="28"/>
  <c r="F79" i="28" s="1"/>
  <c r="O78" i="28"/>
  <c r="N78" i="28"/>
  <c r="K78" i="28"/>
  <c r="L78" i="28" s="1"/>
  <c r="H78" i="28"/>
  <c r="I78" i="28" s="1"/>
  <c r="E78" i="28"/>
  <c r="F78" i="28" s="1"/>
  <c r="O77" i="28"/>
  <c r="N77" i="28"/>
  <c r="L77" i="28"/>
  <c r="K77" i="28"/>
  <c r="I77" i="28"/>
  <c r="H77" i="28"/>
  <c r="E77" i="28"/>
  <c r="F77" i="28" s="1"/>
  <c r="O76" i="28"/>
  <c r="N76" i="28"/>
  <c r="L76" i="28"/>
  <c r="K76" i="28"/>
  <c r="I76" i="28"/>
  <c r="H76" i="28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I72" i="28"/>
  <c r="H72" i="28"/>
  <c r="E72" i="28"/>
  <c r="F72" i="28" s="1"/>
  <c r="O71" i="28"/>
  <c r="O91" i="28" s="1"/>
  <c r="N71" i="28"/>
  <c r="N91" i="28" s="1"/>
  <c r="L71" i="28"/>
  <c r="L17" i="28" s="1"/>
  <c r="K71" i="28"/>
  <c r="I71" i="28"/>
  <c r="I17" i="28" s="1"/>
  <c r="H71" i="28"/>
  <c r="E71" i="28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O62" i="28"/>
  <c r="N62" i="28"/>
  <c r="L62" i="28"/>
  <c r="K62" i="28"/>
  <c r="I62" i="28"/>
  <c r="H62" i="28"/>
  <c r="F62" i="28"/>
  <c r="E62" i="28"/>
  <c r="O61" i="28"/>
  <c r="N61" i="28"/>
  <c r="L61" i="28"/>
  <c r="K61" i="28"/>
  <c r="I61" i="28"/>
  <c r="H61" i="28"/>
  <c r="F61" i="28"/>
  <c r="E61" i="28"/>
  <c r="O60" i="28"/>
  <c r="N60" i="28"/>
  <c r="K60" i="28"/>
  <c r="L60" i="28" s="1"/>
  <c r="H60" i="28"/>
  <c r="I60" i="28" s="1"/>
  <c r="E60" i="28"/>
  <c r="F60" i="28" s="1"/>
  <c r="O59" i="28"/>
  <c r="N59" i="28"/>
  <c r="L59" i="28"/>
  <c r="K59" i="28"/>
  <c r="H59" i="28"/>
  <c r="I59" i="28" s="1"/>
  <c r="E59" i="28"/>
  <c r="F59" i="28" s="1"/>
  <c r="O58" i="28"/>
  <c r="N58" i="28"/>
  <c r="K58" i="28"/>
  <c r="L58" i="28" s="1"/>
  <c r="H58" i="28"/>
  <c r="I58" i="28" s="1"/>
  <c r="E58" i="28"/>
  <c r="F58" i="28" s="1"/>
  <c r="O57" i="28"/>
  <c r="N57" i="28"/>
  <c r="L57" i="28"/>
  <c r="K57" i="28"/>
  <c r="H57" i="28"/>
  <c r="I57" i="28" s="1"/>
  <c r="E57" i="28"/>
  <c r="F57" i="28" s="1"/>
  <c r="O56" i="28"/>
  <c r="N56" i="28"/>
  <c r="K56" i="28"/>
  <c r="L56" i="28" s="1"/>
  <c r="H56" i="28"/>
  <c r="I56" i="28" s="1"/>
  <c r="E56" i="28"/>
  <c r="F56" i="28" s="1"/>
  <c r="O55" i="28"/>
  <c r="N55" i="28"/>
  <c r="L55" i="28"/>
  <c r="K55" i="28"/>
  <c r="H55" i="28"/>
  <c r="I55" i="28" s="1"/>
  <c r="E55" i="28"/>
  <c r="F55" i="28" s="1"/>
  <c r="O54" i="28"/>
  <c r="N54" i="28"/>
  <c r="K54" i="28"/>
  <c r="L54" i="28" s="1"/>
  <c r="H54" i="28"/>
  <c r="I54" i="28" s="1"/>
  <c r="E54" i="28"/>
  <c r="F54" i="28" s="1"/>
  <c r="O53" i="28"/>
  <c r="N53" i="28"/>
  <c r="L53" i="28"/>
  <c r="K53" i="28"/>
  <c r="H53" i="28"/>
  <c r="I53" i="28" s="1"/>
  <c r="E53" i="28"/>
  <c r="F53" i="28" s="1"/>
  <c r="O52" i="28"/>
  <c r="N52" i="28"/>
  <c r="K52" i="28"/>
  <c r="L52" i="28" s="1"/>
  <c r="H52" i="28"/>
  <c r="I52" i="28" s="1"/>
  <c r="E52" i="28"/>
  <c r="F52" i="28" s="1"/>
  <c r="O51" i="28"/>
  <c r="N51" i="28"/>
  <c r="L51" i="28"/>
  <c r="K51" i="28"/>
  <c r="H51" i="28"/>
  <c r="I51" i="28" s="1"/>
  <c r="E51" i="28"/>
  <c r="F51" i="28" s="1"/>
  <c r="O50" i="28"/>
  <c r="N50" i="28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I48" i="28"/>
  <c r="H48" i="28"/>
  <c r="E48" i="28"/>
  <c r="F48" i="28" s="1"/>
  <c r="O47" i="28"/>
  <c r="N47" i="28"/>
  <c r="K47" i="28"/>
  <c r="L47" i="28" s="1"/>
  <c r="H47" i="28"/>
  <c r="I47" i="28" s="1"/>
  <c r="E47" i="28"/>
  <c r="F47" i="28" s="1"/>
  <c r="O46" i="28"/>
  <c r="N46" i="28"/>
  <c r="L46" i="28"/>
  <c r="K46" i="28"/>
  <c r="I46" i="28"/>
  <c r="H46" i="28"/>
  <c r="E46" i="28"/>
  <c r="F46" i="28" s="1"/>
  <c r="O45" i="28"/>
  <c r="N45" i="28"/>
  <c r="L45" i="28"/>
  <c r="K45" i="28"/>
  <c r="H45" i="28"/>
  <c r="I45" i="28" s="1"/>
  <c r="E45" i="28"/>
  <c r="F45" i="28" s="1"/>
  <c r="O44" i="28"/>
  <c r="O64" i="28" s="1"/>
  <c r="N44" i="28"/>
  <c r="N64" i="28" s="1"/>
  <c r="K44" i="28"/>
  <c r="L44" i="28" s="1"/>
  <c r="H44" i="28"/>
  <c r="I44" i="28" s="1"/>
  <c r="I27" i="28" s="1"/>
  <c r="E44" i="28"/>
  <c r="M42" i="28"/>
  <c r="J42" i="28"/>
  <c r="G42" i="28"/>
  <c r="D42" i="28"/>
  <c r="B42" i="28"/>
  <c r="M41" i="28"/>
  <c r="G41" i="28"/>
  <c r="O36" i="28"/>
  <c r="N36" i="28"/>
  <c r="M36" i="28"/>
  <c r="K36" i="28"/>
  <c r="J36" i="28"/>
  <c r="G36" i="28"/>
  <c r="D36" i="28"/>
  <c r="C36" i="28"/>
  <c r="B36" i="28"/>
  <c r="O35" i="28"/>
  <c r="N35" i="28"/>
  <c r="M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J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H33" i="28"/>
  <c r="G33" i="28"/>
  <c r="D33" i="28"/>
  <c r="C33" i="28"/>
  <c r="B33" i="28"/>
  <c r="O32" i="28"/>
  <c r="N32" i="28"/>
  <c r="M32" i="28"/>
  <c r="K32" i="28"/>
  <c r="J32" i="28"/>
  <c r="H32" i="28"/>
  <c r="G32" i="28"/>
  <c r="D32" i="28"/>
  <c r="C32" i="28"/>
  <c r="B32" i="28"/>
  <c r="O31" i="28"/>
  <c r="N31" i="28"/>
  <c r="M31" i="28"/>
  <c r="L31" i="28"/>
  <c r="K31" i="28"/>
  <c r="J31" i="28"/>
  <c r="H31" i="28"/>
  <c r="G31" i="28"/>
  <c r="D31" i="28"/>
  <c r="C31" i="28"/>
  <c r="B31" i="28"/>
  <c r="O30" i="28"/>
  <c r="N30" i="28"/>
  <c r="M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K29" i="28"/>
  <c r="J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H28" i="28"/>
  <c r="G28" i="28"/>
  <c r="E28" i="28"/>
  <c r="D28" i="28"/>
  <c r="C28" i="28"/>
  <c r="B28" i="28"/>
  <c r="O27" i="28"/>
  <c r="N27" i="28"/>
  <c r="M27" i="28"/>
  <c r="K27" i="28"/>
  <c r="J27" i="28"/>
  <c r="H27" i="28"/>
  <c r="G27" i="28"/>
  <c r="E27" i="28"/>
  <c r="D27" i="28"/>
  <c r="C27" i="28"/>
  <c r="B27" i="28"/>
  <c r="O26" i="28"/>
  <c r="N26" i="28"/>
  <c r="M26" i="28"/>
  <c r="L26" i="28"/>
  <c r="K26" i="28"/>
  <c r="J26" i="28"/>
  <c r="H26" i="28"/>
  <c r="G26" i="28"/>
  <c r="F26" i="28"/>
  <c r="E26" i="28"/>
  <c r="D26" i="28"/>
  <c r="C26" i="28"/>
  <c r="B26" i="28"/>
  <c r="O25" i="28"/>
  <c r="N25" i="28"/>
  <c r="M25" i="28"/>
  <c r="K25" i="28"/>
  <c r="J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H24" i="28"/>
  <c r="G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K22" i="28"/>
  <c r="J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G21" i="28"/>
  <c r="F21" i="28"/>
  <c r="E21" i="28"/>
  <c r="D21" i="28"/>
  <c r="C21" i="28"/>
  <c r="B21" i="28"/>
  <c r="O20" i="28"/>
  <c r="N20" i="28"/>
  <c r="M20" i="28"/>
  <c r="K20" i="28"/>
  <c r="J20" i="28"/>
  <c r="H20" i="28"/>
  <c r="G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K18" i="28"/>
  <c r="J18" i="28"/>
  <c r="H18" i="28"/>
  <c r="G18" i="28"/>
  <c r="F18" i="28"/>
  <c r="E18" i="28"/>
  <c r="D18" i="28"/>
  <c r="C18" i="28"/>
  <c r="B18" i="28"/>
  <c r="O17" i="28"/>
  <c r="N17" i="28"/>
  <c r="M17" i="28"/>
  <c r="K17" i="28"/>
  <c r="J17" i="28"/>
  <c r="H17" i="28"/>
  <c r="G17" i="28"/>
  <c r="E17" i="28"/>
  <c r="D17" i="28"/>
  <c r="C17" i="28"/>
  <c r="B17" i="28"/>
  <c r="M15" i="28"/>
  <c r="J15" i="28"/>
  <c r="G15" i="28"/>
  <c r="D15" i="28"/>
  <c r="B15" i="28"/>
  <c r="M14" i="28"/>
  <c r="G14" i="28"/>
  <c r="L199" i="28" l="1"/>
  <c r="K199" i="28"/>
  <c r="K145" i="28"/>
  <c r="L126" i="28"/>
  <c r="L111" i="28"/>
  <c r="L30" i="28" s="1"/>
  <c r="L115" i="28"/>
  <c r="L34" i="28" s="1"/>
  <c r="K118" i="28"/>
  <c r="L99" i="28"/>
  <c r="L18" i="28" s="1"/>
  <c r="L118" i="28"/>
  <c r="L91" i="28"/>
  <c r="K91" i="28"/>
  <c r="L64" i="28"/>
  <c r="L27" i="28"/>
  <c r="K64" i="28"/>
  <c r="H34" i="28"/>
  <c r="H199" i="28"/>
  <c r="I179" i="28"/>
  <c r="I199" i="28" s="1"/>
  <c r="H172" i="28"/>
  <c r="H145" i="28"/>
  <c r="I145" i="28"/>
  <c r="H29" i="28"/>
  <c r="I102" i="28"/>
  <c r="I21" i="28" s="1"/>
  <c r="I117" i="28"/>
  <c r="I36" i="28" s="1"/>
  <c r="H118" i="28"/>
  <c r="I98" i="28"/>
  <c r="H91" i="28"/>
  <c r="I91" i="28"/>
  <c r="H64" i="28"/>
  <c r="I64" i="28"/>
  <c r="E24" i="28"/>
  <c r="E32" i="28"/>
  <c r="E20" i="28"/>
  <c r="E199" i="28"/>
  <c r="E31" i="28"/>
  <c r="E36" i="28"/>
  <c r="E118" i="28"/>
  <c r="E91" i="28"/>
  <c r="E64" i="28"/>
  <c r="F179" i="28"/>
  <c r="F199" i="28" s="1"/>
  <c r="E33" i="28"/>
  <c r="F44" i="28"/>
  <c r="F172" i="28"/>
  <c r="E172" i="28"/>
  <c r="E145" i="28"/>
  <c r="F126" i="28"/>
  <c r="F145" i="28" s="1"/>
  <c r="F98" i="28"/>
  <c r="F118" i="28" s="1"/>
  <c r="F71" i="28"/>
  <c r="I172" i="28"/>
  <c r="O172" i="28"/>
  <c r="L172" i="28"/>
  <c r="K172" i="28"/>
  <c r="L145" i="28"/>
  <c r="O118" i="28"/>
  <c r="K37" i="28"/>
  <c r="N37" i="28"/>
  <c r="O37" i="28"/>
  <c r="G1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99" i="27"/>
  <c r="I188" i="27" s="1"/>
  <c r="N198" i="27"/>
  <c r="O198" i="27" s="1"/>
  <c r="K198" i="27"/>
  <c r="L198" i="27" s="1"/>
  <c r="H198" i="27"/>
  <c r="I198" i="27" s="1"/>
  <c r="E198" i="27"/>
  <c r="F198" i="27" s="1"/>
  <c r="N197" i="27"/>
  <c r="O197" i="27" s="1"/>
  <c r="K197" i="27"/>
  <c r="L197" i="27" s="1"/>
  <c r="H197" i="27"/>
  <c r="E197" i="27"/>
  <c r="F197" i="27" s="1"/>
  <c r="N196" i="27"/>
  <c r="O196" i="27" s="1"/>
  <c r="K196" i="27"/>
  <c r="L196" i="27" s="1"/>
  <c r="I196" i="27"/>
  <c r="H196" i="27"/>
  <c r="E196" i="27"/>
  <c r="N195" i="27"/>
  <c r="O195" i="27" s="1"/>
  <c r="L195" i="27"/>
  <c r="K195" i="27"/>
  <c r="H195" i="27"/>
  <c r="I195" i="27" s="1"/>
  <c r="E195" i="27"/>
  <c r="F195" i="27" s="1"/>
  <c r="N194" i="27"/>
  <c r="O194" i="27" s="1"/>
  <c r="K194" i="27"/>
  <c r="L194" i="27" s="1"/>
  <c r="H194" i="27"/>
  <c r="I194" i="27" s="1"/>
  <c r="E194" i="27"/>
  <c r="N193" i="27"/>
  <c r="O193" i="27" s="1"/>
  <c r="L193" i="27"/>
  <c r="K193" i="27"/>
  <c r="H193" i="27"/>
  <c r="I193" i="27" s="1"/>
  <c r="E193" i="27"/>
  <c r="F193" i="27" s="1"/>
  <c r="O192" i="27"/>
  <c r="N192" i="27"/>
  <c r="K192" i="27"/>
  <c r="L192" i="27" s="1"/>
  <c r="I192" i="27"/>
  <c r="H192" i="27"/>
  <c r="E192" i="27"/>
  <c r="F192" i="27" s="1"/>
  <c r="N191" i="27"/>
  <c r="O191" i="27" s="1"/>
  <c r="K191" i="27"/>
  <c r="L191" i="27" s="1"/>
  <c r="H191" i="27"/>
  <c r="I191" i="27" s="1"/>
  <c r="E191" i="27"/>
  <c r="F191" i="27" s="1"/>
  <c r="N190" i="27"/>
  <c r="O190" i="27" s="1"/>
  <c r="K190" i="27"/>
  <c r="L190" i="27" s="1"/>
  <c r="H190" i="27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E188" i="27"/>
  <c r="F188" i="27" s="1"/>
  <c r="O187" i="27"/>
  <c r="N187" i="27"/>
  <c r="K187" i="27"/>
  <c r="L187" i="27" s="1"/>
  <c r="H187" i="27"/>
  <c r="I187" i="27" s="1"/>
  <c r="E187" i="27"/>
  <c r="N186" i="27"/>
  <c r="O186" i="27" s="1"/>
  <c r="K186" i="27"/>
  <c r="L186" i="27" s="1"/>
  <c r="H186" i="27"/>
  <c r="I186" i="27" s="1"/>
  <c r="E186" i="27"/>
  <c r="F186" i="27" s="1"/>
  <c r="N185" i="27"/>
  <c r="O185" i="27" s="1"/>
  <c r="K185" i="27"/>
  <c r="L185" i="27" s="1"/>
  <c r="H185" i="27"/>
  <c r="I185" i="27" s="1"/>
  <c r="E185" i="27"/>
  <c r="N184" i="27"/>
  <c r="O184" i="27" s="1"/>
  <c r="K184" i="27"/>
  <c r="L184" i="27" s="1"/>
  <c r="I184" i="27"/>
  <c r="H184" i="27"/>
  <c r="E184" i="27"/>
  <c r="F184" i="27" s="1"/>
  <c r="N183" i="27"/>
  <c r="O183" i="27" s="1"/>
  <c r="K183" i="27"/>
  <c r="L183" i="27" s="1"/>
  <c r="H183" i="27"/>
  <c r="E183" i="27"/>
  <c r="F183" i="27" s="1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E181" i="27"/>
  <c r="F181" i="27" s="1"/>
  <c r="N180" i="27"/>
  <c r="O180" i="27" s="1"/>
  <c r="L180" i="27"/>
  <c r="K180" i="27"/>
  <c r="I180" i="27"/>
  <c r="H180" i="27"/>
  <c r="E180" i="27"/>
  <c r="F180" i="27" s="1"/>
  <c r="O179" i="27"/>
  <c r="N179" i="27"/>
  <c r="K179" i="27"/>
  <c r="K199" i="27" s="1"/>
  <c r="H179" i="27"/>
  <c r="H199" i="27" s="1"/>
  <c r="E179" i="27"/>
  <c r="E199" i="27" s="1"/>
  <c r="M177" i="27"/>
  <c r="J177" i="27"/>
  <c r="G177" i="27"/>
  <c r="D177" i="27"/>
  <c r="B177" i="27"/>
  <c r="M176" i="27"/>
  <c r="G176" i="27"/>
  <c r="B172" i="27"/>
  <c r="I167" i="27" s="1"/>
  <c r="N171" i="27"/>
  <c r="O171" i="27" s="1"/>
  <c r="K171" i="27"/>
  <c r="L171" i="27" s="1"/>
  <c r="H171" i="27"/>
  <c r="E171" i="27"/>
  <c r="N170" i="27"/>
  <c r="O170" i="27" s="1"/>
  <c r="K170" i="27"/>
  <c r="L170" i="27" s="1"/>
  <c r="H170" i="27"/>
  <c r="E170" i="27"/>
  <c r="F170" i="27" s="1"/>
  <c r="O169" i="27"/>
  <c r="N169" i="27"/>
  <c r="K169" i="27"/>
  <c r="L169" i="27" s="1"/>
  <c r="L21" i="27" s="1"/>
  <c r="H169" i="27"/>
  <c r="E169" i="27"/>
  <c r="F169" i="27" s="1"/>
  <c r="F21" i="27" s="1"/>
  <c r="N168" i="27"/>
  <c r="O168" i="27" s="1"/>
  <c r="K168" i="27"/>
  <c r="L168" i="27" s="1"/>
  <c r="H168" i="27"/>
  <c r="I168" i="27" s="1"/>
  <c r="E168" i="27"/>
  <c r="N167" i="27"/>
  <c r="O167" i="27" s="1"/>
  <c r="K167" i="27"/>
  <c r="L167" i="27" s="1"/>
  <c r="H167" i="27"/>
  <c r="E167" i="27"/>
  <c r="F167" i="27" s="1"/>
  <c r="N166" i="27"/>
  <c r="O166" i="27" s="1"/>
  <c r="O20" i="27" s="1"/>
  <c r="K166" i="27"/>
  <c r="K20" i="27" s="1"/>
  <c r="H166" i="27"/>
  <c r="E166" i="27"/>
  <c r="N165" i="27"/>
  <c r="O165" i="27" s="1"/>
  <c r="K165" i="27"/>
  <c r="L165" i="27" s="1"/>
  <c r="I165" i="27"/>
  <c r="H165" i="27"/>
  <c r="E165" i="27"/>
  <c r="N164" i="27"/>
  <c r="O164" i="27" s="1"/>
  <c r="L164" i="27"/>
  <c r="K164" i="27"/>
  <c r="H164" i="27"/>
  <c r="E164" i="27"/>
  <c r="F164" i="27" s="1"/>
  <c r="O163" i="27"/>
  <c r="N163" i="27"/>
  <c r="K163" i="27"/>
  <c r="L163" i="27" s="1"/>
  <c r="H163" i="27"/>
  <c r="I163" i="27" s="1"/>
  <c r="E163" i="27"/>
  <c r="N162" i="27"/>
  <c r="O162" i="27" s="1"/>
  <c r="L162" i="27"/>
  <c r="K162" i="27"/>
  <c r="H162" i="27"/>
  <c r="E162" i="27"/>
  <c r="F162" i="27" s="1"/>
  <c r="O161" i="27"/>
  <c r="N161" i="27"/>
  <c r="K161" i="27"/>
  <c r="L161" i="27" s="1"/>
  <c r="I161" i="27"/>
  <c r="H161" i="27"/>
  <c r="E161" i="27"/>
  <c r="N160" i="27"/>
  <c r="O160" i="27" s="1"/>
  <c r="K160" i="27"/>
  <c r="L160" i="27" s="1"/>
  <c r="H160" i="27"/>
  <c r="I160" i="27" s="1"/>
  <c r="E160" i="27"/>
  <c r="F160" i="27" s="1"/>
  <c r="N159" i="27"/>
  <c r="O159" i="27" s="1"/>
  <c r="K159" i="27"/>
  <c r="L159" i="27" s="1"/>
  <c r="H159" i="27"/>
  <c r="E159" i="27"/>
  <c r="O158" i="27"/>
  <c r="N158" i="27"/>
  <c r="K158" i="27"/>
  <c r="L158" i="27" s="1"/>
  <c r="H158" i="27"/>
  <c r="I158" i="27" s="1"/>
  <c r="E158" i="27"/>
  <c r="F158" i="27" s="1"/>
  <c r="N157" i="27"/>
  <c r="O157" i="27" s="1"/>
  <c r="K157" i="27"/>
  <c r="L157" i="27" s="1"/>
  <c r="H157" i="27"/>
  <c r="E157" i="27"/>
  <c r="F157" i="27" s="1"/>
  <c r="N156" i="27"/>
  <c r="O156" i="27" s="1"/>
  <c r="O19" i="27" s="1"/>
  <c r="K156" i="27"/>
  <c r="L156" i="27" s="1"/>
  <c r="L19" i="27" s="1"/>
  <c r="H156" i="27"/>
  <c r="I156" i="27" s="1"/>
  <c r="I19" i="27" s="1"/>
  <c r="E156" i="27"/>
  <c r="N155" i="27"/>
  <c r="O155" i="27" s="1"/>
  <c r="K155" i="27"/>
  <c r="L155" i="27" s="1"/>
  <c r="H155" i="27"/>
  <c r="I155" i="27" s="1"/>
  <c r="E155" i="27"/>
  <c r="F155" i="27" s="1"/>
  <c r="O154" i="27"/>
  <c r="O18" i="27" s="1"/>
  <c r="N154" i="27"/>
  <c r="K154" i="27"/>
  <c r="L154" i="27" s="1"/>
  <c r="L18" i="27" s="1"/>
  <c r="H154" i="27"/>
  <c r="I154" i="27" s="1"/>
  <c r="I18" i="27" s="1"/>
  <c r="E154" i="27"/>
  <c r="N153" i="27"/>
  <c r="O153" i="27" s="1"/>
  <c r="O17" i="27" s="1"/>
  <c r="K153" i="27"/>
  <c r="K172" i="27" s="1"/>
  <c r="I153" i="27"/>
  <c r="H153" i="27"/>
  <c r="E153" i="27"/>
  <c r="F153" i="27" s="1"/>
  <c r="F17" i="27" s="1"/>
  <c r="N152" i="27"/>
  <c r="K152" i="27"/>
  <c r="L152" i="27" s="1"/>
  <c r="H152" i="27"/>
  <c r="H172" i="27" s="1"/>
  <c r="E152" i="27"/>
  <c r="E172" i="27" s="1"/>
  <c r="M150" i="27"/>
  <c r="J150" i="27"/>
  <c r="G150" i="27"/>
  <c r="D150" i="27"/>
  <c r="B150" i="27"/>
  <c r="M149" i="27"/>
  <c r="G149" i="27"/>
  <c r="B145" i="27"/>
  <c r="F138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E141" i="27"/>
  <c r="N140" i="27"/>
  <c r="O140" i="27" s="1"/>
  <c r="K140" i="27"/>
  <c r="L140" i="27" s="1"/>
  <c r="H140" i="27"/>
  <c r="I140" i="27" s="1"/>
  <c r="F140" i="27"/>
  <c r="E140" i="27"/>
  <c r="N139" i="27"/>
  <c r="O139" i="27" s="1"/>
  <c r="K139" i="27"/>
  <c r="L139" i="27" s="1"/>
  <c r="H139" i="27"/>
  <c r="F139" i="27"/>
  <c r="E139" i="27"/>
  <c r="N138" i="27"/>
  <c r="O138" i="27" s="1"/>
  <c r="L138" i="27"/>
  <c r="K138" i="27"/>
  <c r="H138" i="27"/>
  <c r="I138" i="27" s="1"/>
  <c r="E138" i="27"/>
  <c r="N137" i="27"/>
  <c r="O137" i="27" s="1"/>
  <c r="K137" i="27"/>
  <c r="L137" i="27" s="1"/>
  <c r="H137" i="27"/>
  <c r="I137" i="27" s="1"/>
  <c r="F137" i="27"/>
  <c r="E137" i="27"/>
  <c r="N136" i="27"/>
  <c r="O136" i="27" s="1"/>
  <c r="K136" i="27"/>
  <c r="L136" i="27" s="1"/>
  <c r="H136" i="27"/>
  <c r="I136" i="27" s="1"/>
  <c r="F136" i="27"/>
  <c r="E136" i="27"/>
  <c r="N135" i="27"/>
  <c r="O135" i="27" s="1"/>
  <c r="K135" i="27"/>
  <c r="L135" i="27" s="1"/>
  <c r="H135" i="27"/>
  <c r="F135" i="27"/>
  <c r="E135" i="27"/>
  <c r="N134" i="27"/>
  <c r="O134" i="27" s="1"/>
  <c r="L134" i="27"/>
  <c r="K134" i="27"/>
  <c r="H134" i="27"/>
  <c r="I134" i="27" s="1"/>
  <c r="E134" i="27"/>
  <c r="N133" i="27"/>
  <c r="O133" i="27" s="1"/>
  <c r="K133" i="27"/>
  <c r="L133" i="27" s="1"/>
  <c r="H133" i="27"/>
  <c r="I133" i="27" s="1"/>
  <c r="F133" i="27"/>
  <c r="E133" i="27"/>
  <c r="N132" i="27"/>
  <c r="O132" i="27" s="1"/>
  <c r="L132" i="27"/>
  <c r="K132" i="27"/>
  <c r="H132" i="27"/>
  <c r="I132" i="27" s="1"/>
  <c r="F132" i="27"/>
  <c r="E132" i="27"/>
  <c r="N131" i="27"/>
  <c r="O131" i="27" s="1"/>
  <c r="L131" i="27"/>
  <c r="K131" i="27"/>
  <c r="H131" i="27"/>
  <c r="F131" i="27"/>
  <c r="E131" i="27"/>
  <c r="N130" i="27"/>
  <c r="O130" i="27" s="1"/>
  <c r="K130" i="27"/>
  <c r="L130" i="27" s="1"/>
  <c r="H130" i="27"/>
  <c r="I130" i="27" s="1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F127" i="27"/>
  <c r="E127" i="27"/>
  <c r="N126" i="27"/>
  <c r="O126" i="27" s="1"/>
  <c r="K126" i="27"/>
  <c r="L126" i="27" s="1"/>
  <c r="H126" i="27"/>
  <c r="I126" i="27" s="1"/>
  <c r="E126" i="27"/>
  <c r="O125" i="27"/>
  <c r="N125" i="27"/>
  <c r="L125" i="27"/>
  <c r="K125" i="27"/>
  <c r="H125" i="27"/>
  <c r="H145" i="27" s="1"/>
  <c r="F125" i="27"/>
  <c r="E125" i="27"/>
  <c r="E145" i="27" s="1"/>
  <c r="M123" i="27"/>
  <c r="J123" i="27"/>
  <c r="G123" i="27"/>
  <c r="D123" i="27"/>
  <c r="B123" i="27"/>
  <c r="M122" i="27"/>
  <c r="G122" i="27"/>
  <c r="B118" i="27"/>
  <c r="I110" i="27" s="1"/>
  <c r="N117" i="27"/>
  <c r="O117" i="27" s="1"/>
  <c r="K117" i="27"/>
  <c r="L117" i="27" s="1"/>
  <c r="H117" i="27"/>
  <c r="E117" i="27"/>
  <c r="N116" i="27"/>
  <c r="O116" i="27" s="1"/>
  <c r="K116" i="27"/>
  <c r="L116" i="27" s="1"/>
  <c r="I116" i="27"/>
  <c r="H116" i="27"/>
  <c r="E116" i="27"/>
  <c r="O115" i="27"/>
  <c r="N115" i="27"/>
  <c r="L115" i="27"/>
  <c r="K115" i="27"/>
  <c r="H115" i="27"/>
  <c r="E115" i="27"/>
  <c r="F115" i="27" s="1"/>
  <c r="N114" i="27"/>
  <c r="O114" i="27" s="1"/>
  <c r="K114" i="27"/>
  <c r="L114" i="27" s="1"/>
  <c r="I114" i="27"/>
  <c r="H114" i="27"/>
  <c r="E114" i="27"/>
  <c r="O113" i="27"/>
  <c r="N113" i="27"/>
  <c r="K113" i="27"/>
  <c r="L113" i="27" s="1"/>
  <c r="H113" i="27"/>
  <c r="I113" i="27" s="1"/>
  <c r="E113" i="27"/>
  <c r="F113" i="27" s="1"/>
  <c r="N112" i="27"/>
  <c r="O112" i="27" s="1"/>
  <c r="K112" i="27"/>
  <c r="L112" i="27" s="1"/>
  <c r="H112" i="27"/>
  <c r="E112" i="27"/>
  <c r="F112" i="27" s="1"/>
  <c r="N111" i="27"/>
  <c r="O111" i="27" s="1"/>
  <c r="K111" i="27"/>
  <c r="L111" i="27" s="1"/>
  <c r="H111" i="27"/>
  <c r="I111" i="27" s="1"/>
  <c r="E111" i="27"/>
  <c r="N110" i="27"/>
  <c r="O110" i="27" s="1"/>
  <c r="K110" i="27"/>
  <c r="L110" i="27" s="1"/>
  <c r="H110" i="27"/>
  <c r="E110" i="27"/>
  <c r="F110" i="27" s="1"/>
  <c r="N109" i="27"/>
  <c r="O109" i="27" s="1"/>
  <c r="K109" i="27"/>
  <c r="L109" i="27" s="1"/>
  <c r="H109" i="27"/>
  <c r="E109" i="27"/>
  <c r="N108" i="27"/>
  <c r="O108" i="27" s="1"/>
  <c r="K108" i="27"/>
  <c r="L108" i="27" s="1"/>
  <c r="I108" i="27"/>
  <c r="H108" i="27"/>
  <c r="E108" i="27"/>
  <c r="N107" i="27"/>
  <c r="O107" i="27" s="1"/>
  <c r="K107" i="27"/>
  <c r="L107" i="27" s="1"/>
  <c r="H107" i="27"/>
  <c r="E107" i="27"/>
  <c r="F107" i="27" s="1"/>
  <c r="O106" i="27"/>
  <c r="N106" i="27"/>
  <c r="L106" i="27"/>
  <c r="K106" i="27"/>
  <c r="I106" i="27"/>
  <c r="H106" i="27"/>
  <c r="E106" i="27"/>
  <c r="N105" i="27"/>
  <c r="O105" i="27" s="1"/>
  <c r="K105" i="27"/>
  <c r="L105" i="27" s="1"/>
  <c r="H105" i="27"/>
  <c r="I105" i="27" s="1"/>
  <c r="E105" i="27"/>
  <c r="F105" i="27" s="1"/>
  <c r="O104" i="27"/>
  <c r="N104" i="27"/>
  <c r="L104" i="27"/>
  <c r="K104" i="27"/>
  <c r="H104" i="27"/>
  <c r="E104" i="27"/>
  <c r="F104" i="27" s="1"/>
  <c r="N103" i="27"/>
  <c r="O103" i="27" s="1"/>
  <c r="K103" i="27"/>
  <c r="L103" i="27" s="1"/>
  <c r="H103" i="27"/>
  <c r="I103" i="27" s="1"/>
  <c r="E103" i="27"/>
  <c r="N102" i="27"/>
  <c r="O102" i="27" s="1"/>
  <c r="K102" i="27"/>
  <c r="L102" i="27" s="1"/>
  <c r="H102" i="27"/>
  <c r="E102" i="27"/>
  <c r="F102" i="27" s="1"/>
  <c r="N101" i="27"/>
  <c r="O101" i="27" s="1"/>
  <c r="K101" i="27"/>
  <c r="L101" i="27" s="1"/>
  <c r="H101" i="27"/>
  <c r="E101" i="27"/>
  <c r="N100" i="27"/>
  <c r="O100" i="27" s="1"/>
  <c r="K100" i="27"/>
  <c r="L100" i="27" s="1"/>
  <c r="I100" i="27"/>
  <c r="H100" i="27"/>
  <c r="E100" i="27"/>
  <c r="N99" i="27"/>
  <c r="O99" i="27" s="1"/>
  <c r="L99" i="27"/>
  <c r="K99" i="27"/>
  <c r="H99" i="27"/>
  <c r="E99" i="27"/>
  <c r="F99" i="27" s="1"/>
  <c r="N98" i="27"/>
  <c r="K98" i="27"/>
  <c r="I98" i="27"/>
  <c r="H98" i="27"/>
  <c r="E98" i="27"/>
  <c r="E118" i="27" s="1"/>
  <c r="M96" i="27"/>
  <c r="J96" i="27"/>
  <c r="G96" i="27"/>
  <c r="D96" i="27"/>
  <c r="B96" i="27"/>
  <c r="M95" i="27"/>
  <c r="G95" i="27"/>
  <c r="B91" i="27"/>
  <c r="F87" i="27" s="1"/>
  <c r="N90" i="27"/>
  <c r="O90" i="27" s="1"/>
  <c r="L90" i="27"/>
  <c r="K90" i="27"/>
  <c r="H90" i="27"/>
  <c r="I90" i="27" s="1"/>
  <c r="E90" i="27"/>
  <c r="N89" i="27"/>
  <c r="O89" i="27" s="1"/>
  <c r="K89" i="27"/>
  <c r="L89" i="27" s="1"/>
  <c r="H89" i="27"/>
  <c r="I89" i="27" s="1"/>
  <c r="F89" i="27"/>
  <c r="E89" i="27"/>
  <c r="N88" i="27"/>
  <c r="O88" i="27" s="1"/>
  <c r="K88" i="27"/>
  <c r="L88" i="27" s="1"/>
  <c r="H88" i="27"/>
  <c r="F88" i="27"/>
  <c r="E88" i="27"/>
  <c r="N87" i="27"/>
  <c r="O87" i="27" s="1"/>
  <c r="L87" i="27"/>
  <c r="K87" i="27"/>
  <c r="H87" i="27"/>
  <c r="E87" i="27"/>
  <c r="N86" i="27"/>
  <c r="O86" i="27" s="1"/>
  <c r="K86" i="27"/>
  <c r="L86" i="27" s="1"/>
  <c r="H86" i="27"/>
  <c r="I86" i="27" s="1"/>
  <c r="E86" i="27"/>
  <c r="N85" i="27"/>
  <c r="O85" i="27" s="1"/>
  <c r="L85" i="27"/>
  <c r="K85" i="27"/>
  <c r="H85" i="27"/>
  <c r="I85" i="27" s="1"/>
  <c r="F85" i="27"/>
  <c r="E85" i="27"/>
  <c r="N84" i="27"/>
  <c r="O84" i="27" s="1"/>
  <c r="L84" i="27"/>
  <c r="K84" i="27"/>
  <c r="H84" i="27"/>
  <c r="F84" i="27"/>
  <c r="E84" i="27"/>
  <c r="O83" i="27"/>
  <c r="N83" i="27"/>
  <c r="K83" i="27"/>
  <c r="L83" i="27" s="1"/>
  <c r="H83" i="27"/>
  <c r="E83" i="27"/>
  <c r="N82" i="27"/>
  <c r="O82" i="27" s="1"/>
  <c r="L82" i="27"/>
  <c r="K82" i="27"/>
  <c r="H82" i="27"/>
  <c r="I82" i="27" s="1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F80" i="27"/>
  <c r="E80" i="27"/>
  <c r="N79" i="27"/>
  <c r="O79" i="27" s="1"/>
  <c r="L79" i="27"/>
  <c r="K79" i="27"/>
  <c r="H79" i="27"/>
  <c r="E79" i="27"/>
  <c r="N78" i="27"/>
  <c r="O78" i="27" s="1"/>
  <c r="K78" i="27"/>
  <c r="L78" i="27" s="1"/>
  <c r="H78" i="27"/>
  <c r="I78" i="27" s="1"/>
  <c r="E78" i="27"/>
  <c r="O77" i="27"/>
  <c r="N77" i="27"/>
  <c r="L77" i="27"/>
  <c r="K77" i="27"/>
  <c r="H77" i="27"/>
  <c r="I77" i="27" s="1"/>
  <c r="F77" i="27"/>
  <c r="E77" i="27"/>
  <c r="N76" i="27"/>
  <c r="O76" i="27" s="1"/>
  <c r="L76" i="27"/>
  <c r="K76" i="27"/>
  <c r="H76" i="27"/>
  <c r="F76" i="27"/>
  <c r="E76" i="27"/>
  <c r="N75" i="27"/>
  <c r="O75" i="27" s="1"/>
  <c r="K75" i="27"/>
  <c r="L75" i="27" s="1"/>
  <c r="H75" i="27"/>
  <c r="E75" i="27"/>
  <c r="N74" i="27"/>
  <c r="O74" i="27" s="1"/>
  <c r="L74" i="27"/>
  <c r="K74" i="27"/>
  <c r="H74" i="27"/>
  <c r="I74" i="27" s="1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F72" i="27"/>
  <c r="E72" i="27"/>
  <c r="N71" i="27"/>
  <c r="L71" i="27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I54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O61" i="27"/>
  <c r="N61" i="27"/>
  <c r="L61" i="27"/>
  <c r="K61" i="27"/>
  <c r="I61" i="27"/>
  <c r="H61" i="27"/>
  <c r="F61" i="27"/>
  <c r="E61" i="27"/>
  <c r="N60" i="27"/>
  <c r="O60" i="27" s="1"/>
  <c r="K60" i="27"/>
  <c r="L60" i="27" s="1"/>
  <c r="H60" i="27"/>
  <c r="E60" i="27"/>
  <c r="N59" i="27"/>
  <c r="O59" i="27" s="1"/>
  <c r="K59" i="27"/>
  <c r="L59" i="27" s="1"/>
  <c r="H59" i="27"/>
  <c r="E59" i="27"/>
  <c r="F59" i="27" s="1"/>
  <c r="N58" i="27"/>
  <c r="O58" i="27" s="1"/>
  <c r="K58" i="27"/>
  <c r="L58" i="27" s="1"/>
  <c r="H58" i="27"/>
  <c r="E58" i="27"/>
  <c r="N57" i="27"/>
  <c r="O57" i="27" s="1"/>
  <c r="K57" i="27"/>
  <c r="L57" i="27" s="1"/>
  <c r="I57" i="27"/>
  <c r="H57" i="27"/>
  <c r="E57" i="27"/>
  <c r="N56" i="27"/>
  <c r="O56" i="27" s="1"/>
  <c r="L56" i="27"/>
  <c r="K56" i="27"/>
  <c r="H56" i="27"/>
  <c r="E56" i="27"/>
  <c r="F56" i="27" s="1"/>
  <c r="N55" i="27"/>
  <c r="O55" i="27" s="1"/>
  <c r="K55" i="27"/>
  <c r="L55" i="27" s="1"/>
  <c r="H55" i="27"/>
  <c r="E55" i="27"/>
  <c r="N54" i="27"/>
  <c r="O54" i="27" s="1"/>
  <c r="L54" i="27"/>
  <c r="K54" i="27"/>
  <c r="H54" i="27"/>
  <c r="E54" i="27"/>
  <c r="F54" i="27" s="1"/>
  <c r="N53" i="27"/>
  <c r="O53" i="27" s="1"/>
  <c r="K53" i="27"/>
  <c r="L53" i="27" s="1"/>
  <c r="H53" i="27"/>
  <c r="E53" i="27"/>
  <c r="O52" i="27"/>
  <c r="N52" i="27"/>
  <c r="L52" i="27"/>
  <c r="K52" i="27"/>
  <c r="H52" i="27"/>
  <c r="I52" i="27" s="1"/>
  <c r="E52" i="27"/>
  <c r="N51" i="27"/>
  <c r="O51" i="27" s="1"/>
  <c r="K51" i="27"/>
  <c r="L51" i="27" s="1"/>
  <c r="H51" i="27"/>
  <c r="E51" i="27"/>
  <c r="N50" i="27"/>
  <c r="O50" i="27" s="1"/>
  <c r="L50" i="27"/>
  <c r="K50" i="27"/>
  <c r="I50" i="27"/>
  <c r="H50" i="27"/>
  <c r="E50" i="27"/>
  <c r="N49" i="27"/>
  <c r="O49" i="27" s="1"/>
  <c r="K49" i="27"/>
  <c r="L49" i="27" s="1"/>
  <c r="H49" i="27"/>
  <c r="E49" i="27"/>
  <c r="N48" i="27"/>
  <c r="O48" i="27" s="1"/>
  <c r="K48" i="27"/>
  <c r="L48" i="27" s="1"/>
  <c r="H48" i="27"/>
  <c r="E48" i="27"/>
  <c r="O47" i="27"/>
  <c r="N47" i="27"/>
  <c r="K47" i="27"/>
  <c r="L47" i="27" s="1"/>
  <c r="H47" i="27"/>
  <c r="I47" i="27" s="1"/>
  <c r="E47" i="27"/>
  <c r="N46" i="27"/>
  <c r="O46" i="27" s="1"/>
  <c r="K46" i="27"/>
  <c r="L46" i="27" s="1"/>
  <c r="H46" i="27"/>
  <c r="E46" i="27"/>
  <c r="N45" i="27"/>
  <c r="O45" i="27" s="1"/>
  <c r="K45" i="27"/>
  <c r="L45" i="27" s="1"/>
  <c r="H45" i="27"/>
  <c r="E45" i="27"/>
  <c r="F45" i="27" s="1"/>
  <c r="N44" i="27"/>
  <c r="K44" i="27"/>
  <c r="H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K21" i="27"/>
  <c r="J21" i="27"/>
  <c r="H21" i="27"/>
  <c r="G21" i="27"/>
  <c r="E21" i="27"/>
  <c r="D21" i="27"/>
  <c r="C21" i="27"/>
  <c r="B21" i="27"/>
  <c r="N20" i="27"/>
  <c r="M20" i="27"/>
  <c r="J20" i="27"/>
  <c r="H20" i="27"/>
  <c r="G20" i="27"/>
  <c r="E20" i="27"/>
  <c r="D20" i="27"/>
  <c r="C20" i="27"/>
  <c r="B20" i="27"/>
  <c r="M19" i="27"/>
  <c r="K19" i="27"/>
  <c r="J19" i="27"/>
  <c r="G19" i="27"/>
  <c r="E19" i="27"/>
  <c r="D19" i="27"/>
  <c r="C19" i="27"/>
  <c r="B19" i="27"/>
  <c r="N18" i="27"/>
  <c r="M18" i="27"/>
  <c r="K18" i="27"/>
  <c r="J18" i="27"/>
  <c r="H18" i="27"/>
  <c r="G18" i="27"/>
  <c r="E18" i="27"/>
  <c r="D18" i="27"/>
  <c r="C18" i="27"/>
  <c r="B18" i="27"/>
  <c r="N17" i="27"/>
  <c r="M17" i="27"/>
  <c r="K17" i="27"/>
  <c r="J17" i="27"/>
  <c r="I17" i="27"/>
  <c r="H17" i="27"/>
  <c r="G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N197" i="26"/>
  <c r="O197" i="26" s="1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N195" i="26"/>
  <c r="O195" i="26" s="1"/>
  <c r="K195" i="26"/>
  <c r="L195" i="26" s="1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K191" i="26"/>
  <c r="L191" i="26" s="1"/>
  <c r="H191" i="26"/>
  <c r="I191" i="26" s="1"/>
  <c r="F191" i="26"/>
  <c r="E191" i="26"/>
  <c r="O190" i="26"/>
  <c r="N190" i="26"/>
  <c r="L190" i="26"/>
  <c r="K190" i="26"/>
  <c r="H190" i="26"/>
  <c r="I190" i="26" s="1"/>
  <c r="F190" i="26"/>
  <c r="E190" i="26"/>
  <c r="N189" i="26"/>
  <c r="O189" i="26" s="1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K187" i="26"/>
  <c r="L187" i="26" s="1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O185" i="26"/>
  <c r="N185" i="26"/>
  <c r="K185" i="26"/>
  <c r="L185" i="26" s="1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K183" i="26"/>
  <c r="L183" i="26" s="1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N181" i="26"/>
  <c r="O181" i="26" s="1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N170" i="26"/>
  <c r="O170" i="26" s="1"/>
  <c r="K170" i="26"/>
  <c r="L170" i="26" s="1"/>
  <c r="H170" i="26"/>
  <c r="I170" i="26" s="1"/>
  <c r="F170" i="26"/>
  <c r="E170" i="26"/>
  <c r="N169" i="26"/>
  <c r="O169" i="26" s="1"/>
  <c r="K169" i="26"/>
  <c r="L169" i="26" s="1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N161" i="26"/>
  <c r="O161" i="26" s="1"/>
  <c r="K161" i="26"/>
  <c r="L161" i="26" s="1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N159" i="26"/>
  <c r="O159" i="26" s="1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O21" i="26" s="1"/>
  <c r="K156" i="26"/>
  <c r="L156" i="26" s="1"/>
  <c r="L21" i="26" s="1"/>
  <c r="H156" i="26"/>
  <c r="I156" i="26" s="1"/>
  <c r="I21" i="26" s="1"/>
  <c r="F156" i="26"/>
  <c r="F21" i="26" s="1"/>
  <c r="E156" i="26"/>
  <c r="N155" i="26"/>
  <c r="O155" i="26" s="1"/>
  <c r="O20" i="26" s="1"/>
  <c r="L155" i="26"/>
  <c r="K155" i="26"/>
  <c r="H155" i="26"/>
  <c r="I155" i="26" s="1"/>
  <c r="I20" i="26" s="1"/>
  <c r="F155" i="26"/>
  <c r="E155" i="26"/>
  <c r="N154" i="26"/>
  <c r="O154" i="26" s="1"/>
  <c r="O19" i="26" s="1"/>
  <c r="K154" i="26"/>
  <c r="K19" i="26" s="1"/>
  <c r="H154" i="26"/>
  <c r="I154" i="26" s="1"/>
  <c r="I19" i="26" s="1"/>
  <c r="F154" i="26"/>
  <c r="F19" i="26" s="1"/>
  <c r="E154" i="26"/>
  <c r="N153" i="26"/>
  <c r="O153" i="26" s="1"/>
  <c r="O18" i="26" s="1"/>
  <c r="L153" i="26"/>
  <c r="K153" i="26"/>
  <c r="H153" i="26"/>
  <c r="I153" i="26" s="1"/>
  <c r="I18" i="26" s="1"/>
  <c r="F153" i="26"/>
  <c r="E153" i="26"/>
  <c r="N152" i="26"/>
  <c r="N172" i="26" s="1"/>
  <c r="K152" i="26"/>
  <c r="H152" i="26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O142" i="26"/>
  <c r="N142" i="26"/>
  <c r="L142" i="26"/>
  <c r="K142" i="26"/>
  <c r="H142" i="26"/>
  <c r="I142" i="26" s="1"/>
  <c r="F142" i="26"/>
  <c r="E142" i="26"/>
  <c r="O141" i="26"/>
  <c r="N141" i="26"/>
  <c r="K141" i="26"/>
  <c r="L141" i="26" s="1"/>
  <c r="H141" i="26"/>
  <c r="I141" i="26" s="1"/>
  <c r="F141" i="26"/>
  <c r="E141" i="26"/>
  <c r="N140" i="26"/>
  <c r="O140" i="26" s="1"/>
  <c r="K140" i="26"/>
  <c r="L140" i="26" s="1"/>
  <c r="H140" i="26"/>
  <c r="I140" i="26" s="1"/>
  <c r="F140" i="26"/>
  <c r="E140" i="26"/>
  <c r="N139" i="26"/>
  <c r="O139" i="26" s="1"/>
  <c r="K139" i="26"/>
  <c r="L139" i="26" s="1"/>
  <c r="I139" i="26"/>
  <c r="H139" i="26"/>
  <c r="F139" i="26"/>
  <c r="E139" i="26"/>
  <c r="N138" i="26"/>
  <c r="O138" i="26" s="1"/>
  <c r="K138" i="26"/>
  <c r="L138" i="26" s="1"/>
  <c r="I138" i="26"/>
  <c r="H138" i="26"/>
  <c r="F138" i="26"/>
  <c r="E138" i="26"/>
  <c r="N137" i="26"/>
  <c r="O137" i="26" s="1"/>
  <c r="K137" i="26"/>
  <c r="L137" i="26" s="1"/>
  <c r="H137" i="26"/>
  <c r="I137" i="26" s="1"/>
  <c r="F137" i="26"/>
  <c r="E137" i="26"/>
  <c r="O136" i="26"/>
  <c r="N136" i="26"/>
  <c r="K136" i="26"/>
  <c r="L136" i="26" s="1"/>
  <c r="H136" i="26"/>
  <c r="I136" i="26" s="1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O133" i="26"/>
  <c r="N133" i="26"/>
  <c r="K133" i="26"/>
  <c r="L133" i="26" s="1"/>
  <c r="H133" i="26"/>
  <c r="I133" i="26" s="1"/>
  <c r="F133" i="26"/>
  <c r="E133" i="26"/>
  <c r="N132" i="26"/>
  <c r="O132" i="26" s="1"/>
  <c r="K132" i="26"/>
  <c r="L132" i="26" s="1"/>
  <c r="H132" i="26"/>
  <c r="I132" i="26" s="1"/>
  <c r="F132" i="26"/>
  <c r="E132" i="26"/>
  <c r="N131" i="26"/>
  <c r="O131" i="26" s="1"/>
  <c r="K131" i="26"/>
  <c r="L131" i="26" s="1"/>
  <c r="I131" i="26"/>
  <c r="H131" i="26"/>
  <c r="F131" i="26"/>
  <c r="E131" i="26"/>
  <c r="N130" i="26"/>
  <c r="O130" i="26" s="1"/>
  <c r="K130" i="26"/>
  <c r="L130" i="26" s="1"/>
  <c r="I130" i="26"/>
  <c r="H130" i="26"/>
  <c r="F130" i="26"/>
  <c r="E130" i="26"/>
  <c r="N129" i="26"/>
  <c r="O129" i="26" s="1"/>
  <c r="K129" i="26"/>
  <c r="L129" i="26" s="1"/>
  <c r="H129" i="26"/>
  <c r="I129" i="26" s="1"/>
  <c r="F129" i="26"/>
  <c r="E129" i="26"/>
  <c r="O128" i="26"/>
  <c r="N128" i="26"/>
  <c r="K128" i="26"/>
  <c r="L128" i="26" s="1"/>
  <c r="H128" i="26"/>
  <c r="I128" i="26" s="1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O125" i="26"/>
  <c r="N125" i="26"/>
  <c r="K125" i="26"/>
  <c r="K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N116" i="26"/>
  <c r="O116" i="26" s="1"/>
  <c r="L116" i="26"/>
  <c r="K116" i="26"/>
  <c r="H116" i="26"/>
  <c r="I116" i="26" s="1"/>
  <c r="F116" i="26"/>
  <c r="E116" i="26"/>
  <c r="N115" i="26"/>
  <c r="O115" i="26" s="1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L112" i="26"/>
  <c r="K112" i="26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N110" i="26"/>
  <c r="O110" i="26" s="1"/>
  <c r="L110" i="26"/>
  <c r="K110" i="26"/>
  <c r="H110" i="26"/>
  <c r="I110" i="26" s="1"/>
  <c r="F110" i="26"/>
  <c r="E110" i="26"/>
  <c r="N109" i="26"/>
  <c r="O109" i="26" s="1"/>
  <c r="K109" i="26"/>
  <c r="L109" i="26" s="1"/>
  <c r="H109" i="26"/>
  <c r="I109" i="26" s="1"/>
  <c r="F109" i="26"/>
  <c r="E109" i="26"/>
  <c r="N108" i="26"/>
  <c r="O108" i="26" s="1"/>
  <c r="L108" i="26"/>
  <c r="K108" i="26"/>
  <c r="H108" i="26"/>
  <c r="I108" i="26" s="1"/>
  <c r="F108" i="26"/>
  <c r="E108" i="26"/>
  <c r="N107" i="26"/>
  <c r="O107" i="26" s="1"/>
  <c r="K107" i="26"/>
  <c r="L107" i="26" s="1"/>
  <c r="H107" i="26"/>
  <c r="I107" i="26" s="1"/>
  <c r="F107" i="26"/>
  <c r="E107" i="26"/>
  <c r="N106" i="26"/>
  <c r="O106" i="26" s="1"/>
  <c r="L106" i="26"/>
  <c r="K106" i="26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L104" i="26"/>
  <c r="K104" i="26"/>
  <c r="H104" i="26"/>
  <c r="I104" i="26" s="1"/>
  <c r="F104" i="26"/>
  <c r="E104" i="26"/>
  <c r="N103" i="26"/>
  <c r="O103" i="26" s="1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K101" i="26"/>
  <c r="L101" i="26" s="1"/>
  <c r="H101" i="26"/>
  <c r="I101" i="26" s="1"/>
  <c r="F101" i="26"/>
  <c r="E101" i="26"/>
  <c r="N100" i="26"/>
  <c r="O100" i="26" s="1"/>
  <c r="L100" i="26"/>
  <c r="K100" i="26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O98" i="26" s="1"/>
  <c r="L98" i="26"/>
  <c r="K98" i="26"/>
  <c r="H98" i="26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O90" i="26"/>
  <c r="N90" i="26"/>
  <c r="K90" i="26"/>
  <c r="L90" i="26" s="1"/>
  <c r="H90" i="26"/>
  <c r="I90" i="26" s="1"/>
  <c r="F90" i="26"/>
  <c r="E90" i="26"/>
  <c r="N89" i="26"/>
  <c r="O89" i="26" s="1"/>
  <c r="L89" i="26"/>
  <c r="K89" i="26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L87" i="26"/>
  <c r="K87" i="26"/>
  <c r="H87" i="26"/>
  <c r="I87" i="26" s="1"/>
  <c r="F87" i="26"/>
  <c r="E87" i="26"/>
  <c r="N86" i="26"/>
  <c r="O86" i="26" s="1"/>
  <c r="K86" i="26"/>
  <c r="L86" i="26" s="1"/>
  <c r="H86" i="26"/>
  <c r="I86" i="26" s="1"/>
  <c r="F86" i="26"/>
  <c r="E86" i="26"/>
  <c r="N85" i="26"/>
  <c r="O85" i="26" s="1"/>
  <c r="L85" i="26"/>
  <c r="K85" i="26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O82" i="26"/>
  <c r="N82" i="26"/>
  <c r="K82" i="26"/>
  <c r="L82" i="26" s="1"/>
  <c r="H82" i="26"/>
  <c r="I82" i="26" s="1"/>
  <c r="F82" i="26"/>
  <c r="E82" i="26"/>
  <c r="N81" i="26"/>
  <c r="O81" i="26" s="1"/>
  <c r="L81" i="26"/>
  <c r="K81" i="26"/>
  <c r="H81" i="26"/>
  <c r="I81" i="26" s="1"/>
  <c r="F81" i="26"/>
  <c r="E81" i="26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N78" i="26"/>
  <c r="O78" i="26" s="1"/>
  <c r="K78" i="26"/>
  <c r="L78" i="26" s="1"/>
  <c r="H78" i="26"/>
  <c r="I78" i="26" s="1"/>
  <c r="F78" i="26"/>
  <c r="E78" i="26"/>
  <c r="N77" i="26"/>
  <c r="O77" i="26" s="1"/>
  <c r="L77" i="26"/>
  <c r="K77" i="26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O72" i="26"/>
  <c r="N72" i="26"/>
  <c r="K72" i="26"/>
  <c r="L72" i="26" s="1"/>
  <c r="H72" i="26"/>
  <c r="I72" i="26" s="1"/>
  <c r="F72" i="26"/>
  <c r="E72" i="26"/>
  <c r="N71" i="26"/>
  <c r="N91" i="26" s="1"/>
  <c r="L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L61" i="26" s="1"/>
  <c r="H61" i="26"/>
  <c r="I61" i="26" s="1"/>
  <c r="E61" i="26"/>
  <c r="F61" i="26" s="1"/>
  <c r="N60" i="26"/>
  <c r="O60" i="26" s="1"/>
  <c r="L60" i="26"/>
  <c r="K60" i="26"/>
  <c r="H60" i="26"/>
  <c r="I60" i="26" s="1"/>
  <c r="E60" i="26"/>
  <c r="F60" i="26" s="1"/>
  <c r="N59" i="26"/>
  <c r="O59" i="26" s="1"/>
  <c r="L59" i="26"/>
  <c r="K59" i="26"/>
  <c r="H59" i="26"/>
  <c r="I59" i="26" s="1"/>
  <c r="E59" i="26"/>
  <c r="F59" i="26" s="1"/>
  <c r="N58" i="26"/>
  <c r="O58" i="26" s="1"/>
  <c r="K58" i="26"/>
  <c r="L58" i="26" s="1"/>
  <c r="H58" i="26"/>
  <c r="I58" i="26" s="1"/>
  <c r="E58" i="26"/>
  <c r="F58" i="26" s="1"/>
  <c r="O57" i="26"/>
  <c r="N57" i="26"/>
  <c r="K57" i="26"/>
  <c r="L57" i="26" s="1"/>
  <c r="H57" i="26"/>
  <c r="I57" i="26" s="1"/>
  <c r="E57" i="26"/>
  <c r="F57" i="26" s="1"/>
  <c r="O56" i="26"/>
  <c r="N56" i="26"/>
  <c r="L56" i="26"/>
  <c r="K56" i="26"/>
  <c r="H56" i="26"/>
  <c r="I56" i="26" s="1"/>
  <c r="E56" i="26"/>
  <c r="F56" i="26" s="1"/>
  <c r="N55" i="26"/>
  <c r="O55" i="26" s="1"/>
  <c r="L55" i="26"/>
  <c r="K55" i="26"/>
  <c r="H55" i="26"/>
  <c r="I55" i="26" s="1"/>
  <c r="E55" i="26"/>
  <c r="F55" i="26" s="1"/>
  <c r="O54" i="26"/>
  <c r="N54" i="26"/>
  <c r="K54" i="26"/>
  <c r="L54" i="26" s="1"/>
  <c r="H54" i="26"/>
  <c r="I54" i="26" s="1"/>
  <c r="E54" i="26"/>
  <c r="F54" i="26" s="1"/>
  <c r="N53" i="26"/>
  <c r="O53" i="26" s="1"/>
  <c r="K53" i="26"/>
  <c r="L53" i="26" s="1"/>
  <c r="H53" i="26"/>
  <c r="I53" i="26" s="1"/>
  <c r="E53" i="26"/>
  <c r="F53" i="26" s="1"/>
  <c r="N52" i="26"/>
  <c r="O52" i="26" s="1"/>
  <c r="L52" i="26"/>
  <c r="K52" i="26"/>
  <c r="H52" i="26"/>
  <c r="I52" i="26" s="1"/>
  <c r="E52" i="26"/>
  <c r="F52" i="26" s="1"/>
  <c r="N51" i="26"/>
  <c r="O51" i="26" s="1"/>
  <c r="L51" i="26"/>
  <c r="K51" i="26"/>
  <c r="H51" i="26"/>
  <c r="I51" i="26" s="1"/>
  <c r="E51" i="26"/>
  <c r="F51" i="26" s="1"/>
  <c r="N50" i="26"/>
  <c r="O50" i="26" s="1"/>
  <c r="K50" i="26"/>
  <c r="L50" i="26" s="1"/>
  <c r="H50" i="26"/>
  <c r="I50" i="26" s="1"/>
  <c r="E50" i="26"/>
  <c r="F50" i="26" s="1"/>
  <c r="O49" i="26"/>
  <c r="N49" i="26"/>
  <c r="K49" i="26"/>
  <c r="L49" i="26" s="1"/>
  <c r="H49" i="26"/>
  <c r="I49" i="26" s="1"/>
  <c r="E49" i="26"/>
  <c r="F49" i="26" s="1"/>
  <c r="O48" i="26"/>
  <c r="N48" i="26"/>
  <c r="L48" i="26"/>
  <c r="K48" i="26"/>
  <c r="H48" i="26"/>
  <c r="I48" i="26" s="1"/>
  <c r="E48" i="26"/>
  <c r="F48" i="26" s="1"/>
  <c r="N47" i="26"/>
  <c r="O47" i="26" s="1"/>
  <c r="L47" i="26"/>
  <c r="K47" i="26"/>
  <c r="H47" i="26"/>
  <c r="I47" i="26" s="1"/>
  <c r="E47" i="26"/>
  <c r="F47" i="26" s="1"/>
  <c r="O46" i="26"/>
  <c r="N46" i="26"/>
  <c r="K46" i="26"/>
  <c r="L46" i="26" s="1"/>
  <c r="H46" i="26"/>
  <c r="I46" i="26" s="1"/>
  <c r="E46" i="26"/>
  <c r="F46" i="26" s="1"/>
  <c r="N45" i="26"/>
  <c r="O45" i="26" s="1"/>
  <c r="K45" i="26"/>
  <c r="L45" i="26" s="1"/>
  <c r="H45" i="26"/>
  <c r="I45" i="26" s="1"/>
  <c r="E45" i="26"/>
  <c r="F45" i="26" s="1"/>
  <c r="N44" i="26"/>
  <c r="L44" i="26"/>
  <c r="K44" i="26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N21" i="26"/>
  <c r="M21" i="26"/>
  <c r="K21" i="26"/>
  <c r="J21" i="26"/>
  <c r="G21" i="26"/>
  <c r="E21" i="26"/>
  <c r="D21" i="26"/>
  <c r="C21" i="26"/>
  <c r="B21" i="26"/>
  <c r="M20" i="26"/>
  <c r="L20" i="26"/>
  <c r="K20" i="26"/>
  <c r="J20" i="26"/>
  <c r="H20" i="26"/>
  <c r="G20" i="26"/>
  <c r="F20" i="26"/>
  <c r="E20" i="26"/>
  <c r="D20" i="26"/>
  <c r="C20" i="26"/>
  <c r="B20" i="26"/>
  <c r="M19" i="26"/>
  <c r="J19" i="26"/>
  <c r="H19" i="26"/>
  <c r="G19" i="26"/>
  <c r="E19" i="26"/>
  <c r="D19" i="26"/>
  <c r="C19" i="26"/>
  <c r="B19" i="26"/>
  <c r="N18" i="26"/>
  <c r="M18" i="26"/>
  <c r="L18" i="26"/>
  <c r="K18" i="26"/>
  <c r="J18" i="26"/>
  <c r="G18" i="26"/>
  <c r="F18" i="26"/>
  <c r="E18" i="26"/>
  <c r="D18" i="26"/>
  <c r="C18" i="26"/>
  <c r="B18" i="26"/>
  <c r="M17" i="26"/>
  <c r="K17" i="26"/>
  <c r="J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E198" i="25"/>
  <c r="F198" i="25" s="1"/>
  <c r="N197" i="25"/>
  <c r="O197" i="25" s="1"/>
  <c r="K197" i="25"/>
  <c r="L197" i="25" s="1"/>
  <c r="H197" i="25"/>
  <c r="I197" i="25" s="1"/>
  <c r="E197" i="25"/>
  <c r="F197" i="25" s="1"/>
  <c r="O196" i="25"/>
  <c r="N196" i="25"/>
  <c r="K196" i="25"/>
  <c r="L196" i="25" s="1"/>
  <c r="I196" i="25"/>
  <c r="H196" i="25"/>
  <c r="E196" i="25"/>
  <c r="F196" i="25" s="1"/>
  <c r="N195" i="25"/>
  <c r="O195" i="25" s="1"/>
  <c r="K195" i="25"/>
  <c r="L195" i="25" s="1"/>
  <c r="H195" i="25"/>
  <c r="I195" i="25" s="1"/>
  <c r="E195" i="25"/>
  <c r="F195" i="25" s="1"/>
  <c r="O194" i="25"/>
  <c r="N194" i="25"/>
  <c r="K194" i="25"/>
  <c r="L194" i="25" s="1"/>
  <c r="H194" i="25"/>
  <c r="I194" i="25" s="1"/>
  <c r="E194" i="25"/>
  <c r="F194" i="25" s="1"/>
  <c r="N193" i="25"/>
  <c r="O193" i="25" s="1"/>
  <c r="K193" i="25"/>
  <c r="L193" i="25" s="1"/>
  <c r="H193" i="25"/>
  <c r="I193" i="25" s="1"/>
  <c r="E193" i="25"/>
  <c r="F193" i="25" s="1"/>
  <c r="N192" i="25"/>
  <c r="O192" i="25" s="1"/>
  <c r="K192" i="25"/>
  <c r="L192" i="25" s="1"/>
  <c r="H192" i="25"/>
  <c r="I192" i="25" s="1"/>
  <c r="E192" i="25"/>
  <c r="F192" i="25" s="1"/>
  <c r="N191" i="25"/>
  <c r="O191" i="25" s="1"/>
  <c r="K191" i="25"/>
  <c r="L191" i="25" s="1"/>
  <c r="H191" i="25"/>
  <c r="I191" i="25" s="1"/>
  <c r="E191" i="25"/>
  <c r="F191" i="25" s="1"/>
  <c r="O190" i="25"/>
  <c r="N190" i="25"/>
  <c r="K190" i="25"/>
  <c r="L190" i="25" s="1"/>
  <c r="H190" i="25"/>
  <c r="I190" i="25" s="1"/>
  <c r="E190" i="25"/>
  <c r="F190" i="25" s="1"/>
  <c r="N189" i="25"/>
  <c r="O189" i="25" s="1"/>
  <c r="K189" i="25"/>
  <c r="L189" i="25" s="1"/>
  <c r="H189" i="25"/>
  <c r="I189" i="25" s="1"/>
  <c r="E189" i="25"/>
  <c r="F189" i="25" s="1"/>
  <c r="N188" i="25"/>
  <c r="O188" i="25" s="1"/>
  <c r="L188" i="25"/>
  <c r="K188" i="25"/>
  <c r="I188" i="25"/>
  <c r="H188" i="25"/>
  <c r="E188" i="25"/>
  <c r="F188" i="25" s="1"/>
  <c r="O187" i="25"/>
  <c r="N187" i="25"/>
  <c r="K187" i="25"/>
  <c r="L187" i="25" s="1"/>
  <c r="H187" i="25"/>
  <c r="I187" i="25" s="1"/>
  <c r="E187" i="25"/>
  <c r="F187" i="25" s="1"/>
  <c r="N186" i="25"/>
  <c r="O186" i="25" s="1"/>
  <c r="K186" i="25"/>
  <c r="L186" i="25" s="1"/>
  <c r="H186" i="25"/>
  <c r="I186" i="25" s="1"/>
  <c r="E186" i="25"/>
  <c r="F186" i="25" s="1"/>
  <c r="N185" i="25"/>
  <c r="O185" i="25" s="1"/>
  <c r="K185" i="25"/>
  <c r="L185" i="25" s="1"/>
  <c r="H185" i="25"/>
  <c r="I185" i="25" s="1"/>
  <c r="E185" i="25"/>
  <c r="F185" i="25" s="1"/>
  <c r="N184" i="25"/>
  <c r="O184" i="25" s="1"/>
  <c r="K184" i="25"/>
  <c r="L184" i="25" s="1"/>
  <c r="H184" i="25"/>
  <c r="I184" i="25" s="1"/>
  <c r="E184" i="25"/>
  <c r="F184" i="25" s="1"/>
  <c r="O183" i="25"/>
  <c r="N183" i="25"/>
  <c r="K183" i="25"/>
  <c r="L183" i="25" s="1"/>
  <c r="H183" i="25"/>
  <c r="I183" i="25" s="1"/>
  <c r="E183" i="25"/>
  <c r="F183" i="25" s="1"/>
  <c r="N182" i="25"/>
  <c r="O182" i="25" s="1"/>
  <c r="K182" i="25"/>
  <c r="L182" i="25" s="1"/>
  <c r="H182" i="25"/>
  <c r="I182" i="25" s="1"/>
  <c r="E182" i="25"/>
  <c r="F182" i="25" s="1"/>
  <c r="N181" i="25"/>
  <c r="O181" i="25" s="1"/>
  <c r="L181" i="25"/>
  <c r="K181" i="25"/>
  <c r="H181" i="25"/>
  <c r="I181" i="25" s="1"/>
  <c r="E181" i="25"/>
  <c r="F181" i="25" s="1"/>
  <c r="O180" i="25"/>
  <c r="N180" i="25"/>
  <c r="K180" i="25"/>
  <c r="L180" i="25" s="1"/>
  <c r="I180" i="25"/>
  <c r="H180" i="25"/>
  <c r="E180" i="25"/>
  <c r="F180" i="25" s="1"/>
  <c r="N179" i="25"/>
  <c r="K179" i="25"/>
  <c r="L179" i="25" s="1"/>
  <c r="H179" i="25"/>
  <c r="E179" i="25"/>
  <c r="M177" i="25"/>
  <c r="J177" i="25"/>
  <c r="G177" i="25"/>
  <c r="D177" i="25"/>
  <c r="B177" i="25"/>
  <c r="M176" i="25"/>
  <c r="G176" i="25"/>
  <c r="B172" i="25"/>
  <c r="O171" i="25"/>
  <c r="O21" i="25" s="1"/>
  <c r="N171" i="25"/>
  <c r="K171" i="25"/>
  <c r="L171" i="25" s="1"/>
  <c r="L21" i="25" s="1"/>
  <c r="I171" i="25"/>
  <c r="I21" i="25" s="1"/>
  <c r="H171" i="25"/>
  <c r="E171" i="25"/>
  <c r="F171" i="25" s="1"/>
  <c r="F21" i="25" s="1"/>
  <c r="N170" i="25"/>
  <c r="O170" i="25" s="1"/>
  <c r="O20" i="25" s="1"/>
  <c r="K170" i="25"/>
  <c r="L170" i="25" s="1"/>
  <c r="L20" i="25" s="1"/>
  <c r="H170" i="25"/>
  <c r="I170" i="25" s="1"/>
  <c r="I20" i="25" s="1"/>
  <c r="E170" i="25"/>
  <c r="F170" i="25" s="1"/>
  <c r="F20" i="25" s="1"/>
  <c r="N169" i="25"/>
  <c r="O169" i="25" s="1"/>
  <c r="O19" i="25" s="1"/>
  <c r="K169" i="25"/>
  <c r="L169" i="25" s="1"/>
  <c r="L19" i="25" s="1"/>
  <c r="H169" i="25"/>
  <c r="I169" i="25" s="1"/>
  <c r="I19" i="25" s="1"/>
  <c r="E169" i="25"/>
  <c r="F169" i="25" s="1"/>
  <c r="F19" i="25" s="1"/>
  <c r="O168" i="25"/>
  <c r="O18" i="25" s="1"/>
  <c r="N168" i="25"/>
  <c r="K168" i="25"/>
  <c r="L168" i="25" s="1"/>
  <c r="L18" i="25" s="1"/>
  <c r="H168" i="25"/>
  <c r="I168" i="25" s="1"/>
  <c r="I18" i="25" s="1"/>
  <c r="E168" i="25"/>
  <c r="F168" i="25" s="1"/>
  <c r="F18" i="25" s="1"/>
  <c r="N167" i="25"/>
  <c r="O167" i="25" s="1"/>
  <c r="O17" i="25" s="1"/>
  <c r="K167" i="25"/>
  <c r="L167" i="25" s="1"/>
  <c r="L17" i="25" s="1"/>
  <c r="I167" i="25"/>
  <c r="I17" i="25" s="1"/>
  <c r="H167" i="25"/>
  <c r="E167" i="25"/>
  <c r="F167" i="25" s="1"/>
  <c r="F17" i="25" s="1"/>
  <c r="N166" i="25"/>
  <c r="O166" i="25" s="1"/>
  <c r="K166" i="25"/>
  <c r="L166" i="25" s="1"/>
  <c r="H166" i="25"/>
  <c r="I166" i="25" s="1"/>
  <c r="E166" i="25"/>
  <c r="F166" i="25" s="1"/>
  <c r="O165" i="25"/>
  <c r="N165" i="25"/>
  <c r="L165" i="25"/>
  <c r="K165" i="25"/>
  <c r="H165" i="25"/>
  <c r="I165" i="25" s="1"/>
  <c r="E165" i="25"/>
  <c r="F165" i="25" s="1"/>
  <c r="N164" i="25"/>
  <c r="O164" i="25" s="1"/>
  <c r="K164" i="25"/>
  <c r="L164" i="25" s="1"/>
  <c r="H164" i="25"/>
  <c r="I164" i="25" s="1"/>
  <c r="E164" i="25"/>
  <c r="F164" i="25" s="1"/>
  <c r="N163" i="25"/>
  <c r="O163" i="25" s="1"/>
  <c r="K163" i="25"/>
  <c r="L163" i="25" s="1"/>
  <c r="I163" i="25"/>
  <c r="H163" i="25"/>
  <c r="E163" i="25"/>
  <c r="F163" i="25" s="1"/>
  <c r="N162" i="25"/>
  <c r="O162" i="25" s="1"/>
  <c r="K162" i="25"/>
  <c r="L162" i="25" s="1"/>
  <c r="H162" i="25"/>
  <c r="I162" i="25" s="1"/>
  <c r="E162" i="25"/>
  <c r="F162" i="25" s="1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E160" i="25"/>
  <c r="F160" i="25" s="1"/>
  <c r="N159" i="25"/>
  <c r="O159" i="25" s="1"/>
  <c r="K159" i="25"/>
  <c r="L159" i="25" s="1"/>
  <c r="I159" i="25"/>
  <c r="H159" i="25"/>
  <c r="E159" i="25"/>
  <c r="F159" i="25" s="1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O156" i="25"/>
  <c r="N156" i="25"/>
  <c r="L156" i="25"/>
  <c r="K156" i="25"/>
  <c r="H156" i="25"/>
  <c r="I156" i="25" s="1"/>
  <c r="E156" i="25"/>
  <c r="F156" i="25" s="1"/>
  <c r="N155" i="25"/>
  <c r="O155" i="25" s="1"/>
  <c r="K155" i="25"/>
  <c r="L155" i="25" s="1"/>
  <c r="I155" i="25"/>
  <c r="H155" i="25"/>
  <c r="E155" i="25"/>
  <c r="F155" i="25" s="1"/>
  <c r="O154" i="25"/>
  <c r="N154" i="25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E153" i="25"/>
  <c r="F153" i="25" s="1"/>
  <c r="N152" i="25"/>
  <c r="O152" i="25" s="1"/>
  <c r="K152" i="25"/>
  <c r="H152" i="25"/>
  <c r="I152" i="25" s="1"/>
  <c r="E152" i="25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N143" i="25"/>
  <c r="O143" i="25" s="1"/>
  <c r="L143" i="25"/>
  <c r="K143" i="25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K137" i="25"/>
  <c r="L137" i="25" s="1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N133" i="25"/>
  <c r="O133" i="25" s="1"/>
  <c r="K133" i="25"/>
  <c r="L133" i="25" s="1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N129" i="25"/>
  <c r="O129" i="25" s="1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N125" i="25"/>
  <c r="K125" i="25"/>
  <c r="H125" i="25"/>
  <c r="I12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I117" i="25"/>
  <c r="H117" i="25"/>
  <c r="E117" i="25"/>
  <c r="F117" i="25" s="1"/>
  <c r="O116" i="25"/>
  <c r="N116" i="25"/>
  <c r="K116" i="25"/>
  <c r="L116" i="25" s="1"/>
  <c r="H116" i="25"/>
  <c r="I116" i="25" s="1"/>
  <c r="E116" i="25"/>
  <c r="F116" i="25" s="1"/>
  <c r="N115" i="25"/>
  <c r="O115" i="25" s="1"/>
  <c r="L115" i="25"/>
  <c r="K115" i="25"/>
  <c r="I115" i="25"/>
  <c r="H115" i="25"/>
  <c r="E115" i="25"/>
  <c r="F115" i="25" s="1"/>
  <c r="N114" i="25"/>
  <c r="O114" i="25" s="1"/>
  <c r="K114" i="25"/>
  <c r="L114" i="25" s="1"/>
  <c r="H114" i="25"/>
  <c r="I114" i="25" s="1"/>
  <c r="E114" i="25"/>
  <c r="F114" i="25" s="1"/>
  <c r="N113" i="25"/>
  <c r="O113" i="25" s="1"/>
  <c r="K113" i="25"/>
  <c r="L113" i="25" s="1"/>
  <c r="H113" i="25"/>
  <c r="I113" i="25" s="1"/>
  <c r="E113" i="25"/>
  <c r="F113" i="25" s="1"/>
  <c r="N112" i="25"/>
  <c r="O112" i="25" s="1"/>
  <c r="L112" i="25"/>
  <c r="K112" i="25"/>
  <c r="I112" i="25"/>
  <c r="H112" i="25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K109" i="25"/>
  <c r="L109" i="25" s="1"/>
  <c r="I109" i="25"/>
  <c r="H109" i="25"/>
  <c r="E109" i="25"/>
  <c r="F109" i="25" s="1"/>
  <c r="N108" i="25"/>
  <c r="O108" i="25" s="1"/>
  <c r="K108" i="25"/>
  <c r="L108" i="25" s="1"/>
  <c r="H108" i="25"/>
  <c r="I108" i="25" s="1"/>
  <c r="E108" i="25"/>
  <c r="F108" i="25" s="1"/>
  <c r="N107" i="25"/>
  <c r="O107" i="25" s="1"/>
  <c r="K107" i="25"/>
  <c r="L107" i="25" s="1"/>
  <c r="I107" i="25"/>
  <c r="H107" i="25"/>
  <c r="E107" i="25"/>
  <c r="F107" i="25" s="1"/>
  <c r="N106" i="25"/>
  <c r="O106" i="25" s="1"/>
  <c r="K106" i="25"/>
  <c r="L106" i="25" s="1"/>
  <c r="H106" i="25"/>
  <c r="I106" i="25" s="1"/>
  <c r="E106" i="25"/>
  <c r="F106" i="25" s="1"/>
  <c r="N105" i="25"/>
  <c r="O105" i="25" s="1"/>
  <c r="K105" i="25"/>
  <c r="L105" i="25" s="1"/>
  <c r="H105" i="25"/>
  <c r="I105" i="25" s="1"/>
  <c r="E105" i="25"/>
  <c r="F105" i="25" s="1"/>
  <c r="N104" i="25"/>
  <c r="O104" i="25" s="1"/>
  <c r="K104" i="25"/>
  <c r="L104" i="25" s="1"/>
  <c r="I104" i="25"/>
  <c r="H104" i="25"/>
  <c r="E104" i="25"/>
  <c r="F104" i="25" s="1"/>
  <c r="N103" i="25"/>
  <c r="O103" i="25" s="1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K101" i="25"/>
  <c r="L101" i="25" s="1"/>
  <c r="I101" i="25"/>
  <c r="H101" i="25"/>
  <c r="E101" i="25"/>
  <c r="F101" i="25" s="1"/>
  <c r="N100" i="25"/>
  <c r="O100" i="25" s="1"/>
  <c r="K100" i="25"/>
  <c r="L100" i="25" s="1"/>
  <c r="H100" i="25"/>
  <c r="I100" i="25" s="1"/>
  <c r="E100" i="25"/>
  <c r="F100" i="25" s="1"/>
  <c r="N99" i="25"/>
  <c r="O99" i="25" s="1"/>
  <c r="K99" i="25"/>
  <c r="L99" i="25" s="1"/>
  <c r="I99" i="25"/>
  <c r="H99" i="25"/>
  <c r="E99" i="25"/>
  <c r="F99" i="25" s="1"/>
  <c r="O98" i="25"/>
  <c r="N98" i="25"/>
  <c r="K98" i="25"/>
  <c r="L98" i="25" s="1"/>
  <c r="H98" i="25"/>
  <c r="I98" i="25" s="1"/>
  <c r="E98" i="25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L88" i="25"/>
  <c r="K88" i="25"/>
  <c r="H88" i="25"/>
  <c r="I88" i="25" s="1"/>
  <c r="F88" i="25"/>
  <c r="E88" i="25"/>
  <c r="N87" i="25"/>
  <c r="O87" i="25" s="1"/>
  <c r="K87" i="25"/>
  <c r="L87" i="25" s="1"/>
  <c r="H87" i="25"/>
  <c r="I87" i="25" s="1"/>
  <c r="F87" i="25"/>
  <c r="E87" i="25"/>
  <c r="O86" i="25"/>
  <c r="N86" i="25"/>
  <c r="K86" i="25"/>
  <c r="L86" i="25" s="1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N83" i="25"/>
  <c r="O83" i="25" s="1"/>
  <c r="K83" i="25"/>
  <c r="L83" i="25" s="1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N80" i="25"/>
  <c r="O80" i="25" s="1"/>
  <c r="L80" i="25"/>
  <c r="K80" i="25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N76" i="25"/>
  <c r="O76" i="25" s="1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N74" i="25"/>
  <c r="O74" i="25" s="1"/>
  <c r="L74" i="25"/>
  <c r="K74" i="25"/>
  <c r="H74" i="25"/>
  <c r="I74" i="25" s="1"/>
  <c r="F74" i="25"/>
  <c r="E74" i="25"/>
  <c r="N73" i="25"/>
  <c r="O73" i="25" s="1"/>
  <c r="K73" i="25"/>
  <c r="L73" i="25" s="1"/>
  <c r="H73" i="25"/>
  <c r="I73" i="25" s="1"/>
  <c r="F73" i="25"/>
  <c r="E73" i="25"/>
  <c r="O72" i="25"/>
  <c r="N72" i="25"/>
  <c r="L72" i="25"/>
  <c r="K72" i="25"/>
  <c r="H72" i="25"/>
  <c r="I72" i="25" s="1"/>
  <c r="F72" i="25"/>
  <c r="E72" i="25"/>
  <c r="N71" i="25"/>
  <c r="K71" i="25"/>
  <c r="H71" i="25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E62" i="25"/>
  <c r="F62" i="25" s="1"/>
  <c r="N61" i="25"/>
  <c r="O61" i="25" s="1"/>
  <c r="K61" i="25"/>
  <c r="L61" i="25" s="1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N57" i="25"/>
  <c r="O57" i="25" s="1"/>
  <c r="K57" i="25"/>
  <c r="L57" i="25" s="1"/>
  <c r="I57" i="25"/>
  <c r="H57" i="25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H54" i="25"/>
  <c r="I54" i="25" s="1"/>
  <c r="E54" i="25"/>
  <c r="F54" i="25" s="1"/>
  <c r="N53" i="25"/>
  <c r="O53" i="25" s="1"/>
  <c r="L53" i="25"/>
  <c r="K53" i="25"/>
  <c r="I53" i="25"/>
  <c r="H53" i="25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O50" i="25"/>
  <c r="N50" i="25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L48" i="25"/>
  <c r="K48" i="25"/>
  <c r="H48" i="25"/>
  <c r="I48" i="25" s="1"/>
  <c r="E48" i="25"/>
  <c r="F48" i="25" s="1"/>
  <c r="N47" i="25"/>
  <c r="O47" i="25" s="1"/>
  <c r="K47" i="25"/>
  <c r="L47" i="25" s="1"/>
  <c r="H47" i="25"/>
  <c r="I47" i="25" s="1"/>
  <c r="E47" i="25"/>
  <c r="F47" i="25" s="1"/>
  <c r="N46" i="25"/>
  <c r="O46" i="25" s="1"/>
  <c r="L46" i="25"/>
  <c r="K46" i="25"/>
  <c r="H46" i="25"/>
  <c r="I46" i="25" s="1"/>
  <c r="E46" i="25"/>
  <c r="F46" i="25" s="1"/>
  <c r="O45" i="25"/>
  <c r="N45" i="25"/>
  <c r="K45" i="25"/>
  <c r="L45" i="25" s="1"/>
  <c r="I45" i="25"/>
  <c r="H45" i="25"/>
  <c r="E45" i="25"/>
  <c r="F45" i="25" s="1"/>
  <c r="N44" i="25"/>
  <c r="O44" i="25" s="1"/>
  <c r="K44" i="25"/>
  <c r="L44" i="25" s="1"/>
  <c r="H44" i="25"/>
  <c r="I44" i="25" s="1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N21" i="25"/>
  <c r="M21" i="25"/>
  <c r="K21" i="25"/>
  <c r="J21" i="25"/>
  <c r="H21" i="25"/>
  <c r="G21" i="25"/>
  <c r="E21" i="25"/>
  <c r="D21" i="25"/>
  <c r="C21" i="25"/>
  <c r="B21" i="25"/>
  <c r="N20" i="25"/>
  <c r="M20" i="25"/>
  <c r="J20" i="25"/>
  <c r="G20" i="25"/>
  <c r="E20" i="25"/>
  <c r="D20" i="25"/>
  <c r="C20" i="25"/>
  <c r="B20" i="25"/>
  <c r="N19" i="25"/>
  <c r="M19" i="25"/>
  <c r="K19" i="25"/>
  <c r="J19" i="25"/>
  <c r="H19" i="25"/>
  <c r="G19" i="25"/>
  <c r="E19" i="25"/>
  <c r="D19" i="25"/>
  <c r="C19" i="25"/>
  <c r="B19" i="25"/>
  <c r="N18" i="25"/>
  <c r="M18" i="25"/>
  <c r="K18" i="25"/>
  <c r="J18" i="25"/>
  <c r="H18" i="25"/>
  <c r="G18" i="25"/>
  <c r="E18" i="25"/>
  <c r="D18" i="25"/>
  <c r="C18" i="25"/>
  <c r="B18" i="25"/>
  <c r="N17" i="25"/>
  <c r="M17" i="25"/>
  <c r="K17" i="25"/>
  <c r="J17" i="25"/>
  <c r="H17" i="25"/>
  <c r="G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E198" i="24"/>
  <c r="F198" i="24" s="1"/>
  <c r="N197" i="24"/>
  <c r="O197" i="24" s="1"/>
  <c r="K197" i="24"/>
  <c r="L197" i="24" s="1"/>
  <c r="H197" i="24"/>
  <c r="I197" i="24" s="1"/>
  <c r="E197" i="24"/>
  <c r="F197" i="24" s="1"/>
  <c r="N196" i="24"/>
  <c r="O196" i="24" s="1"/>
  <c r="K196" i="24"/>
  <c r="L196" i="24" s="1"/>
  <c r="I196" i="24"/>
  <c r="H196" i="24"/>
  <c r="E196" i="24"/>
  <c r="F196" i="24" s="1"/>
  <c r="N195" i="24"/>
  <c r="O195" i="24" s="1"/>
  <c r="K195" i="24"/>
  <c r="L195" i="24" s="1"/>
  <c r="H195" i="24"/>
  <c r="I195" i="24" s="1"/>
  <c r="E195" i="24"/>
  <c r="F195" i="24" s="1"/>
  <c r="N194" i="24"/>
  <c r="O194" i="24" s="1"/>
  <c r="K194" i="24"/>
  <c r="L194" i="24" s="1"/>
  <c r="H194" i="24"/>
  <c r="I194" i="24" s="1"/>
  <c r="E194" i="24"/>
  <c r="F194" i="24" s="1"/>
  <c r="N193" i="24"/>
  <c r="O193" i="24" s="1"/>
  <c r="K193" i="24"/>
  <c r="L193" i="24" s="1"/>
  <c r="H193" i="24"/>
  <c r="I193" i="24" s="1"/>
  <c r="E193" i="24"/>
  <c r="F193" i="24" s="1"/>
  <c r="N192" i="24"/>
  <c r="O192" i="24" s="1"/>
  <c r="L192" i="24"/>
  <c r="K192" i="24"/>
  <c r="H192" i="24"/>
  <c r="I192" i="24" s="1"/>
  <c r="E192" i="24"/>
  <c r="F192" i="24" s="1"/>
  <c r="N191" i="24"/>
  <c r="O191" i="24" s="1"/>
  <c r="K191" i="24"/>
  <c r="L191" i="24" s="1"/>
  <c r="H191" i="24"/>
  <c r="I191" i="24" s="1"/>
  <c r="E191" i="24"/>
  <c r="F191" i="24" s="1"/>
  <c r="N190" i="24"/>
  <c r="O190" i="24" s="1"/>
  <c r="K190" i="24"/>
  <c r="L190" i="24" s="1"/>
  <c r="H190" i="24"/>
  <c r="I190" i="24" s="1"/>
  <c r="E190" i="24"/>
  <c r="F190" i="24" s="1"/>
  <c r="N189" i="24"/>
  <c r="O189" i="24" s="1"/>
  <c r="K189" i="24"/>
  <c r="L189" i="24" s="1"/>
  <c r="H189" i="24"/>
  <c r="I189" i="24" s="1"/>
  <c r="E189" i="24"/>
  <c r="F189" i="24" s="1"/>
  <c r="N188" i="24"/>
  <c r="O188" i="24" s="1"/>
  <c r="L188" i="24"/>
  <c r="K188" i="24"/>
  <c r="I188" i="24"/>
  <c r="H188" i="24"/>
  <c r="E188" i="24"/>
  <c r="F188" i="24" s="1"/>
  <c r="N187" i="24"/>
  <c r="O187" i="24" s="1"/>
  <c r="K187" i="24"/>
  <c r="L187" i="24" s="1"/>
  <c r="H187" i="24"/>
  <c r="I187" i="24" s="1"/>
  <c r="E187" i="24"/>
  <c r="F187" i="24" s="1"/>
  <c r="N186" i="24"/>
  <c r="O186" i="24" s="1"/>
  <c r="K186" i="24"/>
  <c r="L186" i="24" s="1"/>
  <c r="H186" i="24"/>
  <c r="I186" i="24" s="1"/>
  <c r="E186" i="24"/>
  <c r="F186" i="24" s="1"/>
  <c r="O185" i="24"/>
  <c r="N185" i="24"/>
  <c r="L185" i="24"/>
  <c r="K185" i="24"/>
  <c r="H185" i="24"/>
  <c r="I185" i="24" s="1"/>
  <c r="E185" i="24"/>
  <c r="F185" i="24" s="1"/>
  <c r="N184" i="24"/>
  <c r="O184" i="24" s="1"/>
  <c r="K184" i="24"/>
  <c r="L184" i="24" s="1"/>
  <c r="H184" i="24"/>
  <c r="I184" i="24" s="1"/>
  <c r="E184" i="24"/>
  <c r="F184" i="24" s="1"/>
  <c r="N183" i="24"/>
  <c r="O183" i="24" s="1"/>
  <c r="K183" i="24"/>
  <c r="L183" i="24" s="1"/>
  <c r="H183" i="24"/>
  <c r="I183" i="24" s="1"/>
  <c r="E183" i="24"/>
  <c r="F183" i="24" s="1"/>
  <c r="O182" i="24"/>
  <c r="N182" i="24"/>
  <c r="K182" i="24"/>
  <c r="L182" i="24" s="1"/>
  <c r="H182" i="24"/>
  <c r="I182" i="24" s="1"/>
  <c r="E182" i="24"/>
  <c r="F182" i="24" s="1"/>
  <c r="N181" i="24"/>
  <c r="O181" i="24" s="1"/>
  <c r="L181" i="24"/>
  <c r="K181" i="24"/>
  <c r="H181" i="24"/>
  <c r="I181" i="24" s="1"/>
  <c r="E181" i="24"/>
  <c r="F181" i="24" s="1"/>
  <c r="N180" i="24"/>
  <c r="O180" i="24" s="1"/>
  <c r="K180" i="24"/>
  <c r="L180" i="24" s="1"/>
  <c r="H180" i="24"/>
  <c r="I180" i="24" s="1"/>
  <c r="E180" i="24"/>
  <c r="F180" i="24" s="1"/>
  <c r="O179" i="24"/>
  <c r="N179" i="24"/>
  <c r="K179" i="24"/>
  <c r="L179" i="24" s="1"/>
  <c r="H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K171" i="24"/>
  <c r="L171" i="24" s="1"/>
  <c r="H171" i="24"/>
  <c r="I171" i="24" s="1"/>
  <c r="E171" i="24"/>
  <c r="F171" i="24" s="1"/>
  <c r="N170" i="24"/>
  <c r="O170" i="24" s="1"/>
  <c r="L170" i="24"/>
  <c r="K170" i="24"/>
  <c r="H170" i="24"/>
  <c r="I170" i="24" s="1"/>
  <c r="E170" i="24"/>
  <c r="F170" i="24" s="1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N167" i="24"/>
  <c r="O167" i="24" s="1"/>
  <c r="K167" i="24"/>
  <c r="L167" i="24" s="1"/>
  <c r="H167" i="24"/>
  <c r="I167" i="24" s="1"/>
  <c r="E167" i="24"/>
  <c r="F167" i="24" s="1"/>
  <c r="N166" i="24"/>
  <c r="O166" i="24" s="1"/>
  <c r="K166" i="24"/>
  <c r="L166" i="24" s="1"/>
  <c r="I166" i="24"/>
  <c r="H166" i="24"/>
  <c r="E166" i="24"/>
  <c r="F166" i="24" s="1"/>
  <c r="N165" i="24"/>
  <c r="O165" i="24" s="1"/>
  <c r="K165" i="24"/>
  <c r="L165" i="24" s="1"/>
  <c r="H165" i="24"/>
  <c r="I165" i="24" s="1"/>
  <c r="E165" i="24"/>
  <c r="F165" i="24" s="1"/>
  <c r="N164" i="24"/>
  <c r="O164" i="24" s="1"/>
  <c r="K164" i="24"/>
  <c r="L164" i="24" s="1"/>
  <c r="H164" i="24"/>
  <c r="I164" i="24" s="1"/>
  <c r="E164" i="24"/>
  <c r="F164" i="24" s="1"/>
  <c r="N163" i="24"/>
  <c r="O163" i="24" s="1"/>
  <c r="L163" i="24"/>
  <c r="K163" i="24"/>
  <c r="H163" i="24"/>
  <c r="I163" i="24" s="1"/>
  <c r="E163" i="24"/>
  <c r="F163" i="24" s="1"/>
  <c r="N162" i="24"/>
  <c r="O162" i="24" s="1"/>
  <c r="K162" i="24"/>
  <c r="L162" i="24" s="1"/>
  <c r="H162" i="24"/>
  <c r="I162" i="24" s="1"/>
  <c r="E162" i="24"/>
  <c r="F162" i="24" s="1"/>
  <c r="N161" i="24"/>
  <c r="O161" i="24" s="1"/>
  <c r="K161" i="24"/>
  <c r="L161" i="24" s="1"/>
  <c r="H161" i="24"/>
  <c r="I161" i="24" s="1"/>
  <c r="E161" i="24"/>
  <c r="F161" i="24" s="1"/>
  <c r="N160" i="24"/>
  <c r="O160" i="24" s="1"/>
  <c r="K160" i="24"/>
  <c r="L160" i="24" s="1"/>
  <c r="H160" i="24"/>
  <c r="I160" i="24" s="1"/>
  <c r="E160" i="24"/>
  <c r="F160" i="24" s="1"/>
  <c r="O159" i="24"/>
  <c r="N159" i="24"/>
  <c r="K159" i="24"/>
  <c r="L159" i="24" s="1"/>
  <c r="H159" i="24"/>
  <c r="I159" i="24" s="1"/>
  <c r="E159" i="24"/>
  <c r="F159" i="24" s="1"/>
  <c r="N158" i="24"/>
  <c r="O158" i="24" s="1"/>
  <c r="K158" i="24"/>
  <c r="L158" i="24" s="1"/>
  <c r="I158" i="24"/>
  <c r="H158" i="24"/>
  <c r="E158" i="24"/>
  <c r="F158" i="24" s="1"/>
  <c r="N157" i="24"/>
  <c r="O157" i="24" s="1"/>
  <c r="K157" i="24"/>
  <c r="L157" i="24" s="1"/>
  <c r="H157" i="24"/>
  <c r="I157" i="24" s="1"/>
  <c r="E157" i="24"/>
  <c r="F157" i="24" s="1"/>
  <c r="N156" i="24"/>
  <c r="O156" i="24" s="1"/>
  <c r="K156" i="24"/>
  <c r="L156" i="24" s="1"/>
  <c r="H156" i="24"/>
  <c r="I156" i="24" s="1"/>
  <c r="E156" i="24"/>
  <c r="F156" i="24" s="1"/>
  <c r="N155" i="24"/>
  <c r="O155" i="24" s="1"/>
  <c r="K155" i="24"/>
  <c r="L155" i="24" s="1"/>
  <c r="H155" i="24"/>
  <c r="I155" i="24" s="1"/>
  <c r="E155" i="24"/>
  <c r="F155" i="24" s="1"/>
  <c r="N154" i="24"/>
  <c r="O154" i="24" s="1"/>
  <c r="K154" i="24"/>
  <c r="L154" i="24" s="1"/>
  <c r="H154" i="24"/>
  <c r="I154" i="24" s="1"/>
  <c r="E154" i="24"/>
  <c r="F154" i="24" s="1"/>
  <c r="N153" i="24"/>
  <c r="O153" i="24" s="1"/>
  <c r="L153" i="24"/>
  <c r="K153" i="24"/>
  <c r="H153" i="24"/>
  <c r="I153" i="24" s="1"/>
  <c r="E153" i="24"/>
  <c r="F153" i="24" s="1"/>
  <c r="N152" i="24"/>
  <c r="O152" i="24" s="1"/>
  <c r="K152" i="24"/>
  <c r="L152" i="24" s="1"/>
  <c r="H152" i="24"/>
  <c r="I152" i="24" s="1"/>
  <c r="E152" i="24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N143" i="24"/>
  <c r="O143" i="24" s="1"/>
  <c r="K143" i="24"/>
  <c r="L143" i="24" s="1"/>
  <c r="H143" i="24"/>
  <c r="I143" i="24" s="1"/>
  <c r="E143" i="24"/>
  <c r="F143" i="24" s="1"/>
  <c r="N142" i="24"/>
  <c r="O142" i="24" s="1"/>
  <c r="K142" i="24"/>
  <c r="L142" i="24" s="1"/>
  <c r="H142" i="24"/>
  <c r="I142" i="24" s="1"/>
  <c r="E142" i="24"/>
  <c r="F142" i="24" s="1"/>
  <c r="O141" i="24"/>
  <c r="N141" i="24"/>
  <c r="K141" i="24"/>
  <c r="L141" i="24" s="1"/>
  <c r="H141" i="24"/>
  <c r="I141" i="24" s="1"/>
  <c r="E141" i="24"/>
  <c r="F141" i="24" s="1"/>
  <c r="N140" i="24"/>
  <c r="O140" i="24" s="1"/>
  <c r="K140" i="24"/>
  <c r="L140" i="24" s="1"/>
  <c r="H140" i="24"/>
  <c r="I140" i="24" s="1"/>
  <c r="E140" i="24"/>
  <c r="F140" i="24" s="1"/>
  <c r="N139" i="24"/>
  <c r="O139" i="24" s="1"/>
  <c r="K139" i="24"/>
  <c r="L139" i="24" s="1"/>
  <c r="H139" i="24"/>
  <c r="I139" i="24" s="1"/>
  <c r="E139" i="24"/>
  <c r="F139" i="24" s="1"/>
  <c r="O138" i="24"/>
  <c r="N138" i="24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N134" i="24"/>
  <c r="O134" i="24" s="1"/>
  <c r="K134" i="24"/>
  <c r="L134" i="24" s="1"/>
  <c r="H134" i="24"/>
  <c r="I134" i="24" s="1"/>
  <c r="E134" i="24"/>
  <c r="F134" i="24" s="1"/>
  <c r="O133" i="24"/>
  <c r="N133" i="24"/>
  <c r="K133" i="24"/>
  <c r="L133" i="24" s="1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O130" i="24"/>
  <c r="N130" i="24"/>
  <c r="K130" i="24"/>
  <c r="L130" i="24" s="1"/>
  <c r="H130" i="24"/>
  <c r="I130" i="24" s="1"/>
  <c r="E130" i="24"/>
  <c r="F130" i="24" s="1"/>
  <c r="O129" i="24"/>
  <c r="N129" i="24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O127" i="24"/>
  <c r="N127" i="24"/>
  <c r="K127" i="24"/>
  <c r="L127" i="24" s="1"/>
  <c r="H127" i="24"/>
  <c r="I127" i="24" s="1"/>
  <c r="E127" i="24"/>
  <c r="F127" i="24" s="1"/>
  <c r="O126" i="24"/>
  <c r="N126" i="24"/>
  <c r="K126" i="24"/>
  <c r="L126" i="24" s="1"/>
  <c r="H126" i="24"/>
  <c r="I126" i="24" s="1"/>
  <c r="E126" i="24"/>
  <c r="F126" i="24" s="1"/>
  <c r="N125" i="24"/>
  <c r="O125" i="24" s="1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N115" i="24"/>
  <c r="O115" i="24" s="1"/>
  <c r="K115" i="24"/>
  <c r="L115" i="24" s="1"/>
  <c r="H115" i="24"/>
  <c r="I115" i="24" s="1"/>
  <c r="F115" i="24"/>
  <c r="E115" i="24"/>
  <c r="N114" i="24"/>
  <c r="O114" i="24" s="1"/>
  <c r="K114" i="24"/>
  <c r="L114" i="24" s="1"/>
  <c r="H114" i="24"/>
  <c r="I114" i="24" s="1"/>
  <c r="F114" i="24"/>
  <c r="E114" i="24"/>
  <c r="N113" i="24"/>
  <c r="O113" i="24" s="1"/>
  <c r="K113" i="24"/>
  <c r="L113" i="24" s="1"/>
  <c r="H113" i="24"/>
  <c r="I113" i="24" s="1"/>
  <c r="F113" i="24"/>
  <c r="E113" i="24"/>
  <c r="O112" i="24"/>
  <c r="N112" i="24"/>
  <c r="L112" i="24"/>
  <c r="K112" i="24"/>
  <c r="H112" i="24"/>
  <c r="I112" i="24" s="1"/>
  <c r="F112" i="24"/>
  <c r="E112" i="24"/>
  <c r="N111" i="24"/>
  <c r="O111" i="24" s="1"/>
  <c r="K111" i="24"/>
  <c r="L111" i="24" s="1"/>
  <c r="H111" i="24"/>
  <c r="I111" i="24" s="1"/>
  <c r="F111" i="24"/>
  <c r="E111" i="24"/>
  <c r="N110" i="24"/>
  <c r="O110" i="24" s="1"/>
  <c r="K110" i="24"/>
  <c r="L110" i="24" s="1"/>
  <c r="H110" i="24"/>
  <c r="I110" i="24" s="1"/>
  <c r="F110" i="24"/>
  <c r="E110" i="24"/>
  <c r="O109" i="24"/>
  <c r="N109" i="24"/>
  <c r="K109" i="24"/>
  <c r="L109" i="24" s="1"/>
  <c r="H109" i="24"/>
  <c r="I109" i="24" s="1"/>
  <c r="F109" i="24"/>
  <c r="E109" i="24"/>
  <c r="N108" i="24"/>
  <c r="O108" i="24" s="1"/>
  <c r="K108" i="24"/>
  <c r="L108" i="24" s="1"/>
  <c r="H108" i="24"/>
  <c r="I108" i="24" s="1"/>
  <c r="F108" i="24"/>
  <c r="E108" i="24"/>
  <c r="N107" i="24"/>
  <c r="O107" i="24" s="1"/>
  <c r="K107" i="24"/>
  <c r="L107" i="24" s="1"/>
  <c r="H107" i="24"/>
  <c r="I107" i="24" s="1"/>
  <c r="E107" i="24"/>
  <c r="F107" i="24" s="1"/>
  <c r="O106" i="24"/>
  <c r="N106" i="24"/>
  <c r="K106" i="24"/>
  <c r="L106" i="24" s="1"/>
  <c r="H106" i="24"/>
  <c r="I106" i="24" s="1"/>
  <c r="F106" i="24"/>
  <c r="E106" i="24"/>
  <c r="N105" i="24"/>
  <c r="O105" i="24" s="1"/>
  <c r="K105" i="24"/>
  <c r="L105" i="24" s="1"/>
  <c r="H105" i="24"/>
  <c r="I105" i="24" s="1"/>
  <c r="F105" i="24"/>
  <c r="E105" i="24"/>
  <c r="N104" i="24"/>
  <c r="O104" i="24" s="1"/>
  <c r="K104" i="24"/>
  <c r="L104" i="24" s="1"/>
  <c r="H104" i="24"/>
  <c r="I104" i="24" s="1"/>
  <c r="F104" i="24"/>
  <c r="E104" i="24"/>
  <c r="N103" i="24"/>
  <c r="O103" i="24" s="1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N101" i="24"/>
  <c r="O101" i="24" s="1"/>
  <c r="L101" i="24"/>
  <c r="K101" i="24"/>
  <c r="H101" i="24"/>
  <c r="I101" i="24" s="1"/>
  <c r="F101" i="24"/>
  <c r="E101" i="24"/>
  <c r="N100" i="24"/>
  <c r="O100" i="24" s="1"/>
  <c r="K100" i="24"/>
  <c r="L100" i="24" s="1"/>
  <c r="H100" i="24"/>
  <c r="I100" i="24" s="1"/>
  <c r="F100" i="24"/>
  <c r="E100" i="24"/>
  <c r="N99" i="24"/>
  <c r="O99" i="24" s="1"/>
  <c r="K99" i="24"/>
  <c r="L99" i="24" s="1"/>
  <c r="H99" i="24"/>
  <c r="I99" i="24" s="1"/>
  <c r="F99" i="24"/>
  <c r="E99" i="24"/>
  <c r="N98" i="24"/>
  <c r="O98" i="24" s="1"/>
  <c r="K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N89" i="24"/>
  <c r="O89" i="24" s="1"/>
  <c r="K89" i="24"/>
  <c r="L89" i="24" s="1"/>
  <c r="H89" i="24"/>
  <c r="I89" i="24" s="1"/>
  <c r="E89" i="24"/>
  <c r="F89" i="24" s="1"/>
  <c r="O88" i="24"/>
  <c r="N88" i="24"/>
  <c r="L88" i="24"/>
  <c r="K88" i="24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O21" i="24" s="1"/>
  <c r="K85" i="24"/>
  <c r="L85" i="24" s="1"/>
  <c r="L21" i="24" s="1"/>
  <c r="H85" i="24"/>
  <c r="H21" i="24" s="1"/>
  <c r="E85" i="24"/>
  <c r="F85" i="24" s="1"/>
  <c r="F21" i="24" s="1"/>
  <c r="N84" i="24"/>
  <c r="N20" i="24" s="1"/>
  <c r="K84" i="24"/>
  <c r="L84" i="24" s="1"/>
  <c r="L20" i="24" s="1"/>
  <c r="H84" i="24"/>
  <c r="I84" i="24" s="1"/>
  <c r="I20" i="24" s="1"/>
  <c r="E84" i="24"/>
  <c r="F84" i="24" s="1"/>
  <c r="F20" i="24" s="1"/>
  <c r="O83" i="24"/>
  <c r="O19" i="24" s="1"/>
  <c r="N83" i="24"/>
  <c r="L83" i="24"/>
  <c r="L19" i="24" s="1"/>
  <c r="K83" i="24"/>
  <c r="H83" i="24"/>
  <c r="H19" i="24" s="1"/>
  <c r="E83" i="24"/>
  <c r="F83" i="24" s="1"/>
  <c r="F19" i="24" s="1"/>
  <c r="O82" i="24"/>
  <c r="N82" i="24"/>
  <c r="N18" i="24" s="1"/>
  <c r="K82" i="24"/>
  <c r="L82" i="24" s="1"/>
  <c r="L18" i="24" s="1"/>
  <c r="H82" i="24"/>
  <c r="H18" i="24" s="1"/>
  <c r="E82" i="24"/>
  <c r="F82" i="24" s="1"/>
  <c r="F18" i="24" s="1"/>
  <c r="N81" i="24"/>
  <c r="N17" i="24" s="1"/>
  <c r="K81" i="24"/>
  <c r="L81" i="24" s="1"/>
  <c r="L17" i="24" s="1"/>
  <c r="H81" i="24"/>
  <c r="H17" i="24" s="1"/>
  <c r="E81" i="24"/>
  <c r="F81" i="24" s="1"/>
  <c r="F17" i="24" s="1"/>
  <c r="N80" i="24"/>
  <c r="O80" i="24" s="1"/>
  <c r="K80" i="24"/>
  <c r="L80" i="24" s="1"/>
  <c r="I80" i="24"/>
  <c r="H80" i="24"/>
  <c r="E80" i="24"/>
  <c r="F80" i="24" s="1"/>
  <c r="N79" i="24"/>
  <c r="O79" i="24" s="1"/>
  <c r="K79" i="24"/>
  <c r="L79" i="24" s="1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K76" i="24"/>
  <c r="L76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I72" i="24"/>
  <c r="H72" i="24"/>
  <c r="E72" i="24"/>
  <c r="F72" i="24" s="1"/>
  <c r="N71" i="24"/>
  <c r="O71" i="24" s="1"/>
  <c r="K71" i="24"/>
  <c r="H71" i="24"/>
  <c r="I71" i="24" s="1"/>
  <c r="E71" i="24"/>
  <c r="F7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N62" i="24"/>
  <c r="O62" i="24" s="1"/>
  <c r="K62" i="24"/>
  <c r="L62" i="24" s="1"/>
  <c r="H62" i="24"/>
  <c r="I62" i="24" s="1"/>
  <c r="E62" i="24"/>
  <c r="F62" i="24" s="1"/>
  <c r="N61" i="24"/>
  <c r="O61" i="24" s="1"/>
  <c r="K61" i="24"/>
  <c r="L61" i="24" s="1"/>
  <c r="H61" i="24"/>
  <c r="I61" i="24" s="1"/>
  <c r="E61" i="24"/>
  <c r="F61" i="24" s="1"/>
  <c r="O60" i="24"/>
  <c r="N60" i="24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I58" i="24"/>
  <c r="H58" i="24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O50" i="24"/>
  <c r="N50" i="24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H48" i="24"/>
  <c r="I48" i="24" s="1"/>
  <c r="E48" i="24"/>
  <c r="F48" i="24" s="1"/>
  <c r="O47" i="24"/>
  <c r="N47" i="24"/>
  <c r="K47" i="24"/>
  <c r="L47" i="24" s="1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O44" i="24" s="1"/>
  <c r="K44" i="24"/>
  <c r="L4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N21" i="24"/>
  <c r="M21" i="24"/>
  <c r="K21" i="24"/>
  <c r="J21" i="24"/>
  <c r="G21" i="24"/>
  <c r="D21" i="24"/>
  <c r="C21" i="24"/>
  <c r="B21" i="24"/>
  <c r="M20" i="24"/>
  <c r="K20" i="24"/>
  <c r="J20" i="24"/>
  <c r="H20" i="24"/>
  <c r="G20" i="24"/>
  <c r="E20" i="24"/>
  <c r="D20" i="24"/>
  <c r="C20" i="24"/>
  <c r="B20" i="24"/>
  <c r="N19" i="24"/>
  <c r="M19" i="24"/>
  <c r="K19" i="24"/>
  <c r="J19" i="24"/>
  <c r="G19" i="24"/>
  <c r="E19" i="24"/>
  <c r="D19" i="24"/>
  <c r="C19" i="24"/>
  <c r="B19" i="24"/>
  <c r="O18" i="24"/>
  <c r="M18" i="24"/>
  <c r="K18" i="24"/>
  <c r="J18" i="24"/>
  <c r="G18" i="24"/>
  <c r="E18" i="24"/>
  <c r="D18" i="24"/>
  <c r="C18" i="24"/>
  <c r="B18" i="24"/>
  <c r="M17" i="24"/>
  <c r="K17" i="24"/>
  <c r="J17" i="24"/>
  <c r="G17" i="24"/>
  <c r="E17" i="24"/>
  <c r="D17" i="24"/>
  <c r="C17" i="24"/>
  <c r="B17" i="24"/>
  <c r="M15" i="24"/>
  <c r="J15" i="24"/>
  <c r="G15" i="24"/>
  <c r="D15" i="24"/>
  <c r="B15" i="24"/>
  <c r="M14" i="24"/>
  <c r="G14" i="24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O145" i="6" s="1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I91" i="6" s="1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F64" i="6" s="1"/>
  <c r="H44" i="6"/>
  <c r="I44" i="6"/>
  <c r="K44" i="6"/>
  <c r="K64" i="6" s="1"/>
  <c r="L44" i="6"/>
  <c r="L64" i="6" s="1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L37" i="28" l="1"/>
  <c r="H37" i="28"/>
  <c r="I118" i="28"/>
  <c r="G3" i="28" s="1"/>
  <c r="I37" i="28"/>
  <c r="E37" i="28"/>
  <c r="F91" i="28"/>
  <c r="F17" i="28"/>
  <c r="F64" i="28"/>
  <c r="F27" i="28"/>
  <c r="G9" i="28"/>
  <c r="N172" i="27"/>
  <c r="N19" i="27"/>
  <c r="N37" i="27" s="1"/>
  <c r="N64" i="27"/>
  <c r="N199" i="27"/>
  <c r="O152" i="27"/>
  <c r="N145" i="27"/>
  <c r="N118" i="27"/>
  <c r="O98" i="27"/>
  <c r="N91" i="27"/>
  <c r="O71" i="27"/>
  <c r="O91" i="27" s="1"/>
  <c r="O44" i="27"/>
  <c r="L179" i="27"/>
  <c r="L153" i="27"/>
  <c r="L17" i="27" s="1"/>
  <c r="L166" i="27"/>
  <c r="L20" i="27" s="1"/>
  <c r="K145" i="27"/>
  <c r="K118" i="27"/>
  <c r="L98" i="27"/>
  <c r="K91" i="27"/>
  <c r="K64" i="27"/>
  <c r="L44" i="27"/>
  <c r="I44" i="27"/>
  <c r="O64" i="27"/>
  <c r="I55" i="27"/>
  <c r="I58" i="27"/>
  <c r="I60" i="27"/>
  <c r="F100" i="27"/>
  <c r="I101" i="27"/>
  <c r="F103" i="27"/>
  <c r="I104" i="27"/>
  <c r="F108" i="27"/>
  <c r="I109" i="27"/>
  <c r="F111" i="27"/>
  <c r="I112" i="27"/>
  <c r="F116" i="27"/>
  <c r="I117" i="27"/>
  <c r="I170" i="27"/>
  <c r="F46" i="27"/>
  <c r="F48" i="27"/>
  <c r="I49" i="27"/>
  <c r="F51" i="27"/>
  <c r="F53" i="27"/>
  <c r="I99" i="27"/>
  <c r="F101" i="27"/>
  <c r="I102" i="27"/>
  <c r="F106" i="27"/>
  <c r="I107" i="27"/>
  <c r="F109" i="27"/>
  <c r="F114" i="27"/>
  <c r="I115" i="27"/>
  <c r="F117" i="27"/>
  <c r="I45" i="27"/>
  <c r="F47" i="27"/>
  <c r="F49" i="27"/>
  <c r="F52" i="27"/>
  <c r="I53" i="27"/>
  <c r="F55" i="27"/>
  <c r="F57" i="27"/>
  <c r="F60" i="27"/>
  <c r="I71" i="27"/>
  <c r="F74" i="27"/>
  <c r="I75" i="27"/>
  <c r="F78" i="27"/>
  <c r="I79" i="27"/>
  <c r="F82" i="27"/>
  <c r="I83" i="27"/>
  <c r="F86" i="27"/>
  <c r="I87" i="27"/>
  <c r="F90" i="27"/>
  <c r="O118" i="27"/>
  <c r="F126" i="27"/>
  <c r="I127" i="27"/>
  <c r="F130" i="27"/>
  <c r="I131" i="27"/>
  <c r="F134" i="27"/>
  <c r="I135" i="27"/>
  <c r="I139" i="27"/>
  <c r="F141" i="27"/>
  <c r="F145" i="27" s="1"/>
  <c r="O172" i="27"/>
  <c r="F154" i="27"/>
  <c r="F18" i="27" s="1"/>
  <c r="F156" i="27"/>
  <c r="F19" i="27" s="1"/>
  <c r="I157" i="27"/>
  <c r="I159" i="27"/>
  <c r="F163" i="27"/>
  <c r="F165" i="27"/>
  <c r="I166" i="27"/>
  <c r="I20" i="27" s="1"/>
  <c r="F168" i="27"/>
  <c r="I169" i="27"/>
  <c r="I21" i="27" s="1"/>
  <c r="I171" i="27"/>
  <c r="I181" i="27"/>
  <c r="I183" i="27"/>
  <c r="F185" i="27"/>
  <c r="F187" i="27"/>
  <c r="I190" i="27"/>
  <c r="F194" i="27"/>
  <c r="F196" i="27"/>
  <c r="I197" i="27"/>
  <c r="L91" i="27"/>
  <c r="L118" i="27"/>
  <c r="O145" i="27"/>
  <c r="O199" i="27"/>
  <c r="L64" i="27"/>
  <c r="I46" i="27"/>
  <c r="I48" i="27"/>
  <c r="F50" i="27"/>
  <c r="I51" i="27"/>
  <c r="I56" i="27"/>
  <c r="F58" i="27"/>
  <c r="I59" i="27"/>
  <c r="F71" i="27"/>
  <c r="F91" i="27" s="1"/>
  <c r="F75" i="27"/>
  <c r="I76" i="27"/>
  <c r="F79" i="27"/>
  <c r="I80" i="27"/>
  <c r="F83" i="27"/>
  <c r="I84" i="27"/>
  <c r="I88" i="27"/>
  <c r="F159" i="27"/>
  <c r="F161" i="27"/>
  <c r="I162" i="27"/>
  <c r="I164" i="27"/>
  <c r="F166" i="27"/>
  <c r="F20" i="27" s="1"/>
  <c r="F171" i="27"/>
  <c r="I179" i="27"/>
  <c r="H19" i="27"/>
  <c r="H37" i="27" s="1"/>
  <c r="I152" i="27"/>
  <c r="I125" i="27"/>
  <c r="H118" i="27"/>
  <c r="I118" i="27"/>
  <c r="H91" i="27"/>
  <c r="I72" i="27"/>
  <c r="H64" i="27"/>
  <c r="F179" i="27"/>
  <c r="F152" i="27"/>
  <c r="F98" i="27"/>
  <c r="F44" i="27"/>
  <c r="E37" i="6"/>
  <c r="I37" i="6"/>
  <c r="F37" i="6"/>
  <c r="N37" i="6"/>
  <c r="K37" i="6"/>
  <c r="O37" i="6"/>
  <c r="H37" i="6"/>
  <c r="L37" i="6"/>
  <c r="N19" i="26"/>
  <c r="N64" i="26"/>
  <c r="L172" i="27"/>
  <c r="L145" i="27"/>
  <c r="L199" i="27"/>
  <c r="F118" i="27"/>
  <c r="K37" i="27"/>
  <c r="O37" i="27"/>
  <c r="E37" i="27"/>
  <c r="N199" i="26"/>
  <c r="O179" i="26"/>
  <c r="O199" i="26" s="1"/>
  <c r="N20" i="26"/>
  <c r="O152" i="26"/>
  <c r="N17" i="26"/>
  <c r="O145" i="26"/>
  <c r="N145" i="26"/>
  <c r="N118" i="26"/>
  <c r="O118" i="26"/>
  <c r="O71" i="26"/>
  <c r="O91" i="26" s="1"/>
  <c r="O44" i="26"/>
  <c r="O64" i="26" s="1"/>
  <c r="H21" i="26"/>
  <c r="H18" i="26"/>
  <c r="I125" i="26"/>
  <c r="H172" i="26"/>
  <c r="H118" i="26"/>
  <c r="K199" i="26"/>
  <c r="L179" i="26"/>
  <c r="L199" i="26" s="1"/>
  <c r="L154" i="26"/>
  <c r="L19" i="26" s="1"/>
  <c r="K172" i="26"/>
  <c r="L152" i="26"/>
  <c r="L125" i="26"/>
  <c r="L145" i="26" s="1"/>
  <c r="L118" i="26"/>
  <c r="K118" i="26"/>
  <c r="L91" i="26"/>
  <c r="K91" i="26"/>
  <c r="K64" i="26"/>
  <c r="L64" i="26"/>
  <c r="I179" i="26"/>
  <c r="I199" i="26" s="1"/>
  <c r="I152" i="26"/>
  <c r="I145" i="26"/>
  <c r="I98" i="26"/>
  <c r="I118" i="26" s="1"/>
  <c r="I71" i="26"/>
  <c r="I91" i="26" s="1"/>
  <c r="H64" i="26"/>
  <c r="I44" i="26"/>
  <c r="I64" i="26" s="1"/>
  <c r="F44" i="26"/>
  <c r="F64" i="26" s="1"/>
  <c r="F37" i="23"/>
  <c r="N37" i="23"/>
  <c r="E37" i="23"/>
  <c r="K37" i="23"/>
  <c r="O37" i="23"/>
  <c r="I37" i="23"/>
  <c r="H37" i="23"/>
  <c r="L37" i="23"/>
  <c r="F37" i="26"/>
  <c r="K37" i="26"/>
  <c r="E37" i="26"/>
  <c r="G7" i="26"/>
  <c r="G3" i="26"/>
  <c r="G9" i="26"/>
  <c r="N199" i="25"/>
  <c r="O179" i="25"/>
  <c r="H199" i="25"/>
  <c r="I179" i="25"/>
  <c r="I199" i="25"/>
  <c r="O199" i="25"/>
  <c r="K199" i="25"/>
  <c r="E199" i="25"/>
  <c r="L199" i="25"/>
  <c r="F179" i="25"/>
  <c r="F199" i="25" s="1"/>
  <c r="K20" i="25"/>
  <c r="K37" i="25" s="1"/>
  <c r="K172" i="25"/>
  <c r="L152" i="25"/>
  <c r="H20" i="25"/>
  <c r="H37" i="25" s="1"/>
  <c r="E172" i="25"/>
  <c r="L172" i="25"/>
  <c r="H172" i="25"/>
  <c r="N172" i="25"/>
  <c r="I172" i="25"/>
  <c r="O172" i="25"/>
  <c r="F152" i="25"/>
  <c r="F172" i="25" s="1"/>
  <c r="N145" i="25"/>
  <c r="O125" i="25"/>
  <c r="O145" i="25" s="1"/>
  <c r="K145" i="25"/>
  <c r="L125" i="25"/>
  <c r="L145" i="25" s="1"/>
  <c r="I145" i="25"/>
  <c r="H145" i="25"/>
  <c r="N118" i="25"/>
  <c r="I118" i="25"/>
  <c r="O118" i="25"/>
  <c r="K118" i="25"/>
  <c r="E118" i="25"/>
  <c r="L118" i="25"/>
  <c r="H118" i="25"/>
  <c r="F98" i="25"/>
  <c r="F118" i="25" s="1"/>
  <c r="N91" i="25"/>
  <c r="O71" i="25"/>
  <c r="O91" i="25" s="1"/>
  <c r="G7" i="25" s="1"/>
  <c r="K91" i="25"/>
  <c r="L71" i="25"/>
  <c r="L91" i="25" s="1"/>
  <c r="H91" i="25"/>
  <c r="I71" i="25"/>
  <c r="I91" i="25" s="1"/>
  <c r="O37" i="25"/>
  <c r="K64" i="25"/>
  <c r="N64" i="25"/>
  <c r="E64" i="25"/>
  <c r="L64" i="25"/>
  <c r="H64" i="25"/>
  <c r="I64" i="25"/>
  <c r="O64" i="25"/>
  <c r="F44" i="25"/>
  <c r="F64" i="25" s="1"/>
  <c r="L37" i="25"/>
  <c r="E37" i="25"/>
  <c r="I37" i="25"/>
  <c r="F37" i="25"/>
  <c r="N37" i="25"/>
  <c r="N199" i="24"/>
  <c r="H199" i="24"/>
  <c r="I179" i="24"/>
  <c r="I199" i="24" s="1"/>
  <c r="O199" i="24"/>
  <c r="K199" i="24"/>
  <c r="E199" i="24"/>
  <c r="L199" i="24"/>
  <c r="F179" i="24"/>
  <c r="F199" i="24" s="1"/>
  <c r="H172" i="24"/>
  <c r="N172" i="24"/>
  <c r="K172" i="24"/>
  <c r="I172" i="24"/>
  <c r="O172" i="24"/>
  <c r="E172" i="24"/>
  <c r="L172" i="24"/>
  <c r="F152" i="24"/>
  <c r="F172" i="24" s="1"/>
  <c r="K145" i="24"/>
  <c r="L125" i="24"/>
  <c r="L145" i="24" s="1"/>
  <c r="E145" i="24"/>
  <c r="H145" i="24"/>
  <c r="N145" i="24"/>
  <c r="I145" i="24"/>
  <c r="O145" i="24"/>
  <c r="F125" i="24"/>
  <c r="F145" i="24" s="1"/>
  <c r="O118" i="24"/>
  <c r="K118" i="24"/>
  <c r="L98" i="24"/>
  <c r="L118" i="24" s="1"/>
  <c r="H118" i="24"/>
  <c r="I98" i="24"/>
  <c r="I118" i="24" s="1"/>
  <c r="N118" i="24"/>
  <c r="F98" i="24"/>
  <c r="F118" i="24" s="1"/>
  <c r="O81" i="24"/>
  <c r="O17" i="24" s="1"/>
  <c r="O84" i="24"/>
  <c r="O20" i="24" s="1"/>
  <c r="K91" i="24"/>
  <c r="L71" i="24"/>
  <c r="L91" i="24" s="1"/>
  <c r="I83" i="24"/>
  <c r="I19" i="24" s="1"/>
  <c r="I82" i="24"/>
  <c r="I18" i="24" s="1"/>
  <c r="I81" i="24"/>
  <c r="I17" i="24" s="1"/>
  <c r="I85" i="24"/>
  <c r="I21" i="24" s="1"/>
  <c r="E21" i="24"/>
  <c r="E37" i="24" s="1"/>
  <c r="H91" i="24"/>
  <c r="N91" i="24"/>
  <c r="E91" i="24"/>
  <c r="F91" i="24"/>
  <c r="O64" i="24"/>
  <c r="N64" i="24"/>
  <c r="L64" i="24"/>
  <c r="K64" i="24"/>
  <c r="H64" i="24"/>
  <c r="K37" i="24"/>
  <c r="H37" i="24"/>
  <c r="L37" i="24"/>
  <c r="I44" i="24"/>
  <c r="I64" i="24" s="1"/>
  <c r="F44" i="24"/>
  <c r="F64" i="24" s="1"/>
  <c r="F37" i="24"/>
  <c r="N37" i="24"/>
  <c r="G3" i="24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F37" i="28" l="1"/>
  <c r="G11" i="28" s="1"/>
  <c r="G7" i="28"/>
  <c r="G5" i="28"/>
  <c r="L37" i="27"/>
  <c r="F37" i="27"/>
  <c r="F172" i="27"/>
  <c r="I172" i="27"/>
  <c r="I64" i="27"/>
  <c r="G5" i="27" s="1"/>
  <c r="I37" i="27"/>
  <c r="F199" i="27"/>
  <c r="G3" i="27"/>
  <c r="F64" i="27"/>
  <c r="I199" i="27"/>
  <c r="G9" i="27" s="1"/>
  <c r="I91" i="27"/>
  <c r="G7" i="27" s="1"/>
  <c r="I145" i="27"/>
  <c r="N37" i="26"/>
  <c r="O172" i="26"/>
  <c r="O17" i="26"/>
  <c r="O37" i="26" s="1"/>
  <c r="H37" i="26"/>
  <c r="L172" i="26"/>
  <c r="L17" i="26"/>
  <c r="L37" i="26" s="1"/>
  <c r="I172" i="26"/>
  <c r="I17" i="26"/>
  <c r="I37" i="26" s="1"/>
  <c r="G5" i="26"/>
  <c r="G11" i="23"/>
  <c r="G9" i="25"/>
  <c r="G3" i="25"/>
  <c r="G5" i="25"/>
  <c r="G11" i="25"/>
  <c r="G9" i="24"/>
  <c r="O91" i="24"/>
  <c r="O37" i="24"/>
  <c r="I37" i="24"/>
  <c r="I91" i="24"/>
  <c r="G5" i="24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11" i="27" l="1"/>
  <c r="G11" i="26"/>
  <c r="G11" i="24"/>
  <c r="G7" i="24"/>
  <c r="G9" i="6"/>
  <c r="G11" i="6"/>
  <c r="G5" i="6" l="1"/>
  <c r="I171" i="9"/>
  <c r="H273" i="9"/>
  <c r="C141" i="9"/>
  <c r="O197" i="9"/>
  <c r="C157" i="9"/>
  <c r="F181" i="9"/>
  <c r="N268" i="9"/>
  <c r="H177" i="9"/>
  <c r="K179" i="9"/>
  <c r="L152" i="9"/>
  <c r="L269" i="9"/>
  <c r="I189" i="9"/>
  <c r="K255" i="9"/>
  <c r="E252" i="9"/>
  <c r="H181" i="9"/>
  <c r="O171" i="9"/>
  <c r="C217" i="9"/>
  <c r="H237" i="9"/>
  <c r="K246" i="9"/>
  <c r="O179" i="9"/>
  <c r="C193" i="9"/>
  <c r="H106" i="9"/>
  <c r="L140" i="9"/>
  <c r="L71" i="9"/>
  <c r="F275" i="9"/>
  <c r="N123" i="9"/>
  <c r="E261" i="9"/>
  <c r="K107" i="9"/>
  <c r="L257" i="9"/>
  <c r="N218" i="9"/>
  <c r="K174" i="9"/>
  <c r="E246" i="9"/>
  <c r="C103" i="9"/>
  <c r="C261" i="9"/>
  <c r="I245" i="9"/>
  <c r="N215" i="9"/>
  <c r="O249" i="9"/>
  <c r="H176" i="9"/>
  <c r="K275" i="9"/>
  <c r="H229" i="9"/>
  <c r="H197" i="9"/>
  <c r="N271" i="9"/>
  <c r="L133" i="9"/>
  <c r="F246" i="9"/>
  <c r="N105" i="9"/>
  <c r="O266" i="9"/>
  <c r="C213" i="9"/>
  <c r="H68" i="9"/>
  <c r="O198" i="9"/>
  <c r="E275" i="9"/>
  <c r="K256" i="9"/>
  <c r="N181" i="9"/>
  <c r="C260" i="9"/>
  <c r="E220" i="9"/>
  <c r="E253" i="9"/>
  <c r="F185" i="9"/>
  <c r="I268" i="9"/>
  <c r="H146" i="9"/>
  <c r="K225" i="9"/>
  <c r="K273" i="9"/>
  <c r="F251" i="9"/>
  <c r="K224" i="9"/>
  <c r="I78" i="9"/>
  <c r="H265" i="9"/>
  <c r="L73" i="9"/>
  <c r="H184" i="9"/>
  <c r="E107" i="9"/>
  <c r="O187" i="9"/>
  <c r="K228" i="9"/>
  <c r="K111" i="9"/>
  <c r="I226" i="9"/>
  <c r="K185" i="9"/>
  <c r="F235" i="9"/>
  <c r="F169" i="9"/>
  <c r="O237" i="9"/>
  <c r="C208" i="9"/>
  <c r="C152" i="9"/>
  <c r="K267" i="9"/>
  <c r="E208" i="9"/>
  <c r="H207" i="9"/>
  <c r="O227" i="9"/>
  <c r="E182" i="9"/>
  <c r="L220" i="9"/>
  <c r="K223" i="9"/>
  <c r="K235" i="9"/>
  <c r="E184" i="9"/>
  <c r="L250" i="9"/>
  <c r="O261" i="9"/>
  <c r="K115" i="9"/>
  <c r="C273" i="9"/>
  <c r="F264" i="9"/>
  <c r="E132" i="9"/>
  <c r="H210" i="9"/>
  <c r="I186" i="9"/>
  <c r="I158" i="9"/>
  <c r="N263" i="9"/>
  <c r="I133" i="9"/>
  <c r="O102" i="9"/>
  <c r="N143" i="9"/>
  <c r="K101" i="9"/>
  <c r="H268" i="9"/>
  <c r="N257" i="9"/>
  <c r="K189" i="9"/>
  <c r="N273" i="9"/>
  <c r="C131" i="9"/>
  <c r="I269" i="9"/>
  <c r="K188" i="9"/>
  <c r="K266" i="9"/>
  <c r="F195" i="9"/>
  <c r="I270" i="9"/>
  <c r="C196" i="9"/>
  <c r="L217" i="9"/>
  <c r="N269" i="9"/>
  <c r="K220" i="9"/>
  <c r="K232" i="9"/>
  <c r="F254" i="9"/>
  <c r="I138" i="9"/>
  <c r="I148" i="9"/>
  <c r="E254" i="9"/>
  <c r="L157" i="9"/>
  <c r="O216" i="9"/>
  <c r="F187" i="9"/>
  <c r="O220" i="9"/>
  <c r="H230" i="9"/>
  <c r="C251" i="9"/>
  <c r="F207" i="9"/>
  <c r="I234" i="9"/>
  <c r="O246" i="9"/>
  <c r="F95" i="9"/>
  <c r="F262" i="9"/>
  <c r="H118" i="9"/>
  <c r="H271" i="9"/>
  <c r="K187" i="9"/>
  <c r="L252" i="9"/>
  <c r="H171" i="9"/>
  <c r="K230" i="9"/>
  <c r="O252" i="9"/>
  <c r="L258" i="9"/>
  <c r="O233" i="9"/>
  <c r="C158" i="9"/>
  <c r="E266" i="9"/>
  <c r="O107" i="9"/>
  <c r="L149" i="9"/>
  <c r="L139" i="9"/>
  <c r="I228" i="9"/>
  <c r="F208" i="9"/>
  <c r="F218" i="9"/>
  <c r="I258" i="9"/>
  <c r="N208" i="9"/>
  <c r="I274" i="9"/>
  <c r="L190" i="9"/>
  <c r="L270" i="9"/>
  <c r="O217" i="9"/>
  <c r="O153" i="9"/>
  <c r="O195" i="9"/>
  <c r="C78" i="9"/>
  <c r="H211" i="9"/>
  <c r="F176" i="9"/>
  <c r="I180" i="9"/>
  <c r="L156" i="9"/>
  <c r="C265" i="9"/>
  <c r="H228" i="9"/>
  <c r="C174" i="9"/>
  <c r="O178" i="9"/>
  <c r="O184" i="9"/>
  <c r="E189" i="9"/>
  <c r="H82" i="9"/>
  <c r="F142" i="9"/>
  <c r="L272" i="9"/>
  <c r="O56" i="9"/>
  <c r="F263" i="9"/>
  <c r="O175" i="9"/>
  <c r="K222" i="9"/>
  <c r="I262" i="9"/>
  <c r="O76" i="9"/>
  <c r="E180" i="9"/>
  <c r="E142" i="9"/>
  <c r="L100" i="9"/>
  <c r="L66" i="9"/>
  <c r="O83" i="9"/>
  <c r="K172" i="9"/>
  <c r="I109" i="9"/>
  <c r="C68" i="9"/>
  <c r="I85" i="9"/>
  <c r="E195" i="9"/>
  <c r="O149" i="9"/>
  <c r="E191" i="9"/>
  <c r="C98" i="9"/>
  <c r="E190" i="9"/>
  <c r="L247" i="9"/>
  <c r="K229" i="9"/>
  <c r="H253" i="9"/>
  <c r="H263" i="9"/>
  <c r="F248" i="9"/>
  <c r="N264" i="9"/>
  <c r="F192" i="9"/>
  <c r="F212" i="9"/>
  <c r="F222" i="9"/>
  <c r="H143" i="9"/>
  <c r="O225" i="9"/>
  <c r="I188" i="9"/>
  <c r="F255" i="9"/>
  <c r="C249" i="9"/>
  <c r="H225" i="9"/>
  <c r="C132" i="9"/>
  <c r="H72" i="9"/>
  <c r="L225" i="9"/>
  <c r="H254" i="9"/>
  <c r="F100" i="9"/>
  <c r="H270" i="9"/>
  <c r="H114" i="9"/>
  <c r="K221" i="9"/>
  <c r="I227" i="9"/>
  <c r="K248" i="9"/>
  <c r="O146" i="9"/>
  <c r="H261" i="9"/>
  <c r="L109" i="9"/>
  <c r="K272" i="9"/>
  <c r="I172" i="9"/>
  <c r="I255" i="9"/>
  <c r="N173" i="9"/>
  <c r="I254" i="9"/>
  <c r="H226" i="9"/>
  <c r="K193" i="9"/>
  <c r="N247" i="9"/>
  <c r="I153" i="9"/>
  <c r="O208" i="9"/>
  <c r="F110" i="9"/>
  <c r="F230" i="9"/>
  <c r="N191" i="9"/>
  <c r="H235" i="9"/>
  <c r="L148" i="9"/>
  <c r="I263" i="9"/>
  <c r="C259" i="9"/>
  <c r="I190" i="9"/>
  <c r="O268" i="9"/>
  <c r="O117" i="9"/>
  <c r="L261" i="9"/>
  <c r="C151" i="9"/>
  <c r="K247" i="9"/>
  <c r="F160" i="9"/>
  <c r="F234" i="9"/>
  <c r="F258" i="9"/>
  <c r="O103" i="9"/>
  <c r="C170" i="9"/>
  <c r="F63" i="9"/>
  <c r="I170" i="9"/>
  <c r="F68" i="9"/>
  <c r="O253" i="9"/>
  <c r="K96" i="9"/>
  <c r="N184" i="9"/>
  <c r="C190" i="9"/>
  <c r="L174" i="9"/>
  <c r="F220" i="9"/>
  <c r="N178" i="9"/>
  <c r="H173" i="9"/>
  <c r="I134" i="9"/>
  <c r="C231" i="9"/>
  <c r="F217" i="9"/>
  <c r="N249" i="9"/>
  <c r="L197" i="9"/>
  <c r="K212" i="9"/>
  <c r="E198" i="9"/>
  <c r="K209" i="9"/>
  <c r="L169" i="9"/>
  <c r="O145" i="9"/>
  <c r="N112" i="9"/>
  <c r="H105" i="9"/>
  <c r="L154" i="9"/>
  <c r="I223" i="9"/>
  <c r="I152" i="9"/>
  <c r="C95" i="9"/>
  <c r="O224" i="9"/>
  <c r="O123" i="9"/>
  <c r="E209" i="9"/>
  <c r="C85" i="9"/>
  <c r="H59" i="9"/>
  <c r="F190" i="9"/>
  <c r="H224" i="9"/>
  <c r="E216" i="9"/>
  <c r="I70" i="9"/>
  <c r="F178" i="9"/>
  <c r="H187" i="9"/>
  <c r="I55" i="9"/>
  <c r="K81" i="9"/>
  <c r="I211" i="9"/>
  <c r="K120" i="9"/>
  <c r="H227" i="9"/>
  <c r="L119" i="9"/>
  <c r="K147" i="9"/>
  <c r="L171" i="9"/>
  <c r="E181" i="9"/>
  <c r="L189" i="9"/>
  <c r="F75" i="9"/>
  <c r="F194" i="9"/>
  <c r="C235" i="9"/>
  <c r="F71" i="9"/>
  <c r="E100" i="9"/>
  <c r="I120" i="9"/>
  <c r="E106" i="9"/>
  <c r="I74" i="9"/>
  <c r="E214" i="9"/>
  <c r="F179" i="9"/>
  <c r="O157" i="9"/>
  <c r="I107" i="9"/>
  <c r="L237" i="9"/>
  <c r="E155" i="9"/>
  <c r="N138" i="9"/>
  <c r="C139" i="9"/>
  <c r="F81" i="9"/>
  <c r="L160" i="9"/>
  <c r="I220" i="9"/>
  <c r="O199" i="9"/>
  <c r="C222" i="9"/>
  <c r="O271" i="9"/>
  <c r="H212" i="9"/>
  <c r="O234" i="9"/>
  <c r="N250" i="9"/>
  <c r="F188" i="9"/>
  <c r="L253" i="9"/>
  <c r="I230" i="9"/>
  <c r="I247" i="9"/>
  <c r="E145" i="9"/>
  <c r="C169" i="9"/>
  <c r="F250" i="9"/>
  <c r="F191" i="9"/>
  <c r="L195" i="9"/>
  <c r="E157" i="9"/>
  <c r="E269" i="9"/>
  <c r="E101" i="9"/>
  <c r="N182" i="9"/>
  <c r="F154" i="9"/>
  <c r="I58" i="9"/>
  <c r="K196" i="9"/>
  <c r="I266" i="9"/>
  <c r="F144" i="9"/>
  <c r="N258" i="9"/>
  <c r="O248" i="9"/>
  <c r="I174" i="9"/>
  <c r="F197" i="9"/>
  <c r="E221" i="9"/>
  <c r="F172" i="9"/>
  <c r="E273" i="9"/>
  <c r="K181" i="9"/>
  <c r="F213" i="9"/>
  <c r="N270" i="9"/>
  <c r="F229" i="9"/>
  <c r="F182" i="9"/>
  <c r="E263" i="9"/>
  <c r="L147" i="9"/>
  <c r="L263" i="9"/>
  <c r="O188" i="9"/>
  <c r="E226" i="9"/>
  <c r="I272" i="9"/>
  <c r="K216" i="9"/>
  <c r="C274" i="9"/>
  <c r="L229" i="9"/>
  <c r="I183" i="9"/>
  <c r="C266" i="9"/>
  <c r="K231" i="9"/>
  <c r="L187" i="9"/>
  <c r="N207" i="9"/>
  <c r="L235" i="9"/>
  <c r="I275" i="9"/>
  <c r="C184" i="9"/>
  <c r="L264" i="9"/>
  <c r="H139" i="9"/>
  <c r="E270" i="9"/>
  <c r="N144" i="9"/>
  <c r="O257" i="9"/>
  <c r="C159" i="9"/>
  <c r="K140" i="9"/>
  <c r="L260" i="9"/>
  <c r="I187" i="9"/>
  <c r="H180" i="9"/>
  <c r="N136" i="9"/>
  <c r="H275" i="9"/>
  <c r="H110" i="9"/>
  <c r="L208" i="9"/>
  <c r="K122" i="9"/>
  <c r="E245" i="9"/>
  <c r="E268" i="9"/>
  <c r="L275" i="9"/>
  <c r="F270" i="9"/>
  <c r="L184" i="9"/>
  <c r="O251" i="9"/>
  <c r="C246" i="9"/>
  <c r="C185" i="9"/>
  <c r="E248" i="9"/>
  <c r="F141" i="9"/>
  <c r="K252" i="9"/>
  <c r="E152" i="9"/>
  <c r="E222" i="9"/>
  <c r="K191" i="9"/>
  <c r="I208" i="9"/>
  <c r="N245" i="9"/>
  <c r="N133" i="9"/>
  <c r="O247" i="9"/>
  <c r="H266" i="9"/>
  <c r="N197" i="9"/>
  <c r="H252" i="9"/>
  <c r="C248" i="9"/>
  <c r="H185" i="9"/>
  <c r="K237" i="9"/>
  <c r="K170" i="9"/>
  <c r="I225" i="9"/>
  <c r="C94" i="9"/>
  <c r="I219" i="9"/>
  <c r="I264" i="9"/>
  <c r="H219" i="9"/>
  <c r="C148" i="9"/>
  <c r="N259" i="9"/>
  <c r="C253" i="9"/>
  <c r="E113" i="9"/>
  <c r="K217" i="9"/>
  <c r="E265" i="9"/>
  <c r="F183" i="9"/>
  <c r="F198" i="9"/>
  <c r="H216" i="9"/>
  <c r="E225" i="9"/>
  <c r="O254" i="9"/>
  <c r="H182" i="9"/>
  <c r="H97" i="9"/>
  <c r="H174" i="9"/>
  <c r="N56" i="9"/>
  <c r="I259" i="9"/>
  <c r="L226" i="9"/>
  <c r="L219" i="9"/>
  <c r="N246" i="9"/>
  <c r="I197" i="9"/>
  <c r="F223" i="9"/>
  <c r="N252" i="9"/>
  <c r="H236" i="9"/>
  <c r="C210" i="9"/>
  <c r="H249" i="9"/>
  <c r="E156" i="9"/>
  <c r="F253" i="9"/>
  <c r="E213" i="9"/>
  <c r="C247" i="9"/>
  <c r="N117" i="9"/>
  <c r="C121" i="9"/>
  <c r="N253" i="9"/>
  <c r="L101" i="9"/>
  <c r="F245" i="9"/>
  <c r="C182" i="9"/>
  <c r="K178" i="9"/>
  <c r="F114" i="9"/>
  <c r="E247" i="9"/>
  <c r="L233" i="9"/>
  <c r="E118" i="9"/>
  <c r="E68" i="9"/>
  <c r="L70" i="9"/>
  <c r="L256" i="9"/>
  <c r="N236" i="9"/>
  <c r="E169" i="9"/>
  <c r="O120" i="9"/>
  <c r="L115" i="9"/>
  <c r="C156" i="9"/>
  <c r="E207" i="9"/>
  <c r="F107" i="9"/>
  <c r="O219" i="9"/>
  <c r="O65" i="9"/>
  <c r="O67" i="9"/>
  <c r="E57" i="9"/>
  <c r="N106" i="9"/>
  <c r="H149" i="9"/>
  <c r="N140" i="9"/>
  <c r="E193" i="9"/>
  <c r="I265" i="9"/>
  <c r="E231" i="9"/>
  <c r="O169" i="9"/>
  <c r="H250" i="9"/>
  <c r="H148" i="9"/>
  <c r="C172" i="9"/>
  <c r="O259" i="9"/>
  <c r="N95" i="9"/>
  <c r="H170" i="9"/>
  <c r="C226" i="9"/>
  <c r="I231" i="9"/>
  <c r="I257" i="9"/>
  <c r="L223" i="9"/>
  <c r="O194" i="9"/>
  <c r="N176" i="9"/>
  <c r="L262" i="9"/>
  <c r="I193" i="9"/>
  <c r="C118" i="9"/>
  <c r="N260" i="9"/>
  <c r="O270" i="9"/>
  <c r="K118" i="9"/>
  <c r="N214" i="9"/>
  <c r="F259" i="9"/>
  <c r="K102" i="9"/>
  <c r="H272" i="9"/>
  <c r="F150" i="9"/>
  <c r="E75" i="9"/>
  <c r="I246" i="9"/>
  <c r="E260" i="9"/>
  <c r="E249" i="9"/>
  <c r="K192" i="9"/>
  <c r="C212" i="9"/>
  <c r="L215" i="9"/>
  <c r="E256" i="9"/>
  <c r="L227" i="9"/>
  <c r="O143" i="9"/>
  <c r="C146" i="9"/>
  <c r="F175" i="9"/>
  <c r="N190" i="9"/>
  <c r="K253" i="9"/>
  <c r="C262" i="9"/>
  <c r="N220" i="9"/>
  <c r="I182" i="9"/>
  <c r="N159" i="9"/>
  <c r="C122" i="9"/>
  <c r="O196" i="9"/>
  <c r="E228" i="9"/>
  <c r="H247" i="9"/>
  <c r="C214" i="9"/>
  <c r="N198" i="9"/>
  <c r="O110" i="9"/>
  <c r="K257" i="9"/>
  <c r="K250" i="9"/>
  <c r="C224" i="9"/>
  <c r="C140" i="9"/>
  <c r="C234" i="9"/>
  <c r="K194" i="9"/>
  <c r="I69" i="9"/>
  <c r="N99" i="9"/>
  <c r="H190" i="9"/>
  <c r="I157" i="9"/>
  <c r="H144" i="9"/>
  <c r="I195" i="9"/>
  <c r="H153" i="9"/>
  <c r="K55" i="9"/>
  <c r="L181" i="9"/>
  <c r="F174" i="9"/>
  <c r="H140" i="9"/>
  <c r="E56" i="9"/>
  <c r="L228" i="9"/>
  <c r="I116" i="9"/>
  <c r="K60" i="9"/>
  <c r="C173" i="9"/>
  <c r="I108" i="9"/>
  <c r="I122" i="9"/>
  <c r="E186" i="9"/>
  <c r="H179" i="9"/>
  <c r="E148" i="9"/>
  <c r="E172" i="9"/>
  <c r="C180" i="9"/>
  <c r="L76" i="9"/>
  <c r="K63" i="9"/>
  <c r="C104" i="9"/>
  <c r="K175" i="9"/>
  <c r="N193" i="9"/>
  <c r="I132" i="9"/>
  <c r="N55" i="9"/>
  <c r="I184" i="9"/>
  <c r="K152" i="9"/>
  <c r="H112" i="9"/>
  <c r="C119" i="9"/>
  <c r="I176" i="9"/>
  <c r="L224" i="9"/>
  <c r="H136" i="9"/>
  <c r="I198" i="9"/>
  <c r="E274" i="9"/>
  <c r="I100" i="9"/>
  <c r="C108" i="9"/>
  <c r="I81" i="9"/>
  <c r="K85" i="9"/>
  <c r="F136" i="9"/>
  <c r="N186" i="9"/>
  <c r="N76" i="9"/>
  <c r="C195" i="9"/>
  <c r="L131" i="9"/>
  <c r="O232" i="9"/>
  <c r="I260" i="9"/>
  <c r="E175" i="9"/>
  <c r="K269" i="9"/>
  <c r="L273" i="9"/>
  <c r="C142" i="9"/>
  <c r="I178" i="9"/>
  <c r="F252" i="9"/>
  <c r="E153" i="9"/>
  <c r="H257" i="9"/>
  <c r="F233" i="9"/>
  <c r="H264" i="9"/>
  <c r="K271" i="9"/>
  <c r="F111" i="9"/>
  <c r="N225" i="9"/>
  <c r="I145" i="9"/>
  <c r="C229" i="9"/>
  <c r="H214" i="9"/>
  <c r="I249" i="9"/>
  <c r="N221" i="9"/>
  <c r="L194" i="9"/>
  <c r="I273" i="9"/>
  <c r="C225" i="9"/>
  <c r="F260" i="9"/>
  <c r="I207" i="9"/>
  <c r="C67" i="9"/>
  <c r="L120" i="9"/>
  <c r="I235" i="9"/>
  <c r="F273" i="9"/>
  <c r="H208" i="9"/>
  <c r="C258" i="9"/>
  <c r="E233" i="9"/>
  <c r="L176" i="9"/>
  <c r="K57" i="9"/>
  <c r="F237" i="9"/>
  <c r="E217" i="9"/>
  <c r="N254" i="9"/>
  <c r="F159" i="9"/>
  <c r="L198" i="9"/>
  <c r="C109" i="9"/>
  <c r="H98" i="9"/>
  <c r="O226" i="9"/>
  <c r="O139" i="9"/>
  <c r="N131" i="9"/>
  <c r="I229" i="9"/>
  <c r="C111" i="9"/>
  <c r="L96" i="9"/>
  <c r="I67" i="9"/>
  <c r="K214" i="9"/>
  <c r="N187" i="9"/>
  <c r="K263" i="9"/>
  <c r="C55" i="9"/>
  <c r="H84" i="9"/>
  <c r="N57" i="9"/>
  <c r="E65" i="9"/>
  <c r="L117" i="9"/>
  <c r="N192" i="9"/>
  <c r="E59" i="9"/>
  <c r="N68" i="9"/>
  <c r="F170" i="9"/>
  <c r="F57" i="9"/>
  <c r="N67" i="9"/>
  <c r="N237" i="9"/>
  <c r="K183" i="9"/>
  <c r="O172" i="9"/>
  <c r="K70" i="9"/>
  <c r="C116" i="9"/>
  <c r="I118" i="9"/>
  <c r="O84" i="9"/>
  <c r="N183" i="9"/>
  <c r="K119" i="9"/>
  <c r="H64" i="9"/>
  <c r="I60" i="9"/>
  <c r="C199" i="9"/>
  <c r="N217" i="9"/>
  <c r="H258" i="9"/>
  <c r="N102" i="9"/>
  <c r="K173" i="9"/>
  <c r="E144" i="9"/>
  <c r="E123" i="9"/>
  <c r="K79" i="9"/>
  <c r="L142" i="9"/>
  <c r="H269" i="9"/>
  <c r="I267" i="9"/>
  <c r="L69" i="9"/>
  <c r="H150" i="9"/>
  <c r="N78" i="9"/>
  <c r="K180" i="9"/>
  <c r="L268" i="9"/>
  <c r="K132" i="9"/>
  <c r="I66" i="9"/>
  <c r="N114" i="9"/>
  <c r="E232" i="9"/>
  <c r="E272" i="9"/>
  <c r="C232" i="9"/>
  <c r="N213" i="9"/>
  <c r="O255" i="9"/>
  <c r="L81" i="9"/>
  <c r="I216" i="9"/>
  <c r="O214" i="9"/>
  <c r="O192" i="9"/>
  <c r="O260" i="9"/>
  <c r="L196" i="9"/>
  <c r="K251" i="9"/>
  <c r="C256" i="9"/>
  <c r="E259" i="9"/>
  <c r="H248" i="9"/>
  <c r="O264" i="9"/>
  <c r="C209" i="9"/>
  <c r="N155" i="9"/>
  <c r="F265" i="9"/>
  <c r="I213" i="9"/>
  <c r="C250" i="9"/>
  <c r="C138" i="9"/>
  <c r="O221" i="9"/>
  <c r="N211" i="9"/>
  <c r="O209" i="9"/>
  <c r="E104" i="9"/>
  <c r="C237" i="9"/>
  <c r="F196" i="9"/>
  <c r="F120" i="9"/>
  <c r="N261" i="9"/>
  <c r="I233" i="9"/>
  <c r="N172" i="9"/>
  <c r="H192" i="9"/>
  <c r="H218" i="9"/>
  <c r="N137" i="9"/>
  <c r="L193" i="9"/>
  <c r="E194" i="9"/>
  <c r="N226" i="9"/>
  <c r="F147" i="9"/>
  <c r="E262" i="9"/>
  <c r="K134" i="9"/>
  <c r="E136" i="9"/>
  <c r="C134" i="9"/>
  <c r="O62" i="9"/>
  <c r="H232" i="9"/>
  <c r="H199" i="9"/>
  <c r="K100" i="9"/>
  <c r="K133" i="9"/>
  <c r="C72" i="9"/>
  <c r="F199" i="9"/>
  <c r="K261" i="9"/>
  <c r="K213" i="9"/>
  <c r="F101" i="9"/>
  <c r="E61" i="9"/>
  <c r="O57" i="9"/>
  <c r="E102" i="9"/>
  <c r="O185" i="9"/>
  <c r="L232" i="9"/>
  <c r="E139" i="9"/>
  <c r="H119" i="9"/>
  <c r="K274" i="9"/>
  <c r="L118" i="9"/>
  <c r="E160" i="9"/>
  <c r="E137" i="9"/>
  <c r="O66" i="9"/>
  <c r="I59" i="9"/>
  <c r="C144" i="9"/>
  <c r="L231" i="9"/>
  <c r="K195" i="9"/>
  <c r="E271" i="9"/>
  <c r="O96" i="9"/>
  <c r="N194" i="9"/>
  <c r="E111" i="9"/>
  <c r="K262" i="9"/>
  <c r="L106" i="9"/>
  <c r="F65" i="9"/>
  <c r="H76" i="9"/>
  <c r="N110" i="9"/>
  <c r="L65" i="9"/>
  <c r="O121" i="9"/>
  <c r="L80" i="9"/>
  <c r="K142" i="9"/>
  <c r="C215" i="9"/>
  <c r="L274" i="9"/>
  <c r="E98" i="9"/>
  <c r="N158" i="9"/>
  <c r="H132" i="9"/>
  <c r="H67" i="9"/>
  <c r="N161" i="9"/>
  <c r="C123" i="9"/>
  <c r="C267" i="9"/>
  <c r="O213" i="9"/>
  <c r="N148" i="9"/>
  <c r="O272" i="9"/>
  <c r="E161" i="9"/>
  <c r="E96" i="9"/>
  <c r="O118" i="9"/>
  <c r="L113" i="9"/>
  <c r="N98" i="9"/>
  <c r="C150" i="9"/>
  <c r="C268" i="9"/>
  <c r="F131" i="9"/>
  <c r="K215" i="9"/>
  <c r="C233" i="9"/>
  <c r="I98" i="9"/>
  <c r="K72" i="9"/>
  <c r="O133" i="9"/>
  <c r="C181" i="9"/>
  <c r="H100" i="9"/>
  <c r="O108" i="9"/>
  <c r="C255" i="9"/>
  <c r="H102" i="9"/>
  <c r="H58" i="9"/>
  <c r="O70" i="9"/>
  <c r="F58" i="9"/>
  <c r="I56" i="9"/>
  <c r="C82" i="9"/>
  <c r="H56" i="9"/>
  <c r="E121" i="9"/>
  <c r="K103" i="9"/>
  <c r="H169" i="9"/>
  <c r="F271" i="9"/>
  <c r="H111" i="9"/>
  <c r="F112" i="9"/>
  <c r="C61" i="9"/>
  <c r="F103" i="9"/>
  <c r="C60" i="9"/>
  <c r="L72" i="9"/>
  <c r="H103" i="9"/>
  <c r="L161" i="9"/>
  <c r="H135" i="9"/>
  <c r="H193" i="9"/>
  <c r="E185" i="9"/>
  <c r="L122" i="9"/>
  <c r="L136" i="9"/>
  <c r="E264" i="9"/>
  <c r="H209" i="9"/>
  <c r="I250" i="9"/>
  <c r="K198" i="9"/>
  <c r="L179" i="9"/>
  <c r="H94" i="9"/>
  <c r="E255" i="9"/>
  <c r="N266" i="9"/>
  <c r="E188" i="9"/>
  <c r="E258" i="9"/>
  <c r="F269" i="9"/>
  <c r="F210" i="9"/>
  <c r="N209" i="9"/>
  <c r="K153" i="9"/>
  <c r="E110" i="9"/>
  <c r="F156" i="9"/>
  <c r="K66" i="9"/>
  <c r="E267" i="9"/>
  <c r="E150" i="9"/>
  <c r="K154" i="9"/>
  <c r="L114" i="9"/>
  <c r="I185" i="9"/>
  <c r="H115" i="9"/>
  <c r="E179" i="9"/>
  <c r="I271" i="9"/>
  <c r="H233" i="9"/>
  <c r="C175" i="9"/>
  <c r="N227" i="9"/>
  <c r="C211" i="9"/>
  <c r="F98" i="9"/>
  <c r="E197" i="9"/>
  <c r="K210" i="9"/>
  <c r="E183" i="9"/>
  <c r="F94" i="9"/>
  <c r="I210" i="9"/>
  <c r="F74" i="9"/>
  <c r="H61" i="9"/>
  <c r="H255" i="9"/>
  <c r="H122" i="9"/>
  <c r="L209" i="9"/>
  <c r="H131" i="9"/>
  <c r="K98" i="9"/>
  <c r="N156" i="9"/>
  <c r="I160" i="9"/>
  <c r="E131" i="9"/>
  <c r="F236" i="9"/>
  <c r="C177" i="9"/>
  <c r="F59" i="9"/>
  <c r="L182" i="9"/>
  <c r="N60" i="9"/>
  <c r="N93" i="9"/>
  <c r="E69" i="9"/>
  <c r="O154" i="9"/>
  <c r="K156" i="9"/>
  <c r="E230" i="9"/>
  <c r="C230" i="9"/>
  <c r="N107" i="9"/>
  <c r="N177" i="9"/>
  <c r="O159" i="9"/>
  <c r="L94" i="9"/>
  <c r="C66" i="9"/>
  <c r="F151" i="9"/>
  <c r="H157" i="9"/>
  <c r="L105" i="9"/>
  <c r="O112" i="9"/>
  <c r="C71" i="9"/>
  <c r="K112" i="9"/>
  <c r="N154" i="9"/>
  <c r="K161" i="9"/>
  <c r="I196" i="9"/>
  <c r="I135" i="9"/>
  <c r="I156" i="9"/>
  <c r="N275" i="9"/>
  <c r="F145" i="9"/>
  <c r="I173" i="9"/>
  <c r="H93" i="9"/>
  <c r="H246" i="9"/>
  <c r="O160" i="9"/>
  <c r="I218" i="9"/>
  <c r="E149" i="9"/>
  <c r="O174" i="9"/>
  <c r="N196" i="9"/>
  <c r="F133" i="9"/>
  <c r="L68" i="9"/>
  <c r="K258" i="9"/>
  <c r="K184" i="9"/>
  <c r="K264" i="9"/>
  <c r="H104" i="9"/>
  <c r="O69" i="9"/>
  <c r="E147" i="9"/>
  <c r="O136" i="9"/>
  <c r="L186" i="9"/>
  <c r="H256" i="9"/>
  <c r="L107" i="9"/>
  <c r="L155" i="9"/>
  <c r="N175" i="9"/>
  <c r="E210" i="9"/>
  <c r="H194" i="9"/>
  <c r="N231" i="9"/>
  <c r="N251" i="9"/>
  <c r="L170" i="9"/>
  <c r="I106" i="9"/>
  <c r="O269" i="9"/>
  <c r="L98" i="9"/>
  <c r="I212" i="9"/>
  <c r="O229" i="9"/>
  <c r="H260" i="9"/>
  <c r="I119" i="9"/>
  <c r="N139" i="9"/>
  <c r="H267" i="9"/>
  <c r="C228" i="9"/>
  <c r="H220" i="9"/>
  <c r="K211" i="9"/>
  <c r="H251" i="9"/>
  <c r="C264" i="9"/>
  <c r="L78" i="9"/>
  <c r="L216" i="9"/>
  <c r="O140" i="9"/>
  <c r="H159" i="9"/>
  <c r="H134" i="9"/>
  <c r="I94" i="9"/>
  <c r="L222" i="9"/>
  <c r="L251" i="9"/>
  <c r="N233" i="9"/>
  <c r="C236" i="9"/>
  <c r="O189" i="9"/>
  <c r="E94" i="9"/>
  <c r="F214" i="9"/>
  <c r="E192" i="9"/>
  <c r="E99" i="9"/>
  <c r="H188" i="9"/>
  <c r="O173" i="9"/>
  <c r="N160" i="9"/>
  <c r="L82" i="9"/>
  <c r="I113" i="9"/>
  <c r="F177" i="9"/>
  <c r="I146" i="9"/>
  <c r="I177" i="9"/>
  <c r="L102" i="9"/>
  <c r="F82" i="9"/>
  <c r="K73" i="9"/>
  <c r="E178" i="9"/>
  <c r="K171" i="9"/>
  <c r="L103" i="9"/>
  <c r="K176" i="9"/>
  <c r="H186" i="9"/>
  <c r="C110" i="9"/>
  <c r="F226" i="9"/>
  <c r="F224" i="9"/>
  <c r="K77" i="9"/>
  <c r="N74" i="9"/>
  <c r="C115" i="9"/>
  <c r="I114" i="9"/>
  <c r="H123" i="9"/>
  <c r="F215" i="9"/>
  <c r="C227" i="9"/>
  <c r="N132" i="9"/>
  <c r="E135" i="9"/>
  <c r="F186" i="9"/>
  <c r="F211" i="9"/>
  <c r="K145" i="9"/>
  <c r="E187" i="9"/>
  <c r="F173" i="9"/>
  <c r="C75" i="9"/>
  <c r="K67" i="9"/>
  <c r="O263" i="9"/>
  <c r="E196" i="9"/>
  <c r="O152" i="9"/>
  <c r="E63" i="9"/>
  <c r="O250" i="9"/>
  <c r="N85" i="9"/>
  <c r="K80" i="9"/>
  <c r="C271" i="9"/>
  <c r="I93" i="9"/>
  <c r="E235" i="9"/>
  <c r="N75" i="9"/>
  <c r="L95" i="9"/>
  <c r="H223" i="9"/>
  <c r="L236" i="9"/>
  <c r="K260" i="9"/>
  <c r="L108" i="9"/>
  <c r="I224" i="9"/>
  <c r="H213" i="9"/>
  <c r="K65" i="9"/>
  <c r="H57" i="9"/>
  <c r="H79" i="9"/>
  <c r="K95" i="9"/>
  <c r="I221" i="9"/>
  <c r="F132" i="9"/>
  <c r="F216" i="9"/>
  <c r="E234" i="9"/>
  <c r="C155" i="9"/>
  <c r="N228" i="9"/>
  <c r="N234" i="9"/>
  <c r="C154" i="9"/>
  <c r="N80" i="9"/>
  <c r="C263" i="9"/>
  <c r="N169" i="9"/>
  <c r="F232" i="9"/>
  <c r="C270" i="9"/>
  <c r="H231" i="9"/>
  <c r="L266" i="9"/>
  <c r="C254" i="9"/>
  <c r="C245" i="9"/>
  <c r="O236" i="9"/>
  <c r="K219" i="9"/>
  <c r="C221" i="9"/>
  <c r="O273" i="9"/>
  <c r="K254" i="9"/>
  <c r="L248" i="9"/>
  <c r="E237" i="9"/>
  <c r="O119" i="9"/>
  <c r="K138" i="9"/>
  <c r="C99" i="9"/>
  <c r="H222" i="9"/>
  <c r="N185" i="9"/>
  <c r="F228" i="9"/>
  <c r="N265" i="9"/>
  <c r="I261" i="9"/>
  <c r="O215" i="9"/>
  <c r="E85" i="9"/>
  <c r="L192" i="9"/>
  <c r="I217" i="9"/>
  <c r="F78" i="9"/>
  <c r="F227" i="9"/>
  <c r="L234" i="9"/>
  <c r="L254" i="9"/>
  <c r="O61" i="9"/>
  <c r="O132" i="9"/>
  <c r="O265" i="9"/>
  <c r="N119" i="9"/>
  <c r="L177" i="9"/>
  <c r="F137" i="9"/>
  <c r="O148" i="9"/>
  <c r="H65" i="9"/>
  <c r="O228" i="9"/>
  <c r="H66" i="9"/>
  <c r="K160" i="9"/>
  <c r="I97" i="9"/>
  <c r="E223" i="9"/>
  <c r="K226" i="9"/>
  <c r="L212" i="9"/>
  <c r="E176" i="9"/>
  <c r="O72" i="9"/>
  <c r="O151" i="9"/>
  <c r="N223" i="9"/>
  <c r="H77" i="9"/>
  <c r="E146" i="9"/>
  <c r="K265" i="9"/>
  <c r="E133" i="9"/>
  <c r="L146" i="9"/>
  <c r="H183" i="9"/>
  <c r="I139" i="9"/>
  <c r="F118" i="9"/>
  <c r="I82" i="9"/>
  <c r="E250" i="9"/>
  <c r="K82" i="9"/>
  <c r="F109" i="9"/>
  <c r="E134" i="9"/>
  <c r="L64" i="9"/>
  <c r="C93" i="9"/>
  <c r="I75" i="9"/>
  <c r="E120" i="9"/>
  <c r="L245" i="9"/>
  <c r="N62" i="9"/>
  <c r="N104" i="9"/>
  <c r="K218" i="9"/>
  <c r="F184" i="9"/>
  <c r="I140" i="9"/>
  <c r="H113" i="9"/>
  <c r="C59" i="9"/>
  <c r="E218" i="9"/>
  <c r="I222" i="9"/>
  <c r="E219" i="9"/>
  <c r="E151" i="9"/>
  <c r="H234" i="9"/>
  <c r="E112" i="9"/>
  <c r="E79" i="9"/>
  <c r="E74" i="9"/>
  <c r="O131" i="9"/>
  <c r="O222" i="9"/>
  <c r="I112" i="9"/>
  <c r="N180" i="9"/>
  <c r="K61" i="9"/>
  <c r="F272" i="9"/>
  <c r="C171" i="9"/>
  <c r="E138" i="9"/>
  <c r="H215" i="9"/>
  <c r="F99" i="9"/>
  <c r="O85" i="9"/>
  <c r="N61" i="9"/>
  <c r="O210" i="9"/>
  <c r="N147" i="9"/>
  <c r="N71" i="9"/>
  <c r="O63" i="9"/>
  <c r="I236" i="9"/>
  <c r="L207" i="9"/>
  <c r="K197" i="9"/>
  <c r="L99" i="9"/>
  <c r="K110" i="9"/>
  <c r="L60" i="9"/>
  <c r="O134" i="9"/>
  <c r="F73" i="9"/>
  <c r="I84" i="9"/>
  <c r="O218" i="9"/>
  <c r="C188" i="9"/>
  <c r="K139" i="9"/>
  <c r="F105" i="9"/>
  <c r="O99" i="9"/>
  <c r="I95" i="9"/>
  <c r="N152" i="9"/>
  <c r="K83" i="9"/>
  <c r="L159" i="9"/>
  <c r="F117" i="9"/>
  <c r="H147" i="9"/>
  <c r="L172" i="9"/>
  <c r="N210" i="9"/>
  <c r="I143" i="9"/>
  <c r="N267" i="9"/>
  <c r="L249" i="9"/>
  <c r="N224" i="9"/>
  <c r="L185" i="9"/>
  <c r="E70" i="9"/>
  <c r="C207" i="9"/>
  <c r="C269" i="9"/>
  <c r="L151" i="9"/>
  <c r="N248" i="9"/>
  <c r="E177" i="9"/>
  <c r="K249" i="9"/>
  <c r="O262" i="9"/>
  <c r="O212" i="9"/>
  <c r="C218" i="9"/>
  <c r="C178" i="9"/>
  <c r="N255" i="9"/>
  <c r="F209" i="9"/>
  <c r="C252" i="9"/>
  <c r="I214" i="9"/>
  <c r="K227" i="9"/>
  <c r="I252" i="9"/>
  <c r="O256" i="9"/>
  <c r="I253" i="9"/>
  <c r="K71" i="9"/>
  <c r="L175" i="9"/>
  <c r="L267" i="9"/>
  <c r="F266" i="9"/>
  <c r="O245" i="9"/>
  <c r="N230" i="9"/>
  <c r="N100" i="9"/>
  <c r="C179" i="9"/>
  <c r="O155" i="9"/>
  <c r="H120" i="9"/>
  <c r="F189" i="9"/>
  <c r="N199" i="9"/>
  <c r="K268" i="9"/>
  <c r="I121" i="9"/>
  <c r="F143" i="9"/>
  <c r="K207" i="9"/>
  <c r="N222" i="9"/>
  <c r="N150" i="9"/>
  <c r="I83" i="9"/>
  <c r="H198" i="9"/>
  <c r="H63" i="9"/>
  <c r="C106" i="9"/>
  <c r="F80" i="9"/>
  <c r="C197" i="9"/>
  <c r="N216" i="9"/>
  <c r="N174" i="9"/>
  <c r="F161" i="9"/>
  <c r="N232" i="9"/>
  <c r="K234" i="9"/>
  <c r="N84" i="9"/>
  <c r="E81" i="9"/>
  <c r="N69" i="9"/>
  <c r="K93" i="9"/>
  <c r="C145" i="9"/>
  <c r="O223" i="9"/>
  <c r="I96" i="9"/>
  <c r="F116" i="9"/>
  <c r="L210" i="9"/>
  <c r="H189" i="9"/>
  <c r="L110" i="9"/>
  <c r="K58" i="9"/>
  <c r="H85" i="9"/>
  <c r="C198" i="9"/>
  <c r="F148" i="9"/>
  <c r="E159" i="9"/>
  <c r="N134" i="9"/>
  <c r="K109" i="9"/>
  <c r="E82" i="9"/>
  <c r="F106" i="9"/>
  <c r="H191" i="9"/>
  <c r="L199" i="9"/>
  <c r="I136" i="9"/>
  <c r="F225" i="9"/>
  <c r="L214" i="9"/>
  <c r="O116" i="9"/>
  <c r="N135" i="9"/>
  <c r="H80" i="9"/>
  <c r="L213" i="9"/>
  <c r="H221" i="9"/>
  <c r="C223" i="9"/>
  <c r="L111" i="9"/>
  <c r="N235" i="9"/>
  <c r="C114" i="9"/>
  <c r="K62" i="9"/>
  <c r="K131" i="9"/>
  <c r="E66" i="9"/>
  <c r="C84" i="9"/>
  <c r="K59" i="9"/>
  <c r="K146" i="9"/>
  <c r="H107" i="9"/>
  <c r="K190" i="9"/>
  <c r="K159" i="9"/>
  <c r="L221" i="9"/>
  <c r="N142" i="9"/>
  <c r="O115" i="9"/>
  <c r="I131" i="9"/>
  <c r="H262" i="9"/>
  <c r="H99" i="9"/>
  <c r="H95" i="9"/>
  <c r="C97" i="9"/>
  <c r="H138" i="9"/>
  <c r="H155" i="9"/>
  <c r="I194" i="9"/>
  <c r="L271" i="9"/>
  <c r="L61" i="9"/>
  <c r="F146" i="9"/>
  <c r="E64" i="9"/>
  <c r="K208" i="9"/>
  <c r="K75" i="9"/>
  <c r="O135" i="9"/>
  <c r="F268" i="9"/>
  <c r="O80" i="9"/>
  <c r="E199" i="9"/>
  <c r="I161" i="9"/>
  <c r="N157" i="9"/>
  <c r="E115" i="9"/>
  <c r="F93" i="9"/>
  <c r="C133" i="9"/>
  <c r="F155" i="9"/>
  <c r="E251" i="9"/>
  <c r="O60" i="9"/>
  <c r="O55" i="9"/>
  <c r="F193" i="9"/>
  <c r="I248" i="9"/>
  <c r="K157" i="9"/>
  <c r="K199" i="9"/>
  <c r="N171" i="9"/>
  <c r="K68" i="9"/>
  <c r="F66" i="9"/>
  <c r="N151" i="9"/>
  <c r="N272" i="9"/>
  <c r="N70" i="9"/>
  <c r="C56" i="9"/>
  <c r="F56" i="9"/>
  <c r="N96" i="9"/>
  <c r="C135" i="9"/>
  <c r="F219" i="9"/>
  <c r="K121" i="9"/>
  <c r="N195" i="9"/>
  <c r="H172" i="9"/>
  <c r="H81" i="9"/>
  <c r="K116" i="9"/>
  <c r="I123" i="9"/>
  <c r="I141" i="9"/>
  <c r="L75" i="9"/>
  <c r="C101" i="9"/>
  <c r="H141" i="9"/>
  <c r="I150" i="9"/>
  <c r="E114" i="9"/>
  <c r="N141" i="9"/>
  <c r="L132" i="9"/>
  <c r="I102" i="9"/>
  <c r="L265" i="9"/>
  <c r="I72" i="9"/>
  <c r="C137" i="9"/>
  <c r="E117" i="9"/>
  <c r="O94" i="9"/>
  <c r="O274" i="9"/>
  <c r="H161" i="9"/>
  <c r="O142" i="9"/>
  <c r="N153" i="9"/>
  <c r="I80" i="9"/>
  <c r="N83" i="9"/>
  <c r="C100" i="9"/>
  <c r="L123" i="9"/>
  <c r="O141" i="9"/>
  <c r="K56" i="9"/>
  <c r="E119" i="9"/>
  <c r="I71" i="9"/>
  <c r="N81" i="9"/>
  <c r="N229" i="9"/>
  <c r="N97" i="9"/>
  <c r="E83" i="9"/>
  <c r="F135" i="9"/>
  <c r="E141" i="9"/>
  <c r="H152" i="9"/>
  <c r="N145" i="9"/>
  <c r="H178" i="9"/>
  <c r="I251" i="9"/>
  <c r="O93" i="9"/>
  <c r="N108" i="9"/>
  <c r="I237" i="9"/>
  <c r="F97" i="9"/>
  <c r="C257" i="9"/>
  <c r="C83" i="9"/>
  <c r="N101" i="9"/>
  <c r="F171" i="9"/>
  <c r="E17" i="9"/>
  <c r="K148" i="9"/>
  <c r="K114" i="9"/>
  <c r="O109" i="9"/>
  <c r="O150" i="9"/>
  <c r="N256" i="9"/>
  <c r="O267" i="9"/>
  <c r="N64" i="9"/>
  <c r="N179" i="9"/>
  <c r="F221" i="9"/>
  <c r="O170" i="9"/>
  <c r="K74" i="9"/>
  <c r="F119" i="9"/>
  <c r="C183" i="9"/>
  <c r="F123" i="9"/>
  <c r="F152" i="9"/>
  <c r="F267" i="9"/>
  <c r="E67" i="9"/>
  <c r="L188" i="9"/>
  <c r="E229" i="9"/>
  <c r="E78" i="9"/>
  <c r="N72" i="9"/>
  <c r="C191" i="9"/>
  <c r="I199" i="9"/>
  <c r="K150" i="9"/>
  <c r="I191" i="9"/>
  <c r="L246" i="9"/>
  <c r="F261" i="9"/>
  <c r="I256" i="9"/>
  <c r="I104" i="9"/>
  <c r="L134" i="9"/>
  <c r="I159" i="9"/>
  <c r="N212" i="9"/>
  <c r="C105" i="9"/>
  <c r="O105" i="9"/>
  <c r="N262" i="9"/>
  <c r="L230" i="9"/>
  <c r="H151" i="9"/>
  <c r="O275" i="9"/>
  <c r="F79" i="9"/>
  <c r="K106" i="9"/>
  <c r="O113" i="9"/>
  <c r="F180" i="9"/>
  <c r="C120" i="9"/>
  <c r="N103" i="9"/>
  <c r="O95" i="9"/>
  <c r="L137" i="9"/>
  <c r="C117" i="9"/>
  <c r="C153" i="9"/>
  <c r="O183" i="9"/>
  <c r="E170" i="9"/>
  <c r="O138" i="9"/>
  <c r="I77" i="9"/>
  <c r="E122" i="9"/>
  <c r="F153" i="9"/>
  <c r="K113" i="9"/>
  <c r="C216" i="9"/>
  <c r="E60" i="9"/>
  <c r="N118" i="9"/>
  <c r="F61" i="9"/>
  <c r="N188" i="9"/>
  <c r="O74" i="9"/>
  <c r="L79" i="9"/>
  <c r="E73" i="9"/>
  <c r="E71" i="9"/>
  <c r="H133" i="9"/>
  <c r="H70" i="9"/>
  <c r="N120" i="9"/>
  <c r="I111" i="9"/>
  <c r="E227" i="9"/>
  <c r="E55" i="9"/>
  <c r="L62" i="9"/>
  <c r="E76" i="9"/>
  <c r="N79" i="9"/>
  <c r="H74" i="9"/>
  <c r="K117" i="9"/>
  <c r="O137" i="9"/>
  <c r="L85" i="9"/>
  <c r="F108" i="9"/>
  <c r="C64" i="9"/>
  <c r="C189" i="9"/>
  <c r="O79" i="9"/>
  <c r="F149" i="9"/>
  <c r="C186" i="9"/>
  <c r="H108" i="9"/>
  <c r="K270" i="9"/>
  <c r="O207" i="9"/>
  <c r="K186" i="9"/>
  <c r="O235" i="9"/>
  <c r="O186" i="9"/>
  <c r="H117" i="9"/>
  <c r="N58" i="9"/>
  <c r="N274" i="9"/>
  <c r="K245" i="9"/>
  <c r="C147" i="9"/>
  <c r="I169" i="9"/>
  <c r="K236" i="9"/>
  <c r="C107" i="9"/>
  <c r="C220" i="9"/>
  <c r="K169" i="9"/>
  <c r="K177" i="9"/>
  <c r="F115" i="9"/>
  <c r="C62" i="9"/>
  <c r="O230" i="9"/>
  <c r="F102" i="9"/>
  <c r="I68" i="9"/>
  <c r="N63" i="9"/>
  <c r="C79" i="9"/>
  <c r="F76" i="9"/>
  <c r="N113" i="9"/>
  <c r="L55" i="9"/>
  <c r="K233" i="9"/>
  <c r="F134" i="9"/>
  <c r="O58" i="9"/>
  <c r="F55" i="9"/>
  <c r="N149" i="9"/>
  <c r="C192" i="9"/>
  <c r="F256" i="9"/>
  <c r="K182" i="9"/>
  <c r="E140" i="9"/>
  <c r="E257" i="9"/>
  <c r="E212" i="9"/>
  <c r="N219" i="9"/>
  <c r="H217" i="9"/>
  <c r="N73" i="9"/>
  <c r="I105" i="9"/>
  <c r="H83" i="9"/>
  <c r="F157" i="9"/>
  <c r="O182" i="9"/>
  <c r="F96" i="9"/>
  <c r="K76" i="9"/>
  <c r="L150" i="9"/>
  <c r="H196" i="9"/>
  <c r="H73" i="9"/>
  <c r="E62" i="9"/>
  <c r="L57" i="9"/>
  <c r="K136" i="9"/>
  <c r="H145" i="9"/>
  <c r="F72" i="9"/>
  <c r="O71" i="9"/>
  <c r="E105" i="9"/>
  <c r="K105" i="9"/>
  <c r="E97" i="9"/>
  <c r="I99" i="9"/>
  <c r="L63" i="9"/>
  <c r="H69" i="9"/>
  <c r="L145" i="9"/>
  <c r="O211" i="9"/>
  <c r="F62" i="9"/>
  <c r="L178" i="9"/>
  <c r="O78" i="9"/>
  <c r="N115" i="9"/>
  <c r="C58" i="9"/>
  <c r="H96" i="9"/>
  <c r="H259" i="9"/>
  <c r="C102" i="9"/>
  <c r="K84" i="9"/>
  <c r="E95" i="9"/>
  <c r="K135" i="9"/>
  <c r="I137" i="9"/>
  <c r="N82" i="9"/>
  <c r="C81" i="9"/>
  <c r="O191" i="9"/>
  <c r="O75" i="9"/>
  <c r="I61" i="9"/>
  <c r="E58" i="9"/>
  <c r="F77" i="9"/>
  <c r="L84" i="9"/>
  <c r="L143" i="9"/>
  <c r="K151" i="9"/>
  <c r="L255" i="9"/>
  <c r="C77" i="9"/>
  <c r="K64" i="9"/>
  <c r="I65" i="9"/>
  <c r="F274" i="9"/>
  <c r="L83" i="9"/>
  <c r="H156" i="9"/>
  <c r="I117" i="9"/>
  <c r="N189" i="9"/>
  <c r="H175" i="9"/>
  <c r="K259" i="9"/>
  <c r="C275" i="9"/>
  <c r="I181" i="9"/>
  <c r="O176" i="9"/>
  <c r="F231" i="9"/>
  <c r="O147" i="9"/>
  <c r="N111" i="9"/>
  <c r="H71" i="9"/>
  <c r="C161" i="9"/>
  <c r="I215" i="9"/>
  <c r="C65" i="9"/>
  <c r="L158" i="9"/>
  <c r="C272" i="9"/>
  <c r="O106" i="9"/>
  <c r="H62" i="9"/>
  <c r="N94" i="9"/>
  <c r="O104" i="9"/>
  <c r="N146" i="9"/>
  <c r="E154" i="9"/>
  <c r="I62" i="9"/>
  <c r="K99" i="9"/>
  <c r="O111" i="9"/>
  <c r="C73" i="9"/>
  <c r="C176" i="9"/>
  <c r="I115" i="9"/>
  <c r="C149" i="9"/>
  <c r="O156" i="9"/>
  <c r="L116" i="9"/>
  <c r="I73" i="9"/>
  <c r="L93" i="9"/>
  <c r="I232" i="9"/>
  <c r="N116" i="9"/>
  <c r="I192" i="9"/>
  <c r="L104" i="9"/>
  <c r="I142" i="9"/>
  <c r="O73" i="9"/>
  <c r="O97" i="9"/>
  <c r="F158" i="9"/>
  <c r="O59" i="9"/>
  <c r="C219" i="9"/>
  <c r="L138" i="9"/>
  <c r="C76" i="9"/>
  <c r="K78" i="9"/>
  <c r="E103" i="9"/>
  <c r="L211" i="9"/>
  <c r="K108" i="9"/>
  <c r="H109" i="9"/>
  <c r="O258" i="9"/>
  <c r="K158" i="9"/>
  <c r="F64" i="9"/>
  <c r="L191" i="9"/>
  <c r="O68" i="9"/>
  <c r="E224" i="9"/>
  <c r="H60" i="9"/>
  <c r="L97" i="9"/>
  <c r="C70" i="9"/>
  <c r="F139" i="9"/>
  <c r="N170" i="9"/>
  <c r="E93" i="9"/>
  <c r="I101" i="9"/>
  <c r="L259" i="9"/>
  <c r="O181" i="9"/>
  <c r="F104" i="9"/>
  <c r="H78" i="9"/>
  <c r="K143" i="9"/>
  <c r="K97" i="9"/>
  <c r="C80" i="9"/>
  <c r="H154" i="9"/>
  <c r="C187" i="9"/>
  <c r="I151" i="9"/>
  <c r="K69" i="9"/>
  <c r="I149" i="9"/>
  <c r="L67" i="9"/>
  <c r="C57" i="9"/>
  <c r="O231" i="9"/>
  <c r="H245" i="9"/>
  <c r="L218" i="9"/>
  <c r="E174" i="9"/>
  <c r="K123" i="9"/>
  <c r="E72" i="9"/>
  <c r="L141" i="9"/>
  <c r="I144" i="9"/>
  <c r="H195" i="9"/>
  <c r="O180" i="9"/>
  <c r="K137" i="9"/>
  <c r="L183" i="9"/>
  <c r="K155" i="9"/>
  <c r="L173" i="9"/>
  <c r="N121" i="9"/>
  <c r="O82" i="9"/>
  <c r="I76" i="9"/>
  <c r="N59" i="9"/>
  <c r="O122" i="9"/>
  <c r="L74" i="9"/>
  <c r="F249" i="9"/>
  <c r="K94" i="9"/>
  <c r="I154" i="9"/>
  <c r="F257" i="9"/>
  <c r="C113" i="9"/>
  <c r="H137" i="9"/>
  <c r="E215" i="9"/>
  <c r="F140" i="9"/>
  <c r="E158" i="9"/>
  <c r="K149" i="9"/>
  <c r="F122" i="9"/>
  <c r="H158" i="9"/>
  <c r="I64" i="9"/>
  <c r="C74" i="9"/>
  <c r="F67" i="9"/>
  <c r="H142" i="9"/>
  <c r="L121" i="9"/>
  <c r="F70" i="9"/>
  <c r="E143" i="9"/>
  <c r="H160" i="9"/>
  <c r="I110" i="9"/>
  <c r="O64" i="9"/>
  <c r="E108" i="9"/>
  <c r="N122" i="9"/>
  <c r="I57" i="9"/>
  <c r="H75" i="9"/>
  <c r="F113" i="9"/>
  <c r="L59" i="9"/>
  <c r="N65" i="9"/>
  <c r="F138" i="9"/>
  <c r="E116" i="9"/>
  <c r="I179" i="9"/>
  <c r="K141" i="9"/>
  <c r="F247" i="9"/>
  <c r="H274" i="9"/>
  <c r="L58" i="9"/>
  <c r="L153" i="9"/>
  <c r="O144" i="9"/>
  <c r="O177" i="9"/>
  <c r="F85" i="9"/>
  <c r="F121" i="9"/>
  <c r="O114" i="9"/>
  <c r="O98" i="9"/>
  <c r="L135" i="9"/>
  <c r="E236" i="9"/>
  <c r="E80" i="9"/>
  <c r="E173" i="9"/>
  <c r="C143" i="9"/>
  <c r="F84" i="9"/>
  <c r="O100" i="9"/>
  <c r="O101" i="9"/>
  <c r="F83" i="9"/>
  <c r="E171" i="9"/>
  <c r="I63" i="9"/>
  <c r="L180" i="9"/>
  <c r="E84" i="9"/>
  <c r="I103" i="9"/>
  <c r="C69" i="9"/>
  <c r="L56" i="9"/>
  <c r="I79" i="9"/>
  <c r="C136" i="9"/>
  <c r="N77" i="9"/>
  <c r="C194" i="9"/>
  <c r="O161" i="9"/>
  <c r="I147" i="9"/>
  <c r="O193" i="9"/>
  <c r="O190" i="9"/>
  <c r="C112" i="9"/>
  <c r="K104" i="9"/>
  <c r="I209" i="9"/>
  <c r="K144" i="9"/>
  <c r="L77" i="9"/>
  <c r="O158" i="9"/>
  <c r="I155" i="9"/>
  <c r="H101" i="9"/>
  <c r="L144" i="9"/>
  <c r="O77" i="9"/>
  <c r="O81" i="9"/>
  <c r="C160" i="9"/>
  <c r="E77" i="9"/>
  <c r="I175" i="9"/>
  <c r="F69" i="9"/>
  <c r="N109" i="9"/>
  <c r="F60" i="9"/>
  <c r="H55" i="9"/>
  <c r="H116" i="9"/>
  <c r="N66" i="9"/>
  <c r="E109" i="9"/>
  <c r="H121" i="9"/>
  <c r="C63" i="9"/>
  <c r="C96" i="9"/>
  <c r="E211" i="9"/>
  <c r="L112" i="9"/>
  <c r="K64" i="3"/>
  <c r="H36" i="9"/>
  <c r="K31" i="9"/>
  <c r="C41" i="9"/>
  <c r="O60" i="3"/>
  <c r="C24" i="9"/>
  <c r="H35" i="9"/>
  <c r="O44" i="3"/>
  <c r="K22" i="3"/>
  <c r="N21" i="9"/>
  <c r="K66" i="3"/>
  <c r="C38" i="9"/>
  <c r="C27" i="9"/>
  <c r="I30" i="9"/>
  <c r="G49" i="3"/>
  <c r="K9" i="3"/>
  <c r="I29" i="9"/>
  <c r="G38" i="3"/>
  <c r="K8" i="3"/>
  <c r="K25" i="3"/>
  <c r="O45" i="3"/>
  <c r="K33" i="9"/>
  <c r="E30" i="9"/>
  <c r="K65" i="3"/>
  <c r="O26" i="9"/>
  <c r="G61" i="3"/>
  <c r="O29" i="9"/>
  <c r="F43" i="9"/>
  <c r="K20" i="9"/>
  <c r="L43" i="9"/>
  <c r="I18" i="9"/>
  <c r="O67" i="3"/>
  <c r="I40" i="9"/>
  <c r="I28" i="9"/>
  <c r="K71" i="3"/>
  <c r="K63" i="3"/>
  <c r="G47" i="3"/>
  <c r="O30" i="9"/>
  <c r="I19" i="9"/>
  <c r="C20" i="9"/>
  <c r="I17" i="9"/>
  <c r="L45" i="9"/>
  <c r="I46" i="9"/>
  <c r="K34" i="9"/>
  <c r="G41" i="3"/>
  <c r="H33" i="9"/>
  <c r="F37" i="9"/>
  <c r="K17" i="3"/>
  <c r="K29" i="9"/>
  <c r="I25" i="9"/>
  <c r="O47" i="9"/>
  <c r="K69" i="3"/>
  <c r="N34" i="9"/>
  <c r="O23" i="9"/>
  <c r="K40" i="3"/>
  <c r="G65" i="3"/>
  <c r="H38" i="9"/>
  <c r="F23" i="9"/>
  <c r="N33" i="9"/>
  <c r="L35" i="9"/>
  <c r="K41" i="9"/>
  <c r="G33" i="3"/>
  <c r="O27" i="9"/>
  <c r="K62" i="3"/>
  <c r="E24" i="9"/>
  <c r="K12" i="3"/>
  <c r="K43" i="9"/>
  <c r="O24" i="9"/>
  <c r="L41" i="9"/>
  <c r="K39" i="9"/>
  <c r="F44" i="9"/>
  <c r="K15" i="3"/>
  <c r="K35" i="3"/>
  <c r="L46" i="9"/>
  <c r="F36" i="9"/>
  <c r="I32" i="9"/>
  <c r="F40" i="9"/>
  <c r="O32" i="3"/>
  <c r="O22" i="9"/>
  <c r="K17" i="9"/>
  <c r="H18" i="9"/>
  <c r="K46" i="3"/>
  <c r="K9" i="5"/>
  <c r="O28" i="9"/>
  <c r="O57" i="3"/>
  <c r="E28" i="9"/>
  <c r="K21" i="9"/>
  <c r="K28" i="9"/>
  <c r="G74" i="3"/>
  <c r="F25" i="9"/>
  <c r="G56" i="3"/>
  <c r="H29" i="9"/>
  <c r="I22" i="9"/>
  <c r="K11" i="5"/>
  <c r="K70" i="3"/>
  <c r="K30" i="9"/>
  <c r="K40" i="9"/>
  <c r="C18" i="9"/>
  <c r="K21" i="5"/>
  <c r="C36" i="9"/>
  <c r="K14" i="5"/>
  <c r="E38" i="9"/>
  <c r="K13" i="5"/>
  <c r="K61" i="3"/>
  <c r="L17" i="9"/>
  <c r="I33" i="9"/>
  <c r="K24" i="3"/>
  <c r="K49" i="3"/>
  <c r="E46" i="9"/>
  <c r="K15" i="5"/>
  <c r="C22" i="9"/>
  <c r="K18" i="5"/>
  <c r="K23" i="3"/>
  <c r="N31" i="9"/>
  <c r="O39" i="3"/>
  <c r="O59" i="3"/>
  <c r="K41" i="3"/>
  <c r="K6" i="5"/>
  <c r="G71" i="3"/>
  <c r="K67" i="3"/>
  <c r="I42" i="9"/>
  <c r="K21" i="3"/>
  <c r="C17" i="9"/>
  <c r="H31" i="9"/>
  <c r="F29" i="9"/>
  <c r="G36" i="3"/>
  <c r="I31" i="9"/>
  <c r="L23" i="9"/>
  <c r="F21" i="9"/>
  <c r="N36" i="9"/>
  <c r="N43" i="9"/>
  <c r="G73" i="3"/>
  <c r="N29" i="9"/>
  <c r="F35" i="9"/>
  <c r="K23" i="5"/>
  <c r="H45" i="9"/>
  <c r="O50" i="3"/>
  <c r="L29" i="9"/>
  <c r="G63" i="3"/>
  <c r="O38" i="9"/>
  <c r="K13" i="3"/>
  <c r="K47" i="3"/>
  <c r="N27" i="9"/>
  <c r="F41" i="9"/>
  <c r="N30" i="9"/>
  <c r="G70" i="3"/>
  <c r="F27" i="9"/>
  <c r="F18" i="9"/>
  <c r="N46" i="9"/>
  <c r="O56" i="3"/>
  <c r="O71" i="3"/>
  <c r="H44" i="9"/>
  <c r="C29" i="9"/>
  <c r="K42" i="9"/>
  <c r="C47" i="9"/>
  <c r="L25" i="9"/>
  <c r="K46" i="9"/>
  <c r="H39" i="9"/>
  <c r="N17" i="9"/>
  <c r="F39" i="9"/>
  <c r="K14" i="3"/>
  <c r="E21" i="9"/>
  <c r="I20" i="9"/>
  <c r="H37" i="9"/>
  <c r="K7" i="5"/>
  <c r="K20" i="3"/>
  <c r="H22" i="9"/>
  <c r="N25" i="9"/>
  <c r="G57" i="3"/>
  <c r="O32" i="9"/>
  <c r="H40" i="9"/>
  <c r="F19" i="9"/>
  <c r="E33" i="9"/>
  <c r="F17" i="9"/>
  <c r="K68" i="3"/>
  <c r="O31" i="3"/>
  <c r="O37" i="9"/>
  <c r="L40" i="9"/>
  <c r="K44" i="9"/>
  <c r="I21" i="9"/>
  <c r="L34" i="9"/>
  <c r="O61" i="3"/>
  <c r="I36" i="9"/>
  <c r="O33" i="9"/>
  <c r="G68" i="3"/>
  <c r="L22" i="9"/>
  <c r="K17" i="5"/>
  <c r="K38" i="9"/>
  <c r="F28" i="9"/>
  <c r="O68" i="3"/>
  <c r="K11" i="3"/>
  <c r="O18" i="9"/>
  <c r="K10" i="3"/>
  <c r="C23" i="9"/>
  <c r="K45" i="3"/>
  <c r="K50" i="3"/>
  <c r="E47" i="9"/>
  <c r="I24" i="9"/>
  <c r="K7" i="3"/>
  <c r="E22" i="9"/>
  <c r="O65" i="3"/>
  <c r="F26" i="9"/>
  <c r="E29" i="9"/>
  <c r="F45" i="9"/>
  <c r="E36" i="9"/>
  <c r="O44" i="9"/>
  <c r="G50" i="3"/>
  <c r="H17" i="9"/>
  <c r="H42" i="9"/>
  <c r="E32" i="9"/>
  <c r="O66" i="3"/>
  <c r="H30" i="9"/>
  <c r="K74" i="3"/>
  <c r="O35" i="9"/>
  <c r="K36" i="9"/>
  <c r="I45" i="9"/>
  <c r="O58" i="3"/>
  <c r="N26" i="9"/>
  <c r="N41" i="9"/>
  <c r="E37" i="9"/>
  <c r="L47" i="9"/>
  <c r="G32" i="3"/>
  <c r="L31" i="9"/>
  <c r="K32" i="3"/>
  <c r="I44" i="9"/>
  <c r="H19" i="9"/>
  <c r="K25" i="5"/>
  <c r="O62" i="3"/>
  <c r="K20" i="5"/>
  <c r="O49" i="3"/>
  <c r="K45" i="9"/>
  <c r="I26" i="9"/>
  <c r="L33" i="9"/>
  <c r="N20" i="9"/>
  <c r="F31" i="9"/>
  <c r="I39" i="9"/>
  <c r="K31" i="3"/>
  <c r="O75" i="3"/>
  <c r="O43" i="9"/>
  <c r="O41" i="3"/>
  <c r="L37" i="9"/>
  <c r="H46" i="9"/>
  <c r="F24" i="9"/>
  <c r="F20" i="9"/>
  <c r="L19" i="9"/>
  <c r="G75" i="3"/>
  <c r="L24" i="9"/>
  <c r="C42" i="9"/>
  <c r="N42" i="9"/>
  <c r="O39" i="9"/>
  <c r="O47" i="3"/>
  <c r="K57" i="3"/>
  <c r="O33" i="3"/>
  <c r="N18" i="9"/>
  <c r="C39" i="9"/>
  <c r="L38" i="9"/>
  <c r="K25" i="9"/>
  <c r="G42" i="3"/>
  <c r="F32" i="9"/>
  <c r="O34" i="3"/>
  <c r="N22" i="9"/>
  <c r="K42" i="3"/>
  <c r="F30" i="9"/>
  <c r="G35" i="3"/>
  <c r="O48" i="3"/>
  <c r="G44" i="3"/>
  <c r="K32" i="9"/>
  <c r="C28" i="9"/>
  <c r="L30" i="9"/>
  <c r="L39" i="9"/>
  <c r="H47" i="9"/>
  <c r="L32" i="9"/>
  <c r="N39" i="9"/>
  <c r="N47" i="9"/>
  <c r="N35" i="9"/>
  <c r="L36" i="9"/>
  <c r="K18" i="9"/>
  <c r="E26" i="9"/>
  <c r="H43" i="9"/>
  <c r="O72" i="3"/>
  <c r="O17" i="9"/>
  <c r="N40" i="9"/>
  <c r="C40" i="9"/>
  <c r="O42" i="9"/>
  <c r="K16" i="5"/>
  <c r="H24" i="9"/>
  <c r="K19" i="3"/>
  <c r="N37" i="9"/>
  <c r="I23" i="9"/>
  <c r="L28" i="9"/>
  <c r="K10" i="5"/>
  <c r="E45" i="9"/>
  <c r="H23" i="9"/>
  <c r="N24" i="9"/>
  <c r="K34" i="3"/>
  <c r="G67" i="3"/>
  <c r="H41" i="9"/>
  <c r="O34" i="9"/>
  <c r="K12" i="5"/>
  <c r="N44" i="9"/>
  <c r="K33" i="3"/>
  <c r="K37" i="3"/>
  <c r="K44" i="3"/>
  <c r="K59" i="3"/>
  <c r="K43" i="3"/>
  <c r="E41" i="9"/>
  <c r="C45" i="9"/>
  <c r="N28" i="9"/>
  <c r="K73" i="3"/>
  <c r="E20" i="9"/>
  <c r="C26" i="9"/>
  <c r="E25" i="9"/>
  <c r="G60" i="3"/>
  <c r="G58" i="3"/>
  <c r="G39" i="3"/>
  <c r="K60" i="3"/>
  <c r="C32" i="9"/>
  <c r="G45" i="3"/>
  <c r="N32" i="9"/>
  <c r="K72" i="3"/>
  <c r="G31" i="3"/>
  <c r="O21" i="9"/>
  <c r="I27" i="9"/>
  <c r="C33" i="9"/>
  <c r="K56" i="3"/>
  <c r="G48" i="3"/>
  <c r="C21" i="9"/>
  <c r="O19" i="9"/>
  <c r="F22" i="9"/>
  <c r="I38" i="9"/>
  <c r="E27" i="9"/>
  <c r="K39" i="3"/>
  <c r="F34" i="9"/>
  <c r="N38" i="9"/>
  <c r="E35" i="9"/>
  <c r="K47" i="9"/>
  <c r="O43" i="3"/>
  <c r="O69" i="3"/>
  <c r="E43" i="9"/>
  <c r="N23" i="9"/>
  <c r="K19" i="9"/>
  <c r="O74" i="3"/>
  <c r="K16" i="3"/>
  <c r="K27" i="9"/>
  <c r="N19" i="9"/>
  <c r="E42" i="9"/>
  <c r="I47" i="9"/>
  <c r="G69" i="3"/>
  <c r="G72" i="3"/>
  <c r="K35" i="9"/>
  <c r="H26" i="9"/>
  <c r="E34" i="9"/>
  <c r="E18" i="9"/>
  <c r="G59" i="3"/>
  <c r="O37" i="3"/>
  <c r="K26" i="9"/>
  <c r="O45" i="9"/>
  <c r="O36" i="3"/>
  <c r="K24" i="5"/>
  <c r="F38" i="9"/>
  <c r="O36" i="9"/>
  <c r="I37" i="9"/>
  <c r="G34" i="3"/>
  <c r="K23" i="9"/>
  <c r="G66" i="3"/>
  <c r="H25" i="9"/>
  <c r="O40" i="9"/>
  <c r="F42" i="9"/>
  <c r="L26" i="9"/>
  <c r="K37" i="9"/>
  <c r="O42" i="3"/>
  <c r="L18" i="9"/>
  <c r="K36" i="3"/>
  <c r="I41" i="9"/>
  <c r="K48" i="3"/>
  <c r="E39" i="9"/>
  <c r="E23" i="9"/>
  <c r="E40" i="9"/>
  <c r="E31" i="9"/>
  <c r="O40" i="3"/>
  <c r="L44" i="9"/>
  <c r="K38" i="3"/>
  <c r="K19" i="5"/>
  <c r="C19" i="9"/>
  <c r="K6" i="3"/>
  <c r="H21" i="9"/>
  <c r="G43" i="3"/>
  <c r="K75" i="3"/>
  <c r="C37" i="9"/>
  <c r="O20" i="9"/>
  <c r="O35" i="3"/>
  <c r="F33" i="9"/>
  <c r="O25" i="9"/>
  <c r="C30" i="9"/>
  <c r="L20" i="9"/>
  <c r="K8" i="5"/>
  <c r="O46" i="3"/>
  <c r="G64" i="3"/>
  <c r="E44" i="9"/>
  <c r="K58" i="3"/>
  <c r="O63" i="3"/>
  <c r="F46" i="9"/>
  <c r="C25" i="9"/>
  <c r="I43" i="9"/>
  <c r="F47" i="9"/>
  <c r="E19" i="9"/>
  <c r="L21" i="9"/>
  <c r="K22" i="5"/>
  <c r="I34" i="9"/>
  <c r="H27" i="9"/>
  <c r="H20" i="9"/>
  <c r="C43" i="9"/>
  <c r="H34" i="9"/>
  <c r="C35" i="9"/>
  <c r="K24" i="9"/>
  <c r="O46" i="9"/>
  <c r="I35" i="9"/>
  <c r="G40" i="3"/>
  <c r="O64" i="3"/>
  <c r="H32" i="9"/>
  <c r="L27" i="9"/>
  <c r="O38" i="3"/>
  <c r="N45" i="9"/>
  <c r="C44" i="9"/>
  <c r="G37" i="3"/>
  <c r="K22" i="9"/>
  <c r="K18" i="3"/>
  <c r="O41" i="9"/>
  <c r="L42" i="9"/>
  <c r="O73" i="3"/>
  <c r="G62" i="3"/>
  <c r="G46" i="3"/>
  <c r="C34" i="9"/>
  <c r="O31" i="9"/>
  <c r="O70" i="3"/>
  <c r="C46" i="9"/>
  <c r="C31" i="9"/>
  <c r="H28" i="9"/>
  <c r="J96" i="9" l="1"/>
  <c r="D96" i="9"/>
  <c r="G96" i="9"/>
  <c r="M96" i="9"/>
  <c r="D63" i="9"/>
  <c r="J63" i="9"/>
  <c r="M63" i="9"/>
  <c r="G63" i="9"/>
  <c r="G160" i="9"/>
  <c r="J160" i="9"/>
  <c r="D160" i="9"/>
  <c r="M160" i="9"/>
  <c r="G112" i="9"/>
  <c r="M112" i="9"/>
  <c r="J112" i="9"/>
  <c r="D112" i="9"/>
  <c r="D194" i="9"/>
  <c r="M194" i="9"/>
  <c r="J194" i="9"/>
  <c r="G194" i="9"/>
  <c r="J136" i="9"/>
  <c r="M136" i="9"/>
  <c r="G136" i="9"/>
  <c r="D136" i="9"/>
  <c r="D69" i="9"/>
  <c r="J69" i="9"/>
  <c r="M69" i="9"/>
  <c r="G69" i="9"/>
  <c r="M143" i="9"/>
  <c r="G143" i="9"/>
  <c r="J143" i="9"/>
  <c r="D143" i="9"/>
  <c r="D74" i="9"/>
  <c r="J74" i="9"/>
  <c r="G74" i="9"/>
  <c r="M74" i="9"/>
  <c r="J113" i="9"/>
  <c r="G113" i="9"/>
  <c r="M113" i="9"/>
  <c r="D113" i="9"/>
  <c r="M57" i="9"/>
  <c r="J57" i="9"/>
  <c r="D57" i="9"/>
  <c r="G57" i="9"/>
  <c r="M187" i="9"/>
  <c r="J187" i="9"/>
  <c r="G187" i="9"/>
  <c r="D187" i="9"/>
  <c r="J80" i="9"/>
  <c r="G80" i="9"/>
  <c r="M80" i="9"/>
  <c r="D80" i="9"/>
  <c r="M70" i="9"/>
  <c r="J70" i="9"/>
  <c r="D70" i="9"/>
  <c r="G70" i="9"/>
  <c r="J76" i="9"/>
  <c r="M76" i="9"/>
  <c r="D76" i="9"/>
  <c r="G76" i="9"/>
  <c r="J219" i="9"/>
  <c r="G219" i="9"/>
  <c r="D219" i="9"/>
  <c r="M219" i="9"/>
  <c r="L125" i="9"/>
  <c r="K125" i="9" s="1"/>
  <c r="G149" i="9"/>
  <c r="D149" i="9"/>
  <c r="M149" i="9"/>
  <c r="J149" i="9"/>
  <c r="G176" i="9"/>
  <c r="D176" i="9"/>
  <c r="M176" i="9"/>
  <c r="J176" i="9"/>
  <c r="M73" i="9"/>
  <c r="G73" i="9"/>
  <c r="J73" i="9"/>
  <c r="D73" i="9"/>
  <c r="M272" i="9"/>
  <c r="D272" i="9"/>
  <c r="G272" i="9"/>
  <c r="J272" i="9"/>
  <c r="D65" i="9"/>
  <c r="J65" i="9"/>
  <c r="M65" i="9"/>
  <c r="G65" i="9"/>
  <c r="D161" i="9"/>
  <c r="G161" i="9"/>
  <c r="J161" i="9"/>
  <c r="M161" i="9"/>
  <c r="J275" i="9"/>
  <c r="M275" i="9"/>
  <c r="G275" i="9"/>
  <c r="D275" i="9"/>
  <c r="D77" i="9"/>
  <c r="M77" i="9"/>
  <c r="J77" i="9"/>
  <c r="G77" i="9"/>
  <c r="M81" i="9"/>
  <c r="J81" i="9"/>
  <c r="G81" i="9"/>
  <c r="D81" i="9"/>
  <c r="J102" i="9"/>
  <c r="M102" i="9"/>
  <c r="D102" i="9"/>
  <c r="G102" i="9"/>
  <c r="G58" i="9"/>
  <c r="M58" i="9"/>
  <c r="J58" i="9"/>
  <c r="D58" i="9"/>
  <c r="D192" i="9"/>
  <c r="G192" i="9"/>
  <c r="J192" i="9"/>
  <c r="M192" i="9"/>
  <c r="F87" i="9"/>
  <c r="E87" i="9" s="1"/>
  <c r="L87" i="9"/>
  <c r="K87" i="9" s="1"/>
  <c r="G79" i="9"/>
  <c r="D79" i="9"/>
  <c r="M79" i="9"/>
  <c r="J79" i="9"/>
  <c r="G62" i="9"/>
  <c r="D62" i="9"/>
  <c r="M62" i="9"/>
  <c r="J62" i="9"/>
  <c r="J220" i="9"/>
  <c r="G220" i="9"/>
  <c r="M220" i="9"/>
  <c r="D220" i="9"/>
  <c r="D107" i="9"/>
  <c r="G107" i="9"/>
  <c r="J107" i="9"/>
  <c r="M107" i="9"/>
  <c r="I201" i="9"/>
  <c r="H201" i="9" s="1"/>
  <c r="J147" i="9"/>
  <c r="G147" i="9"/>
  <c r="M147" i="9"/>
  <c r="D147" i="9"/>
  <c r="O239" i="9"/>
  <c r="N239" i="9" s="1"/>
  <c r="J186" i="9"/>
  <c r="M186" i="9"/>
  <c r="G186" i="9"/>
  <c r="D186" i="9"/>
  <c r="M189" i="9"/>
  <c r="G189" i="9"/>
  <c r="J189" i="9"/>
  <c r="D189" i="9"/>
  <c r="G64" i="9"/>
  <c r="M64" i="9"/>
  <c r="D64" i="9"/>
  <c r="J64" i="9"/>
  <c r="M216" i="9"/>
  <c r="J216" i="9"/>
  <c r="D216" i="9"/>
  <c r="G216" i="9"/>
  <c r="D153" i="9"/>
  <c r="G153" i="9"/>
  <c r="M153" i="9"/>
  <c r="J153" i="9"/>
  <c r="M117" i="9"/>
  <c r="D117" i="9"/>
  <c r="J117" i="9"/>
  <c r="G117" i="9"/>
  <c r="G120" i="9"/>
  <c r="J120" i="9"/>
  <c r="M120" i="9"/>
  <c r="D120" i="9"/>
  <c r="M105" i="9"/>
  <c r="D105" i="9"/>
  <c r="G105" i="9"/>
  <c r="J105" i="9"/>
  <c r="M191" i="9"/>
  <c r="J191" i="9"/>
  <c r="D191" i="9"/>
  <c r="G191" i="9"/>
  <c r="G183" i="9"/>
  <c r="J183" i="9"/>
  <c r="M183" i="9"/>
  <c r="D183" i="9"/>
  <c r="D83" i="9"/>
  <c r="J83" i="9"/>
  <c r="G83" i="9"/>
  <c r="M83" i="9"/>
  <c r="D257" i="9"/>
  <c r="G257" i="9"/>
  <c r="M257" i="9"/>
  <c r="J257" i="9"/>
  <c r="O125" i="9"/>
  <c r="N125" i="9" s="1"/>
  <c r="M100" i="9"/>
  <c r="G100" i="9"/>
  <c r="J100" i="9"/>
  <c r="D100" i="9"/>
  <c r="J137" i="9"/>
  <c r="D137" i="9"/>
  <c r="G137" i="9"/>
  <c r="M137" i="9"/>
  <c r="J101" i="9"/>
  <c r="M101" i="9"/>
  <c r="G101" i="9"/>
  <c r="D101" i="9"/>
  <c r="M135" i="9"/>
  <c r="G135" i="9"/>
  <c r="D135" i="9"/>
  <c r="J135" i="9"/>
  <c r="M56" i="9"/>
  <c r="G56" i="9"/>
  <c r="J56" i="9"/>
  <c r="D56" i="9"/>
  <c r="O87" i="9"/>
  <c r="N87" i="9" s="1"/>
  <c r="D133" i="9"/>
  <c r="M133" i="9"/>
  <c r="G133" i="9"/>
  <c r="J133" i="9"/>
  <c r="F125" i="9"/>
  <c r="E125" i="9" s="1"/>
  <c r="J97" i="9"/>
  <c r="D97" i="9"/>
  <c r="M97" i="9"/>
  <c r="G97" i="9"/>
  <c r="I163" i="9"/>
  <c r="H163" i="9" s="1"/>
  <c r="G84" i="9"/>
  <c r="D84" i="9"/>
  <c r="M84" i="9"/>
  <c r="J84" i="9"/>
  <c r="J114" i="9"/>
  <c r="G114" i="9"/>
  <c r="M114" i="9"/>
  <c r="D114" i="9"/>
  <c r="D223" i="9"/>
  <c r="M223" i="9"/>
  <c r="G223" i="9"/>
  <c r="J223" i="9"/>
  <c r="M198" i="9"/>
  <c r="J198" i="9"/>
  <c r="D198" i="9"/>
  <c r="G198" i="9"/>
  <c r="J145" i="9"/>
  <c r="M145" i="9"/>
  <c r="D145" i="9"/>
  <c r="G145" i="9"/>
  <c r="G197" i="9"/>
  <c r="M197" i="9"/>
  <c r="J197" i="9"/>
  <c r="D197" i="9"/>
  <c r="G106" i="9"/>
  <c r="D106" i="9"/>
  <c r="M106" i="9"/>
  <c r="J106" i="9"/>
  <c r="G179" i="9"/>
  <c r="J179" i="9"/>
  <c r="M179" i="9"/>
  <c r="D179" i="9"/>
  <c r="O277" i="9"/>
  <c r="N277" i="9" s="1"/>
  <c r="D252" i="9"/>
  <c r="G252" i="9"/>
  <c r="J252" i="9"/>
  <c r="M252" i="9"/>
  <c r="D178" i="9"/>
  <c r="G178" i="9"/>
  <c r="M178" i="9"/>
  <c r="J178" i="9"/>
  <c r="J218" i="9"/>
  <c r="D218" i="9"/>
  <c r="M218" i="9"/>
  <c r="G218" i="9"/>
  <c r="M269" i="9"/>
  <c r="D269" i="9"/>
  <c r="G269" i="9"/>
  <c r="J269" i="9"/>
  <c r="D207" i="9"/>
  <c r="G207" i="9"/>
  <c r="C239" i="9"/>
  <c r="M207" i="9"/>
  <c r="J207" i="9"/>
  <c r="M188" i="9"/>
  <c r="J188" i="9"/>
  <c r="D188" i="9"/>
  <c r="G188" i="9"/>
  <c r="L239" i="9"/>
  <c r="K239" i="9" s="1"/>
  <c r="D171" i="9"/>
  <c r="G171" i="9"/>
  <c r="J171" i="9"/>
  <c r="M171" i="9"/>
  <c r="O163" i="9"/>
  <c r="N163" i="9" s="1"/>
  <c r="M59" i="9"/>
  <c r="J59" i="9"/>
  <c r="D59" i="9"/>
  <c r="G59" i="9"/>
  <c r="L277" i="9"/>
  <c r="K277" i="9" s="1"/>
  <c r="D93" i="9"/>
  <c r="C125" i="9"/>
  <c r="M93" i="9"/>
  <c r="J93" i="9"/>
  <c r="G93" i="9"/>
  <c r="D99" i="9"/>
  <c r="J99" i="9"/>
  <c r="G99" i="9"/>
  <c r="M99" i="9"/>
  <c r="M221" i="9"/>
  <c r="G221" i="9"/>
  <c r="D221" i="9"/>
  <c r="J221" i="9"/>
  <c r="J245" i="9"/>
  <c r="G245" i="9"/>
  <c r="M245" i="9"/>
  <c r="C277" i="9"/>
  <c r="D245" i="9"/>
  <c r="J254" i="9"/>
  <c r="D254" i="9"/>
  <c r="M254" i="9"/>
  <c r="G254" i="9"/>
  <c r="D270" i="9"/>
  <c r="M270" i="9"/>
  <c r="J270" i="9"/>
  <c r="G270" i="9"/>
  <c r="G263" i="9"/>
  <c r="D263" i="9"/>
  <c r="M263" i="9"/>
  <c r="J263" i="9"/>
  <c r="J154" i="9"/>
  <c r="M154" i="9"/>
  <c r="D154" i="9"/>
  <c r="G154" i="9"/>
  <c r="J155" i="9"/>
  <c r="G155" i="9"/>
  <c r="D155" i="9"/>
  <c r="M155" i="9"/>
  <c r="I125" i="9"/>
  <c r="H125" i="9" s="1"/>
  <c r="D271" i="9"/>
  <c r="J271" i="9"/>
  <c r="G271" i="9"/>
  <c r="M271" i="9"/>
  <c r="D75" i="9"/>
  <c r="G75" i="9"/>
  <c r="M75" i="9"/>
  <c r="J75" i="9"/>
  <c r="M227" i="9"/>
  <c r="G227" i="9"/>
  <c r="D227" i="9"/>
  <c r="J227" i="9"/>
  <c r="J115" i="9"/>
  <c r="M115" i="9"/>
  <c r="G115" i="9"/>
  <c r="D115" i="9"/>
  <c r="M110" i="9"/>
  <c r="J110" i="9"/>
  <c r="G110" i="9"/>
  <c r="D110" i="9"/>
  <c r="G236" i="9"/>
  <c r="J236" i="9"/>
  <c r="M236" i="9"/>
  <c r="D236" i="9"/>
  <c r="D264" i="9"/>
  <c r="M264" i="9"/>
  <c r="G264" i="9"/>
  <c r="J264" i="9"/>
  <c r="J228" i="9"/>
  <c r="M228" i="9"/>
  <c r="G228" i="9"/>
  <c r="D228" i="9"/>
  <c r="G71" i="9"/>
  <c r="J71" i="9"/>
  <c r="M71" i="9"/>
  <c r="D71" i="9"/>
  <c r="J66" i="9"/>
  <c r="D66" i="9"/>
  <c r="M66" i="9"/>
  <c r="G66" i="9"/>
  <c r="J230" i="9"/>
  <c r="G230" i="9"/>
  <c r="M230" i="9"/>
  <c r="D230" i="9"/>
  <c r="J177" i="9"/>
  <c r="G177" i="9"/>
  <c r="M177" i="9"/>
  <c r="D177" i="9"/>
  <c r="G211" i="9"/>
  <c r="D211" i="9"/>
  <c r="M211" i="9"/>
  <c r="J211" i="9"/>
  <c r="J175" i="9"/>
  <c r="D175" i="9"/>
  <c r="M175" i="9"/>
  <c r="G175" i="9"/>
  <c r="D60" i="9"/>
  <c r="M60" i="9"/>
  <c r="J60" i="9"/>
  <c r="G60" i="9"/>
  <c r="J61" i="9"/>
  <c r="D61" i="9"/>
  <c r="M61" i="9"/>
  <c r="G61" i="9"/>
  <c r="J82" i="9"/>
  <c r="G82" i="9"/>
  <c r="M82" i="9"/>
  <c r="D82" i="9"/>
  <c r="D255" i="9"/>
  <c r="M255" i="9"/>
  <c r="G255" i="9"/>
  <c r="J255" i="9"/>
  <c r="G181" i="9"/>
  <c r="M181" i="9"/>
  <c r="J181" i="9"/>
  <c r="D181" i="9"/>
  <c r="M233" i="9"/>
  <c r="D233" i="9"/>
  <c r="G233" i="9"/>
  <c r="J233" i="9"/>
  <c r="F163" i="9"/>
  <c r="E163" i="9" s="1"/>
  <c r="J268" i="9"/>
  <c r="G268" i="9"/>
  <c r="M268" i="9"/>
  <c r="D268" i="9"/>
  <c r="M150" i="9"/>
  <c r="G150" i="9"/>
  <c r="D150" i="9"/>
  <c r="J150" i="9"/>
  <c r="J267" i="9"/>
  <c r="M267" i="9"/>
  <c r="D267" i="9"/>
  <c r="G267" i="9"/>
  <c r="D123" i="9"/>
  <c r="M123" i="9"/>
  <c r="G123" i="9"/>
  <c r="J123" i="9"/>
  <c r="J215" i="9"/>
  <c r="M215" i="9"/>
  <c r="D215" i="9"/>
  <c r="G215" i="9"/>
  <c r="D144" i="9"/>
  <c r="G144" i="9"/>
  <c r="M144" i="9"/>
  <c r="J144" i="9"/>
  <c r="M72" i="9"/>
  <c r="G72" i="9"/>
  <c r="D72" i="9"/>
  <c r="J72" i="9"/>
  <c r="J134" i="9"/>
  <c r="G134" i="9"/>
  <c r="D134" i="9"/>
  <c r="M134" i="9"/>
  <c r="J237" i="9"/>
  <c r="G237" i="9"/>
  <c r="M237" i="9"/>
  <c r="D237" i="9"/>
  <c r="G138" i="9"/>
  <c r="J138" i="9"/>
  <c r="M138" i="9"/>
  <c r="D138" i="9"/>
  <c r="J250" i="9"/>
  <c r="G250" i="9"/>
  <c r="D250" i="9"/>
  <c r="M250" i="9"/>
  <c r="D209" i="9"/>
  <c r="J209" i="9"/>
  <c r="G209" i="9"/>
  <c r="M209" i="9"/>
  <c r="J256" i="9"/>
  <c r="D256" i="9"/>
  <c r="G256" i="9"/>
  <c r="M256" i="9"/>
  <c r="G232" i="9"/>
  <c r="M232" i="9"/>
  <c r="J232" i="9"/>
  <c r="D232" i="9"/>
  <c r="J199" i="9"/>
  <c r="G199" i="9"/>
  <c r="D199" i="9"/>
  <c r="M199" i="9"/>
  <c r="G116" i="9"/>
  <c r="D116" i="9"/>
  <c r="M116" i="9"/>
  <c r="J116" i="9"/>
  <c r="J55" i="9"/>
  <c r="M55" i="9"/>
  <c r="C87" i="9"/>
  <c r="G55" i="9"/>
  <c r="D55" i="9"/>
  <c r="M111" i="9"/>
  <c r="J111" i="9"/>
  <c r="D111" i="9"/>
  <c r="G111" i="9"/>
  <c r="G109" i="9"/>
  <c r="M109" i="9"/>
  <c r="J109" i="9"/>
  <c r="D109" i="9"/>
  <c r="M258" i="9"/>
  <c r="J258" i="9"/>
  <c r="G258" i="9"/>
  <c r="D258" i="9"/>
  <c r="J67" i="9"/>
  <c r="D67" i="9"/>
  <c r="G67" i="9"/>
  <c r="M67" i="9"/>
  <c r="I239" i="9"/>
  <c r="H239" i="9" s="1"/>
  <c r="D225" i="9"/>
  <c r="M225" i="9"/>
  <c r="J225" i="9"/>
  <c r="G225" i="9"/>
  <c r="D229" i="9"/>
  <c r="M229" i="9"/>
  <c r="J229" i="9"/>
  <c r="G229" i="9"/>
  <c r="D142" i="9"/>
  <c r="M142" i="9"/>
  <c r="J142" i="9"/>
  <c r="G142" i="9"/>
  <c r="L163" i="9"/>
  <c r="K163" i="9" s="1"/>
  <c r="M195" i="9"/>
  <c r="G195" i="9"/>
  <c r="D195" i="9"/>
  <c r="J195" i="9"/>
  <c r="M108" i="9"/>
  <c r="G108" i="9"/>
  <c r="J108" i="9"/>
  <c r="D108" i="9"/>
  <c r="D119" i="9"/>
  <c r="J119" i="9"/>
  <c r="G119" i="9"/>
  <c r="M119" i="9"/>
  <c r="G104" i="9"/>
  <c r="D104" i="9"/>
  <c r="J104" i="9"/>
  <c r="M104" i="9"/>
  <c r="D180" i="9"/>
  <c r="M180" i="9"/>
  <c r="G180" i="9"/>
  <c r="J180" i="9"/>
  <c r="M173" i="9"/>
  <c r="D173" i="9"/>
  <c r="G173" i="9"/>
  <c r="J173" i="9"/>
  <c r="D234" i="9"/>
  <c r="M234" i="9"/>
  <c r="J234" i="9"/>
  <c r="G234" i="9"/>
  <c r="D140" i="9"/>
  <c r="M140" i="9"/>
  <c r="J140" i="9"/>
  <c r="G140" i="9"/>
  <c r="D224" i="9"/>
  <c r="M224" i="9"/>
  <c r="G224" i="9"/>
  <c r="J224" i="9"/>
  <c r="J214" i="9"/>
  <c r="G214" i="9"/>
  <c r="M214" i="9"/>
  <c r="D214" i="9"/>
  <c r="D122" i="9"/>
  <c r="G122" i="9"/>
  <c r="J122" i="9"/>
  <c r="M122" i="9"/>
  <c r="M262" i="9"/>
  <c r="D262" i="9"/>
  <c r="G262" i="9"/>
  <c r="J262" i="9"/>
  <c r="J146" i="9"/>
  <c r="G146" i="9"/>
  <c r="D146" i="9"/>
  <c r="M146" i="9"/>
  <c r="M212" i="9"/>
  <c r="J212" i="9"/>
  <c r="G212" i="9"/>
  <c r="D212" i="9"/>
  <c r="M118" i="9"/>
  <c r="D118" i="9"/>
  <c r="J118" i="9"/>
  <c r="G118" i="9"/>
  <c r="G226" i="9"/>
  <c r="M226" i="9"/>
  <c r="D226" i="9"/>
  <c r="J226" i="9"/>
  <c r="D172" i="9"/>
  <c r="M172" i="9"/>
  <c r="J172" i="9"/>
  <c r="G172" i="9"/>
  <c r="O201" i="9"/>
  <c r="N201" i="9" s="1"/>
  <c r="G156" i="9"/>
  <c r="M156" i="9"/>
  <c r="J156" i="9"/>
  <c r="D156" i="9"/>
  <c r="J182" i="9"/>
  <c r="D182" i="9"/>
  <c r="G182" i="9"/>
  <c r="M182" i="9"/>
  <c r="F277" i="9"/>
  <c r="E277" i="9" s="1"/>
  <c r="D121" i="9"/>
  <c r="M121" i="9"/>
  <c r="J121" i="9"/>
  <c r="G121" i="9"/>
  <c r="J247" i="9"/>
  <c r="D247" i="9"/>
  <c r="M247" i="9"/>
  <c r="G247" i="9"/>
  <c r="M210" i="9"/>
  <c r="D210" i="9"/>
  <c r="G210" i="9"/>
  <c r="J210" i="9"/>
  <c r="G253" i="9"/>
  <c r="J253" i="9"/>
  <c r="M253" i="9"/>
  <c r="D253" i="9"/>
  <c r="G148" i="9"/>
  <c r="D148" i="9"/>
  <c r="M148" i="9"/>
  <c r="J148" i="9"/>
  <c r="D94" i="9"/>
  <c r="M94" i="9"/>
  <c r="J94" i="9"/>
  <c r="G94" i="9"/>
  <c r="G248" i="9"/>
  <c r="M248" i="9"/>
  <c r="D248" i="9"/>
  <c r="J248" i="9"/>
  <c r="M185" i="9"/>
  <c r="J185" i="9"/>
  <c r="G185" i="9"/>
  <c r="D185" i="9"/>
  <c r="D246" i="9"/>
  <c r="M246" i="9"/>
  <c r="J246" i="9"/>
  <c r="J277" i="9" s="1"/>
  <c r="G246" i="9"/>
  <c r="G159" i="9"/>
  <c r="M159" i="9"/>
  <c r="J159" i="9"/>
  <c r="D159" i="9"/>
  <c r="M184" i="9"/>
  <c r="J184" i="9"/>
  <c r="G184" i="9"/>
  <c r="D184" i="9"/>
  <c r="M266" i="9"/>
  <c r="G266" i="9"/>
  <c r="D266" i="9"/>
  <c r="J266" i="9"/>
  <c r="D274" i="9"/>
  <c r="J274" i="9"/>
  <c r="M274" i="9"/>
  <c r="G274" i="9"/>
  <c r="C201" i="9"/>
  <c r="M169" i="9"/>
  <c r="G169" i="9"/>
  <c r="J169" i="9"/>
  <c r="D169" i="9"/>
  <c r="G222" i="9"/>
  <c r="D222" i="9"/>
  <c r="M222" i="9"/>
  <c r="J222" i="9"/>
  <c r="D139" i="9"/>
  <c r="M139" i="9"/>
  <c r="J139" i="9"/>
  <c r="G139" i="9"/>
  <c r="J235" i="9"/>
  <c r="G235" i="9"/>
  <c r="D235" i="9"/>
  <c r="M235" i="9"/>
  <c r="I87" i="9"/>
  <c r="H87" i="9" s="1"/>
  <c r="D85" i="9"/>
  <c r="M85" i="9"/>
  <c r="J85" i="9"/>
  <c r="G85" i="9"/>
  <c r="D95" i="9"/>
  <c r="G95" i="9"/>
  <c r="J95" i="9"/>
  <c r="M95" i="9"/>
  <c r="L201" i="9"/>
  <c r="K201" i="9" s="1"/>
  <c r="D231" i="9"/>
  <c r="M231" i="9"/>
  <c r="G231" i="9"/>
  <c r="J231" i="9"/>
  <c r="G190" i="9"/>
  <c r="M190" i="9"/>
  <c r="D190" i="9"/>
  <c r="J190" i="9"/>
  <c r="J170" i="9"/>
  <c r="M170" i="9"/>
  <c r="D170" i="9"/>
  <c r="G170" i="9"/>
  <c r="J151" i="9"/>
  <c r="D151" i="9"/>
  <c r="G151" i="9"/>
  <c r="M151" i="9"/>
  <c r="G259" i="9"/>
  <c r="M259" i="9"/>
  <c r="J259" i="9"/>
  <c r="D259" i="9"/>
  <c r="J132" i="9"/>
  <c r="M132" i="9"/>
  <c r="D132" i="9"/>
  <c r="G132" i="9"/>
  <c r="M249" i="9"/>
  <c r="J249" i="9"/>
  <c r="D249" i="9"/>
  <c r="G249" i="9"/>
  <c r="M98" i="9"/>
  <c r="D98" i="9"/>
  <c r="G98" i="9"/>
  <c r="J98" i="9"/>
  <c r="J68" i="9"/>
  <c r="D68" i="9"/>
  <c r="M68" i="9"/>
  <c r="G68" i="9"/>
  <c r="M174" i="9"/>
  <c r="J174" i="9"/>
  <c r="D174" i="9"/>
  <c r="G174" i="9"/>
  <c r="D265" i="9"/>
  <c r="J265" i="9"/>
  <c r="G265" i="9"/>
  <c r="M265" i="9"/>
  <c r="D78" i="9"/>
  <c r="M78" i="9"/>
  <c r="G78" i="9"/>
  <c r="J78" i="9"/>
  <c r="M158" i="9"/>
  <c r="G158" i="9"/>
  <c r="J158" i="9"/>
  <c r="D158" i="9"/>
  <c r="F239" i="9"/>
  <c r="E239" i="9" s="1"/>
  <c r="G251" i="9"/>
  <c r="D251" i="9"/>
  <c r="M251" i="9"/>
  <c r="J251" i="9"/>
  <c r="G196" i="9"/>
  <c r="M196" i="9"/>
  <c r="J196" i="9"/>
  <c r="D196" i="9"/>
  <c r="J131" i="9"/>
  <c r="D131" i="9"/>
  <c r="G131" i="9"/>
  <c r="C163" i="9"/>
  <c r="M131" i="9"/>
  <c r="M273" i="9"/>
  <c r="J273" i="9"/>
  <c r="G273" i="9"/>
  <c r="D273" i="9"/>
  <c r="M152" i="9"/>
  <c r="J152" i="9"/>
  <c r="G152" i="9"/>
  <c r="D152" i="9"/>
  <c r="G208" i="9"/>
  <c r="D208" i="9"/>
  <c r="J208" i="9"/>
  <c r="M208" i="9"/>
  <c r="F201" i="9"/>
  <c r="E201" i="9" s="1"/>
  <c r="G260" i="9"/>
  <c r="D260" i="9"/>
  <c r="J260" i="9"/>
  <c r="M260" i="9"/>
  <c r="J213" i="9"/>
  <c r="M213" i="9"/>
  <c r="G213" i="9"/>
  <c r="D213" i="9"/>
  <c r="I277" i="9"/>
  <c r="H277" i="9" s="1"/>
  <c r="D261" i="9"/>
  <c r="M261" i="9"/>
  <c r="G261" i="9"/>
  <c r="J261" i="9"/>
  <c r="M103" i="9"/>
  <c r="G103" i="9"/>
  <c r="J103" i="9"/>
  <c r="D103" i="9"/>
  <c r="J193" i="9"/>
  <c r="M193" i="9"/>
  <c r="D193" i="9"/>
  <c r="G193" i="9"/>
  <c r="G201" i="9" s="1"/>
  <c r="M217" i="9"/>
  <c r="J217" i="9"/>
  <c r="D217" i="9"/>
  <c r="G217" i="9"/>
  <c r="G157" i="9"/>
  <c r="J157" i="9"/>
  <c r="M157" i="9"/>
  <c r="D157" i="9"/>
  <c r="D141" i="9"/>
  <c r="M141" i="9"/>
  <c r="J141" i="9"/>
  <c r="G141" i="9"/>
  <c r="J46" i="9"/>
  <c r="G46" i="9"/>
  <c r="D46" i="9"/>
  <c r="M46" i="9"/>
  <c r="J68" i="3"/>
  <c r="H68" i="3"/>
  <c r="I68" i="3"/>
  <c r="D40" i="9"/>
  <c r="G40" i="9"/>
  <c r="M40" i="9"/>
  <c r="J40" i="9"/>
  <c r="J74" i="3"/>
  <c r="H74" i="3"/>
  <c r="I74" i="3"/>
  <c r="M42" i="9"/>
  <c r="D42" i="9"/>
  <c r="G42" i="9"/>
  <c r="J42" i="9"/>
  <c r="L9" i="5"/>
  <c r="M9" i="5"/>
  <c r="N9" i="5"/>
  <c r="M47" i="3"/>
  <c r="L47" i="3"/>
  <c r="N47" i="3"/>
  <c r="M56" i="3"/>
  <c r="N56" i="3"/>
  <c r="L56" i="3"/>
  <c r="L21" i="3"/>
  <c r="M21" i="3"/>
  <c r="N21" i="3"/>
  <c r="M74" i="3"/>
  <c r="L74" i="3"/>
  <c r="N74" i="3"/>
  <c r="M37" i="3"/>
  <c r="N37" i="3"/>
  <c r="L37" i="3"/>
  <c r="P63" i="3"/>
  <c r="R63" i="3"/>
  <c r="Q63" i="3"/>
  <c r="P42" i="3"/>
  <c r="Q42" i="3"/>
  <c r="R42" i="3"/>
  <c r="D21" i="9"/>
  <c r="M21" i="9"/>
  <c r="J21" i="9"/>
  <c r="G21" i="9"/>
  <c r="L40" i="3"/>
  <c r="M40" i="3"/>
  <c r="N40" i="3"/>
  <c r="M17" i="9"/>
  <c r="J17" i="9"/>
  <c r="D17" i="9"/>
  <c r="G17" i="9"/>
  <c r="C49" i="9"/>
  <c r="D38" i="9"/>
  <c r="J38" i="9"/>
  <c r="M38" i="9"/>
  <c r="G38" i="9"/>
  <c r="P57" i="3"/>
  <c r="Q57" i="3"/>
  <c r="R57" i="3"/>
  <c r="L21" i="5"/>
  <c r="M21" i="5"/>
  <c r="N21" i="5"/>
  <c r="P74" i="3"/>
  <c r="Q74" i="3"/>
  <c r="R74" i="3"/>
  <c r="L39" i="3"/>
  <c r="N39" i="3"/>
  <c r="M39" i="3"/>
  <c r="I59" i="3"/>
  <c r="H59" i="3"/>
  <c r="J59" i="3"/>
  <c r="I72" i="3"/>
  <c r="H72" i="3"/>
  <c r="J72" i="3"/>
  <c r="I50" i="3"/>
  <c r="J50" i="3"/>
  <c r="H50" i="3"/>
  <c r="I56" i="3"/>
  <c r="H56" i="3"/>
  <c r="J56" i="3"/>
  <c r="J37" i="3"/>
  <c r="I37" i="3"/>
  <c r="H37" i="3"/>
  <c r="I71" i="3"/>
  <c r="H71" i="3"/>
  <c r="J71" i="3"/>
  <c r="G29" i="9"/>
  <c r="M29" i="9"/>
  <c r="D29" i="9"/>
  <c r="J29" i="9"/>
  <c r="G43" i="9"/>
  <c r="D43" i="9"/>
  <c r="M43" i="9"/>
  <c r="J43" i="9"/>
  <c r="L45" i="3"/>
  <c r="M45" i="3"/>
  <c r="N45" i="3"/>
  <c r="J37" i="9"/>
  <c r="G37" i="9"/>
  <c r="D37" i="9"/>
  <c r="M37" i="9"/>
  <c r="I39" i="3"/>
  <c r="J39" i="3"/>
  <c r="H39" i="3"/>
  <c r="M59" i="3"/>
  <c r="L59" i="3"/>
  <c r="N59" i="3"/>
  <c r="J42" i="3"/>
  <c r="H42" i="3"/>
  <c r="I42" i="3"/>
  <c r="M62" i="3"/>
  <c r="N62" i="3"/>
  <c r="L62" i="3"/>
  <c r="Q65" i="3"/>
  <c r="R65" i="3"/>
  <c r="P65" i="3"/>
  <c r="L65" i="3"/>
  <c r="M65" i="3"/>
  <c r="N65" i="3"/>
  <c r="G18" i="9"/>
  <c r="D18" i="9"/>
  <c r="M18" i="9"/>
  <c r="J18" i="9"/>
  <c r="I49" i="3"/>
  <c r="J49" i="3"/>
  <c r="H49" i="3"/>
  <c r="Q68" i="3"/>
  <c r="P68" i="3"/>
  <c r="R68" i="3"/>
  <c r="J58" i="3"/>
  <c r="H58" i="3"/>
  <c r="I58" i="3"/>
  <c r="L8" i="5"/>
  <c r="N8" i="5"/>
  <c r="M8" i="5"/>
  <c r="N33" i="3"/>
  <c r="M33" i="3"/>
  <c r="L33" i="3"/>
  <c r="P43" i="3"/>
  <c r="R43" i="3"/>
  <c r="Q43" i="3"/>
  <c r="L66" i="3"/>
  <c r="M66" i="3"/>
  <c r="N66" i="3"/>
  <c r="L6" i="5"/>
  <c r="M6" i="5"/>
  <c r="N6" i="5"/>
  <c r="N72" i="3"/>
  <c r="L72" i="3"/>
  <c r="M72" i="3"/>
  <c r="R37" i="3"/>
  <c r="Q37" i="3"/>
  <c r="P37" i="3"/>
  <c r="N18" i="5"/>
  <c r="M18" i="5"/>
  <c r="L18" i="5"/>
  <c r="L49" i="9"/>
  <c r="K49" i="9" s="1"/>
  <c r="G9" i="9" s="1"/>
  <c r="N22" i="3"/>
  <c r="L22" i="3"/>
  <c r="M22" i="3"/>
  <c r="L7" i="3"/>
  <c r="M7" i="3"/>
  <c r="N7" i="3"/>
  <c r="G20" i="9"/>
  <c r="D20" i="9"/>
  <c r="M20" i="9"/>
  <c r="J20" i="9"/>
  <c r="M19" i="5"/>
  <c r="N19" i="5"/>
  <c r="L19" i="5"/>
  <c r="Q73" i="3"/>
  <c r="R73" i="3"/>
  <c r="P73" i="3"/>
  <c r="R33" i="3"/>
  <c r="P33" i="3"/>
  <c r="Q33" i="3"/>
  <c r="H38" i="3"/>
  <c r="J38" i="3"/>
  <c r="I38" i="3"/>
  <c r="L34" i="3"/>
  <c r="M34" i="3"/>
  <c r="N34" i="3"/>
  <c r="M24" i="5"/>
  <c r="L24" i="5"/>
  <c r="N24" i="5"/>
  <c r="J35" i="3"/>
  <c r="I35" i="3"/>
  <c r="H35" i="3"/>
  <c r="M20" i="5"/>
  <c r="N20" i="5"/>
  <c r="L20" i="5"/>
  <c r="N75" i="3"/>
  <c r="L75" i="3"/>
  <c r="M75" i="3"/>
  <c r="P64" i="3"/>
  <c r="R64" i="3"/>
  <c r="Q64" i="3"/>
  <c r="P50" i="3"/>
  <c r="Q50" i="3"/>
  <c r="R50" i="3"/>
  <c r="J41" i="3"/>
  <c r="I41" i="3"/>
  <c r="H41" i="3"/>
  <c r="N24" i="3"/>
  <c r="M24" i="3"/>
  <c r="L24" i="3"/>
  <c r="Q40" i="3"/>
  <c r="P40" i="3"/>
  <c r="R40" i="3"/>
  <c r="N60" i="3"/>
  <c r="M60" i="3"/>
  <c r="L60" i="3"/>
  <c r="I48" i="3"/>
  <c r="J48" i="3"/>
  <c r="H48" i="3"/>
  <c r="N73" i="3"/>
  <c r="L73" i="3"/>
  <c r="M73" i="3"/>
  <c r="J69" i="3"/>
  <c r="I69" i="3"/>
  <c r="H69" i="3"/>
  <c r="I43" i="3"/>
  <c r="H43" i="3"/>
  <c r="J43" i="3"/>
  <c r="Q60" i="3"/>
  <c r="P60" i="3"/>
  <c r="R60" i="3"/>
  <c r="N71" i="3"/>
  <c r="M71" i="3"/>
  <c r="L71" i="3"/>
  <c r="Q72" i="3"/>
  <c r="R72" i="3"/>
  <c r="P72" i="3"/>
  <c r="L7" i="5"/>
  <c r="N7" i="5"/>
  <c r="M7" i="5"/>
  <c r="I65" i="3"/>
  <c r="J65" i="3"/>
  <c r="H65" i="3"/>
  <c r="D45" i="9"/>
  <c r="M45" i="9"/>
  <c r="J45" i="9"/>
  <c r="G45" i="9"/>
  <c r="J75" i="3"/>
  <c r="I75" i="3"/>
  <c r="H75" i="3"/>
  <c r="I47" i="3"/>
  <c r="H47" i="3"/>
  <c r="J47" i="3"/>
  <c r="M31" i="9"/>
  <c r="D31" i="9"/>
  <c r="G31" i="9"/>
  <c r="J31" i="9"/>
  <c r="Q49" i="3"/>
  <c r="R49" i="3"/>
  <c r="P49" i="3"/>
  <c r="Q70" i="3"/>
  <c r="R70" i="3"/>
  <c r="P70" i="3"/>
  <c r="M35" i="9"/>
  <c r="D35" i="9"/>
  <c r="G35" i="9"/>
  <c r="J35" i="9"/>
  <c r="N22" i="5"/>
  <c r="L22" i="5"/>
  <c r="M22" i="5"/>
  <c r="R38" i="3"/>
  <c r="Q38" i="3"/>
  <c r="P38" i="3"/>
  <c r="M33" i="9"/>
  <c r="D33" i="9"/>
  <c r="G33" i="9"/>
  <c r="J33" i="9"/>
  <c r="N64" i="3"/>
  <c r="M64" i="3"/>
  <c r="L64" i="3"/>
  <c r="G30" i="9"/>
  <c r="D30" i="9"/>
  <c r="M30" i="9"/>
  <c r="J30" i="9"/>
  <c r="R41" i="3"/>
  <c r="P41" i="3"/>
  <c r="Q41" i="3"/>
  <c r="N14" i="5"/>
  <c r="M14" i="5"/>
  <c r="L14" i="5"/>
  <c r="M41" i="3"/>
  <c r="L41" i="3"/>
  <c r="N41" i="3"/>
  <c r="D26" i="9"/>
  <c r="J26" i="9"/>
  <c r="G26" i="9"/>
  <c r="M26" i="9"/>
  <c r="P46" i="3"/>
  <c r="R46" i="3"/>
  <c r="Q46" i="3"/>
  <c r="J36" i="9"/>
  <c r="M36" i="9"/>
  <c r="G36" i="9"/>
  <c r="D36" i="9"/>
  <c r="G23" i="9"/>
  <c r="J23" i="9"/>
  <c r="D23" i="9"/>
  <c r="M23" i="9"/>
  <c r="L46" i="3"/>
  <c r="N46" i="3"/>
  <c r="M46" i="3"/>
  <c r="D19" i="9"/>
  <c r="G19" i="9"/>
  <c r="M19" i="9"/>
  <c r="J19" i="9"/>
  <c r="N68" i="3"/>
  <c r="M68" i="3"/>
  <c r="L68" i="3"/>
  <c r="M31" i="3"/>
  <c r="N31" i="3"/>
  <c r="L31" i="3"/>
  <c r="N17" i="5"/>
  <c r="L17" i="5"/>
  <c r="M17" i="5"/>
  <c r="M25" i="3"/>
  <c r="N25" i="3"/>
  <c r="L25" i="3"/>
  <c r="L35" i="3"/>
  <c r="M35" i="3"/>
  <c r="N35" i="3"/>
  <c r="R61" i="3"/>
  <c r="Q61" i="3"/>
  <c r="P61" i="3"/>
  <c r="R62" i="3"/>
  <c r="Q62" i="3"/>
  <c r="P62" i="3"/>
  <c r="R35" i="3"/>
  <c r="Q35" i="3"/>
  <c r="P35" i="3"/>
  <c r="M58" i="3"/>
  <c r="L58" i="3"/>
  <c r="N58" i="3"/>
  <c r="M23" i="3"/>
  <c r="N23" i="3"/>
  <c r="L23" i="3"/>
  <c r="N13" i="5"/>
  <c r="M13" i="5"/>
  <c r="L13" i="5"/>
  <c r="Q39" i="3"/>
  <c r="P39" i="3"/>
  <c r="R39" i="3"/>
  <c r="L57" i="3"/>
  <c r="M57" i="3"/>
  <c r="N57" i="3"/>
  <c r="O49" i="9"/>
  <c r="N49" i="9" s="1"/>
  <c r="G11" i="9" s="1"/>
  <c r="M23" i="5"/>
  <c r="L23" i="5"/>
  <c r="N23" i="5"/>
  <c r="I60" i="3"/>
  <c r="H60" i="3"/>
  <c r="J60" i="3"/>
  <c r="P58" i="3"/>
  <c r="R58" i="3"/>
  <c r="Q58" i="3"/>
  <c r="N17" i="3"/>
  <c r="M17" i="3"/>
  <c r="L17" i="3"/>
  <c r="N19" i="3"/>
  <c r="L19" i="3"/>
  <c r="M19" i="3"/>
  <c r="G41" i="9"/>
  <c r="D41" i="9"/>
  <c r="J41" i="9"/>
  <c r="M41" i="9"/>
  <c r="P56" i="3"/>
  <c r="R56" i="3"/>
  <c r="Q56" i="3"/>
  <c r="R75" i="3"/>
  <c r="Q75" i="3"/>
  <c r="P75" i="3"/>
  <c r="J47" i="9"/>
  <c r="G47" i="9"/>
  <c r="D47" i="9"/>
  <c r="M47" i="9"/>
  <c r="I31" i="3"/>
  <c r="H31" i="3"/>
  <c r="J31" i="3"/>
  <c r="L32" i="3"/>
  <c r="N32" i="3"/>
  <c r="M32" i="3"/>
  <c r="P36" i="3"/>
  <c r="Q36" i="3"/>
  <c r="R36" i="3"/>
  <c r="R69" i="3"/>
  <c r="P69" i="3"/>
  <c r="Q69" i="3"/>
  <c r="L13" i="3"/>
  <c r="N13" i="3"/>
  <c r="M13" i="3"/>
  <c r="P71" i="3"/>
  <c r="Q71" i="3"/>
  <c r="R71" i="3"/>
  <c r="I49" i="9"/>
  <c r="H49" i="9" s="1"/>
  <c r="G7" i="9" s="1"/>
  <c r="D32" i="9"/>
  <c r="M32" i="9"/>
  <c r="G32" i="9"/>
  <c r="J32" i="9"/>
  <c r="M20" i="3"/>
  <c r="L20" i="3"/>
  <c r="N20" i="3"/>
  <c r="I45" i="3"/>
  <c r="J45" i="3"/>
  <c r="H45" i="3"/>
  <c r="L18" i="3"/>
  <c r="N18" i="3"/>
  <c r="M18" i="3"/>
  <c r="M39" i="9"/>
  <c r="J39" i="9"/>
  <c r="G39" i="9"/>
  <c r="D39" i="9"/>
  <c r="R59" i="3"/>
  <c r="Q59" i="3"/>
  <c r="P59" i="3"/>
  <c r="I61" i="3"/>
  <c r="J61" i="3"/>
  <c r="H61" i="3"/>
  <c r="Q48" i="3"/>
  <c r="P48" i="3"/>
  <c r="R48" i="3"/>
  <c r="L63" i="3"/>
  <c r="N63" i="3"/>
  <c r="M63" i="3"/>
  <c r="I64" i="3"/>
  <c r="J64" i="3"/>
  <c r="H64" i="3"/>
  <c r="M38" i="3"/>
  <c r="N38" i="3"/>
  <c r="L38" i="3"/>
  <c r="P31" i="3"/>
  <c r="R31" i="3"/>
  <c r="Q31" i="3"/>
  <c r="I34" i="3"/>
  <c r="H34" i="3"/>
  <c r="J34" i="3"/>
  <c r="M14" i="3"/>
  <c r="N14" i="3"/>
  <c r="L14" i="3"/>
  <c r="N25" i="5"/>
  <c r="M25" i="5"/>
  <c r="L25" i="5"/>
  <c r="H32" i="3"/>
  <c r="I32" i="3"/>
  <c r="J32" i="3"/>
  <c r="I40" i="3"/>
  <c r="H40" i="3"/>
  <c r="J40" i="3"/>
  <c r="M15" i="3"/>
  <c r="L15" i="3"/>
  <c r="N15" i="3"/>
  <c r="M12" i="3"/>
  <c r="N12" i="3"/>
  <c r="L12" i="3"/>
  <c r="N69" i="3"/>
  <c r="M69" i="3"/>
  <c r="L69" i="3"/>
  <c r="N67" i="3"/>
  <c r="L67" i="3"/>
  <c r="M67" i="3"/>
  <c r="N15" i="5"/>
  <c r="M15" i="5"/>
  <c r="L15" i="5"/>
  <c r="G27" i="9"/>
  <c r="J27" i="9"/>
  <c r="D27" i="9"/>
  <c r="M27" i="9"/>
  <c r="I44" i="3"/>
  <c r="H44" i="3"/>
  <c r="J44" i="3"/>
  <c r="Q34" i="3"/>
  <c r="P34" i="3"/>
  <c r="R34" i="3"/>
  <c r="J25" i="9"/>
  <c r="G25" i="9"/>
  <c r="D25" i="9"/>
  <c r="M25" i="9"/>
  <c r="J33" i="3"/>
  <c r="I33" i="3"/>
  <c r="H33" i="3"/>
  <c r="H67" i="3"/>
  <c r="J67" i="3"/>
  <c r="I67" i="3"/>
  <c r="I62" i="3"/>
  <c r="H62" i="3"/>
  <c r="J62" i="3"/>
  <c r="M9" i="3"/>
  <c r="N9" i="3"/>
  <c r="L9" i="3"/>
  <c r="M44" i="9"/>
  <c r="J44" i="9"/>
  <c r="G44" i="9"/>
  <c r="D44" i="9"/>
  <c r="J57" i="3"/>
  <c r="H57" i="3"/>
  <c r="I57" i="3"/>
  <c r="H46" i="3"/>
  <c r="I46" i="3"/>
  <c r="J46" i="3"/>
  <c r="N16" i="5"/>
  <c r="M16" i="5"/>
  <c r="L16" i="5"/>
  <c r="F49" i="9"/>
  <c r="G24" i="9"/>
  <c r="M24" i="9"/>
  <c r="J24" i="9"/>
  <c r="D24" i="9"/>
  <c r="J66" i="3"/>
  <c r="I66" i="3"/>
  <c r="H66" i="3"/>
  <c r="R47" i="3"/>
  <c r="P47" i="3"/>
  <c r="Q47" i="3"/>
  <c r="N61" i="3"/>
  <c r="L61" i="3"/>
  <c r="M61" i="3"/>
  <c r="L43" i="3"/>
  <c r="M43" i="3"/>
  <c r="N43" i="3"/>
  <c r="M70" i="3"/>
  <c r="N70" i="3"/>
  <c r="L70" i="3"/>
  <c r="L50" i="3"/>
  <c r="N50" i="3"/>
  <c r="M50" i="3"/>
  <c r="Q45" i="3"/>
  <c r="R45" i="3"/>
  <c r="P45" i="3"/>
  <c r="I63" i="3"/>
  <c r="J63" i="3"/>
  <c r="H63" i="3"/>
  <c r="H36" i="3"/>
  <c r="J36" i="3"/>
  <c r="I36" i="3"/>
  <c r="Q66" i="3"/>
  <c r="P66" i="3"/>
  <c r="R66" i="3"/>
  <c r="M11" i="5"/>
  <c r="N11" i="5"/>
  <c r="L11" i="5"/>
  <c r="L8" i="3"/>
  <c r="M8" i="3"/>
  <c r="N8" i="3"/>
  <c r="M28" i="9"/>
  <c r="G28" i="9"/>
  <c r="D28" i="9"/>
  <c r="J28" i="9"/>
  <c r="M10" i="5"/>
  <c r="L10" i="5"/>
  <c r="N10" i="5"/>
  <c r="N11" i="3"/>
  <c r="M11" i="3"/>
  <c r="L11" i="3"/>
  <c r="Q44" i="3"/>
  <c r="R44" i="3"/>
  <c r="P44" i="3"/>
  <c r="G34" i="9"/>
  <c r="J34" i="9"/>
  <c r="M34" i="9"/>
  <c r="D34" i="9"/>
  <c r="N49" i="3"/>
  <c r="M49" i="3"/>
  <c r="L49" i="3"/>
  <c r="M12" i="5"/>
  <c r="N12" i="5"/>
  <c r="L12" i="5"/>
  <c r="M44" i="3"/>
  <c r="N44" i="3"/>
  <c r="L44" i="3"/>
  <c r="M22" i="9"/>
  <c r="J22" i="9"/>
  <c r="G22" i="9"/>
  <c r="D22" i="9"/>
  <c r="Q67" i="3"/>
  <c r="P67" i="3"/>
  <c r="R67" i="3"/>
  <c r="M42" i="3"/>
  <c r="N42" i="3"/>
  <c r="L42" i="3"/>
  <c r="L36" i="3"/>
  <c r="N36" i="3"/>
  <c r="M36" i="3"/>
  <c r="L16" i="3"/>
  <c r="M16" i="3"/>
  <c r="N16" i="3"/>
  <c r="H73" i="3"/>
  <c r="I73" i="3"/>
  <c r="J73" i="3"/>
  <c r="L48" i="3"/>
  <c r="M48" i="3"/>
  <c r="N48" i="3"/>
  <c r="L10" i="3"/>
  <c r="M10" i="3"/>
  <c r="N10" i="3"/>
  <c r="H70" i="3"/>
  <c r="I70" i="3"/>
  <c r="J70" i="3"/>
  <c r="R32" i="3"/>
  <c r="Q32" i="3"/>
  <c r="P32" i="3"/>
  <c r="L6" i="3"/>
  <c r="N6" i="3"/>
  <c r="M6" i="3"/>
  <c r="J87" i="9" l="1"/>
  <c r="D125" i="9"/>
  <c r="J125" i="9"/>
  <c r="G239" i="9"/>
  <c r="D277" i="9"/>
  <c r="D201" i="9"/>
  <c r="M277" i="9"/>
  <c r="D239" i="9"/>
  <c r="J201" i="9"/>
  <c r="G277" i="9"/>
  <c r="M239" i="9"/>
  <c r="G87" i="9"/>
  <c r="J239" i="9"/>
  <c r="J163" i="9"/>
  <c r="M125" i="9"/>
  <c r="M201" i="9"/>
  <c r="M163" i="9"/>
  <c r="D163" i="9"/>
  <c r="G163" i="9"/>
  <c r="D87" i="9"/>
  <c r="G125" i="9"/>
  <c r="M87" i="9"/>
  <c r="E49" i="9"/>
  <c r="G5" i="9" s="1"/>
  <c r="D49" i="9"/>
  <c r="J49" i="9"/>
  <c r="M49" i="9"/>
  <c r="G49" i="9"/>
  <c r="G3" i="9" l="1"/>
</calcChain>
</file>

<file path=xl/sharedStrings.xml><?xml version="1.0" encoding="utf-8"?>
<sst xmlns="http://schemas.openxmlformats.org/spreadsheetml/2006/main" count="3271" uniqueCount="323">
  <si>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</si>
  <si>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</si>
  <si>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</si>
  <si>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</si>
  <si>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</si>
  <si>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</si>
  <si>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</si>
  <si>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</si>
  <si>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</si>
  <si>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</si>
  <si>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</si>
  <si>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</si>
  <si>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</si>
  <si>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</si>
  <si>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</si>
  <si>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</si>
  <si>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</si>
  <si>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</si>
  <si>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</si>
  <si>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</si>
  <si>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</si>
  <si>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</si>
  <si>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</si>
  <si>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</si>
  <si>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</si>
  <si>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</si>
  <si>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</si>
  <si>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</si>
  <si>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</si>
  <si>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</si>
  <si>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</si>
  <si>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</si>
  <si>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</si>
  <si>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</si>
  <si>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</si>
  <si>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</si>
  <si>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</si>
  <si>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</si>
  <si>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</si>
  <si>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</si>
  <si>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</si>
  <si>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</si>
  <si>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</si>
  <si>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</si>
  <si>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</si>
  <si>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</si>
  <si>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</si>
  <si>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</si>
  <si>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</si>
  <si>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</si>
  <si>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</si>
  <si>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</si>
  <si>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</si>
  <si>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</si>
  <si>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</si>
  <si>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</si>
  <si>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</si>
  <si>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</si>
  <si>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</si>
  <si>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</si>
  <si>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</si>
  <si>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</si>
  <si>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</si>
  <si>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</si>
  <si>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</si>
  <si>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</si>
  <si>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</si>
  <si>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</si>
  <si>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</si>
  <si>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</si>
  <si>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</si>
  <si>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</si>
  <si>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</si>
  <si>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</si>
  <si>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</si>
  <si>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</si>
  <si>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</si>
  <si>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</si>
  <si>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</si>
  <si>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</si>
  <si>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</si>
  <si>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</si>
  <si>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</si>
  <si>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</si>
  <si>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</si>
  <si>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</si>
  <si>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</si>
  <si>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</si>
  <si>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</si>
  <si>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</si>
  <si>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</si>
  <si>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</si>
  <si>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</si>
  <si>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</si>
  <si>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</si>
  <si>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</si>
  <si>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</si>
  <si>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</si>
  <si>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</si>
  <si>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</si>
  <si>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</si>
  <si>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</si>
  <si>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</si>
  <si>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</si>
  <si>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</si>
  <si>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</si>
  <si>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</si>
  <si>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</si>
  <si>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</si>
  <si>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</si>
  <si>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</si>
  <si>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</si>
  <si>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</si>
  <si>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</si>
  <si>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</si>
  <si>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</si>
  <si>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</si>
  <si>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</si>
  <si>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</si>
  <si>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</si>
  <si>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</si>
  <si>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</si>
  <si>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</si>
  <si>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</si>
  <si>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</si>
  <si>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</si>
  <si>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</si>
  <si>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</si>
  <si>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</si>
  <si>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</si>
  <si>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</si>
  <si>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</si>
  <si>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</si>
  <si>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</si>
  <si>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</si>
  <si>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</si>
  <si>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</si>
  <si>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</si>
  <si>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</si>
  <si>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</si>
  <si>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</si>
  <si>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</si>
  <si>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</si>
  <si>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</si>
  <si>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</si>
  <si>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</si>
  <si>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</si>
  <si>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</si>
  <si>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</si>
  <si>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</si>
  <si>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</si>
  <si>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</si>
  <si>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</si>
  <si>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</si>
  <si>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</si>
  <si>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</si>
  <si>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</si>
  <si>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</si>
  <si>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</si>
  <si>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</si>
  <si>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</si>
  <si>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</si>
  <si>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</si>
  <si>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</si>
  <si>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</si>
  <si>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</si>
  <si>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</si>
  <si>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</si>
  <si>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</si>
  <si>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</si>
  <si>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</si>
  <si>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</si>
  <si>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</si>
  <si>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</si>
  <si>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</si>
  <si>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</si>
  <si>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</si>
  <si>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</si>
  <si>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</si>
  <si>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</si>
  <si>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</si>
  <si>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</si>
  <si>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</si>
  <si>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</si>
  <si>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</si>
  <si>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</si>
  <si>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</si>
  <si>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</si>
  <si>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</si>
  <si>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</si>
  <si>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</si>
  <si>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</si>
  <si>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</si>
  <si>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</si>
  <si>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</si>
  <si>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</si>
  <si>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</si>
  <si>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</si>
  <si>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</si>
  <si>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</si>
  <si>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</si>
  <si>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</si>
  <si>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</si>
  <si>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</si>
  <si>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</si>
  <si>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</si>
  <si>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</si>
  <si>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</si>
  <si>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</si>
  <si>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</si>
  <si>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</si>
  <si>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</si>
  <si>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</si>
  <si>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</si>
  <si>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</si>
  <si>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</si>
  <si>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</si>
  <si>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</si>
  <si>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</si>
  <si>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</si>
  <si>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</si>
  <si>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</si>
  <si>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</si>
  <si>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</si>
  <si>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</si>
  <si>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</si>
  <si>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</si>
  <si>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</si>
  <si>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</si>
  <si>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</si>
  <si>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</si>
  <si>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</si>
  <si>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</si>
  <si>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</si>
  <si>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</si>
  <si>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</si>
  <si>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</si>
  <si>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</si>
  <si>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</si>
  <si>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</si>
  <si>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</si>
  <si>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</si>
  <si>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</si>
  <si>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</si>
  <si>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</si>
  <si>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</si>
  <si>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</si>
  <si>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</si>
  <si>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</si>
  <si>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</si>
  <si>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</si>
  <si>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</si>
  <si>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</si>
  <si>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</si>
  <si>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</si>
  <si>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</si>
  <si>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</si>
  <si>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</si>
  <si>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</si>
  <si>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</si>
  <si>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</si>
  <si>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</si>
  <si>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</si>
  <si>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</si>
  <si>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</si>
  <si>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</si>
  <si>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</si>
  <si>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</si>
  <si>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</si>
  <si>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</si>
  <si>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</si>
  <si>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</si>
  <si>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</si>
  <si>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</si>
  <si>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</si>
  <si>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</si>
  <si>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</si>
  <si>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</si>
  <si>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</si>
  <si>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</si>
  <si>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</si>
  <si>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</si>
  <si>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</si>
  <si>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</si>
  <si>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</si>
  <si>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</si>
  <si>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</si>
  <si>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</si>
  <si>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</si>
  <si>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</si>
  <si>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</si>
  <si>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</si>
  <si>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</si>
  <si>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</si>
  <si>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</si>
  <si>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</si>
  <si>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</si>
  <si>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/>
  </si>
  <si>
    <t>코인명검색</t>
  </si>
  <si>
    <t>상승률</t>
  </si>
  <si>
    <t>평가손익</t>
  </si>
  <si>
    <t>매수금액</t>
  </si>
  <si>
    <t>합계</t>
  </si>
  <si>
    <t>오브스</t>
    <phoneticPr fontId="1" type="noConversion"/>
  </si>
  <si>
    <t>폴리매쓰</t>
    <phoneticPr fontId="1" type="noConversion"/>
  </si>
  <si>
    <t>헤데라해시그래프</t>
    <phoneticPr fontId="1" type="noConversion"/>
  </si>
  <si>
    <t>헌트</t>
    <phoneticPr fontId="1" type="noConversion"/>
  </si>
  <si>
    <t>비체인</t>
    <phoneticPr fontId="1" type="noConversion"/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</si>
  <si>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</si>
  <si>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</si>
  <si>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</si>
  <si>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</si>
  <si>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</si>
  <si>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</si>
  <si>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</si>
  <si>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</si>
  <si>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</si>
  <si>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</si>
  <si>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</si>
  <si>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</si>
  <si>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</si>
  <si>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오전 09:00</t>
    <phoneticPr fontId="1" type="noConversion"/>
  </si>
  <si>
    <t>2021.05.05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</si>
</sst>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42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</xdr:row>
          <xdr:rowOff>0</xdr:rowOff>
        </xdr:from>
        <xdr:to>
          <xdr:col>20</xdr:col>
          <xdr:colOff>28575</xdr:colOff>
          <xdr:row>16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B6A25481-61EB-446C-B1BE-6146E3952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</xdr:row>
          <xdr:rowOff>0</xdr:rowOff>
        </xdr:from>
        <xdr:to>
          <xdr:col>17</xdr:col>
          <xdr:colOff>238125</xdr:colOff>
          <xdr:row>19</xdr:row>
          <xdr:rowOff>28575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E3BC4CF5-F198-4E0F-B6A2-2E3843C84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16</xdr:row>
          <xdr:rowOff>0</xdr:rowOff>
        </xdr:from>
        <xdr:to>
          <xdr:col>18</xdr:col>
          <xdr:colOff>476250</xdr:colOff>
          <xdr:row>19</xdr:row>
          <xdr:rowOff>28575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D9BD26A6-BB0A-4A99-980A-29CE57DC7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</xdr:row>
          <xdr:rowOff>28575</xdr:rowOff>
        </xdr:from>
        <xdr:to>
          <xdr:col>17</xdr:col>
          <xdr:colOff>238125</xdr:colOff>
          <xdr:row>22</xdr:row>
          <xdr:rowOff>57150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76262A5E-7CD1-411F-BF27-D43555129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238125</xdr:colOff>
          <xdr:row>19</xdr:row>
          <xdr:rowOff>28575</xdr:rowOff>
        </xdr:from>
        <xdr:to>
          <xdr:col>18</xdr:col>
          <xdr:colOff>476250</xdr:colOff>
          <xdr:row>22</xdr:row>
          <xdr:rowOff>57150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CFFFB5F7-F1BE-4165-A2D3-F3F7A5CF2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476250</xdr:colOff>
          <xdr:row>16</xdr:row>
          <xdr:rowOff>0</xdr:rowOff>
        </xdr:from>
        <xdr:to>
          <xdr:col>20</xdr:col>
          <xdr:colOff>28575</xdr:colOff>
          <xdr:row>19</xdr:row>
          <xdr:rowOff>28575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28364D10-FB84-4B7B-B080-E3604CDC76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476250</xdr:colOff>
          <xdr:row>19</xdr:row>
          <xdr:rowOff>28575</xdr:rowOff>
        </xdr:from>
        <xdr:to>
          <xdr:col>20</xdr:col>
          <xdr:colOff>28575</xdr:colOff>
          <xdr:row>22</xdr:row>
          <xdr:rowOff>57150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8C2C6BDE-FA3C-41B6-A1F8-76E798EF58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</xdr:row>
          <xdr:rowOff>57150</xdr:rowOff>
        </xdr:from>
        <xdr:to>
          <xdr:col>20</xdr:col>
          <xdr:colOff>28575</xdr:colOff>
          <xdr:row>25</xdr:row>
          <xdr:rowOff>76200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D108BF80-BF81-4411-A9B8-90C5C8DDC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30</xdr:row>
          <xdr:rowOff>0</xdr:rowOff>
        </xdr:from>
        <xdr:to>
          <xdr:col>20</xdr:col>
          <xdr:colOff>0</xdr:colOff>
          <xdr:row>33</xdr:row>
          <xdr:rowOff>19050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28543EBE-14F9-4BC8-8A4E-BFAE1DB57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33</xdr:row>
          <xdr:rowOff>19050</xdr:rowOff>
        </xdr:from>
        <xdr:to>
          <xdr:col>20</xdr:col>
          <xdr:colOff>0</xdr:colOff>
          <xdr:row>36</xdr:row>
          <xdr:rowOff>38100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2A034571-BCEB-4432-A36D-3E7ECEC944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36</xdr:row>
          <xdr:rowOff>38100</xdr:rowOff>
        </xdr:from>
        <xdr:to>
          <xdr:col>20</xdr:col>
          <xdr:colOff>0</xdr:colOff>
          <xdr:row>39</xdr:row>
          <xdr:rowOff>47625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4216DA-89D1-4F40-B539-4A2778FB98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47625</xdr:rowOff>
        </xdr:from>
        <xdr:to>
          <xdr:col>20</xdr:col>
          <xdr:colOff>0</xdr:colOff>
          <xdr:row>42</xdr:row>
          <xdr:rowOff>76200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DC3902AB-0AA4-47FE-89F5-0EE5FB0A5B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5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5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5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5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5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5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5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5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5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5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5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5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5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5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5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5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5625" name="Button 25" hidden="1">
              <a:extLst>
                <a:ext uri="{63B3BB69-23CF-44E3-9099-C40C66FF867C}">
                  <a14:compatExt spid="_x0000_s25625"/>
                </a:ext>
                <a:ext uri="{FF2B5EF4-FFF2-40B4-BE49-F238E27FC236}">
                  <a16:creationId xmlns:a16="http://schemas.microsoft.com/office/drawing/2014/main" id="{00000000-0008-0000-0500-00001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5626" name="Button 26" hidden="1">
              <a:extLst>
                <a:ext uri="{63B3BB69-23CF-44E3-9099-C40C66FF867C}">
                  <a14:compatExt spid="_x0000_s25626"/>
                </a:ext>
                <a:ext uri="{FF2B5EF4-FFF2-40B4-BE49-F238E27FC236}">
                  <a16:creationId xmlns:a16="http://schemas.microsoft.com/office/drawing/2014/main" id="{00000000-0008-0000-0500-00001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5627" name="Button 27" hidden="1">
              <a:extLst>
                <a:ext uri="{63B3BB69-23CF-44E3-9099-C40C66FF867C}">
                  <a14:compatExt spid="_x0000_s25627"/>
                </a:ext>
                <a:ext uri="{FF2B5EF4-FFF2-40B4-BE49-F238E27FC236}">
                  <a16:creationId xmlns:a16="http://schemas.microsoft.com/office/drawing/2014/main" id="{00000000-0008-0000-0500-00001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5628" name="Button 28" hidden="1">
              <a:extLst>
                <a:ext uri="{63B3BB69-23CF-44E3-9099-C40C66FF867C}">
                  <a14:compatExt spid="_x0000_s25628"/>
                </a:ext>
                <a:ext uri="{FF2B5EF4-FFF2-40B4-BE49-F238E27FC236}">
                  <a16:creationId xmlns:a16="http://schemas.microsoft.com/office/drawing/2014/main" id="{00000000-0008-0000-0500-00001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5629" name="Button 29" hidden="1">
              <a:extLst>
                <a:ext uri="{63B3BB69-23CF-44E3-9099-C40C66FF867C}">
                  <a14:compatExt spid="_x0000_s25629"/>
                </a:ext>
                <a:ext uri="{FF2B5EF4-FFF2-40B4-BE49-F238E27FC236}">
                  <a16:creationId xmlns:a16="http://schemas.microsoft.com/office/drawing/2014/main" id="{00000000-0008-0000-0500-00001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5630" name="Button 30" hidden="1">
              <a:extLst>
                <a:ext uri="{63B3BB69-23CF-44E3-9099-C40C66FF867C}">
                  <a14:compatExt spid="_x0000_s25630"/>
                </a:ext>
                <a:ext uri="{FF2B5EF4-FFF2-40B4-BE49-F238E27FC236}">
                  <a16:creationId xmlns:a16="http://schemas.microsoft.com/office/drawing/2014/main" id="{00000000-0008-0000-0500-00001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5631" name="Button 31" hidden="1">
              <a:extLst>
                <a:ext uri="{63B3BB69-23CF-44E3-9099-C40C66FF867C}">
                  <a14:compatExt spid="_x0000_s25631"/>
                </a:ext>
                <a:ext uri="{FF2B5EF4-FFF2-40B4-BE49-F238E27FC236}">
                  <a16:creationId xmlns:a16="http://schemas.microsoft.com/office/drawing/2014/main" id="{00000000-0008-0000-0500-00001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5632" name="Button 32" hidden="1">
              <a:extLst>
                <a:ext uri="{63B3BB69-23CF-44E3-9099-C40C66FF867C}">
                  <a14:compatExt spid="_x0000_s25632"/>
                </a:ext>
                <a:ext uri="{FF2B5EF4-FFF2-40B4-BE49-F238E27FC236}">
                  <a16:creationId xmlns:a16="http://schemas.microsoft.com/office/drawing/2014/main" id="{00000000-0008-0000-0500-00002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5633" name="Button 33" hidden="1">
              <a:extLst>
                <a:ext uri="{63B3BB69-23CF-44E3-9099-C40C66FF867C}">
                  <a14:compatExt spid="_x0000_s25633"/>
                </a:ext>
                <a:ext uri="{FF2B5EF4-FFF2-40B4-BE49-F238E27FC236}">
                  <a16:creationId xmlns:a16="http://schemas.microsoft.com/office/drawing/2014/main" id="{00000000-0008-0000-0500-00002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5634" name="Button 34" hidden="1">
              <a:extLst>
                <a:ext uri="{63B3BB69-23CF-44E3-9099-C40C66FF867C}">
                  <a14:compatExt spid="_x0000_s25634"/>
                </a:ext>
                <a:ext uri="{FF2B5EF4-FFF2-40B4-BE49-F238E27FC236}">
                  <a16:creationId xmlns:a16="http://schemas.microsoft.com/office/drawing/2014/main" id="{00000000-0008-0000-0500-00002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5635" name="Button 35" hidden="1">
              <a:extLst>
                <a:ext uri="{63B3BB69-23CF-44E3-9099-C40C66FF867C}">
                  <a14:compatExt spid="_x0000_s25635"/>
                </a:ext>
                <a:ext uri="{FF2B5EF4-FFF2-40B4-BE49-F238E27FC236}">
                  <a16:creationId xmlns:a16="http://schemas.microsoft.com/office/drawing/2014/main" id="{00000000-0008-0000-0500-00002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5636" name="Button 36" hidden="1">
              <a:extLst>
                <a:ext uri="{63B3BB69-23CF-44E3-9099-C40C66FF867C}">
                  <a14:compatExt spid="_x0000_s25636"/>
                </a:ext>
                <a:ext uri="{FF2B5EF4-FFF2-40B4-BE49-F238E27FC236}">
                  <a16:creationId xmlns:a16="http://schemas.microsoft.com/office/drawing/2014/main" id="{00000000-0008-0000-0500-00002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5637" name="Button 37" hidden="1">
              <a:extLst>
                <a:ext uri="{63B3BB69-23CF-44E3-9099-C40C66FF867C}">
                  <a14:compatExt spid="_x0000_s25637"/>
                </a:ext>
                <a:ext uri="{FF2B5EF4-FFF2-40B4-BE49-F238E27FC236}">
                  <a16:creationId xmlns:a16="http://schemas.microsoft.com/office/drawing/2014/main" id="{00000000-0008-0000-0500-00002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5638" name="Button 38" hidden="1">
              <a:extLst>
                <a:ext uri="{63B3BB69-23CF-44E3-9099-C40C66FF867C}">
                  <a14:compatExt spid="_x0000_s25638"/>
                </a:ext>
                <a:ext uri="{FF2B5EF4-FFF2-40B4-BE49-F238E27FC236}">
                  <a16:creationId xmlns:a16="http://schemas.microsoft.com/office/drawing/2014/main" id="{00000000-0008-0000-0500-00002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5639" name="Button 39" hidden="1">
              <a:extLst>
                <a:ext uri="{63B3BB69-23CF-44E3-9099-C40C66FF867C}">
                  <a14:compatExt spid="_x0000_s25639"/>
                </a:ext>
                <a:ext uri="{FF2B5EF4-FFF2-40B4-BE49-F238E27FC236}">
                  <a16:creationId xmlns:a16="http://schemas.microsoft.com/office/drawing/2014/main" id="{00000000-0008-0000-0500-00002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5640" name="Button 40" hidden="1">
              <a:extLst>
                <a:ext uri="{63B3BB69-23CF-44E3-9099-C40C66FF867C}">
                  <a14:compatExt spid="_x0000_s25640"/>
                </a:ext>
                <a:ext uri="{FF2B5EF4-FFF2-40B4-BE49-F238E27FC236}">
                  <a16:creationId xmlns:a16="http://schemas.microsoft.com/office/drawing/2014/main" id="{00000000-0008-0000-0500-00002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5641" name="Button 41" hidden="1">
              <a:extLst>
                <a:ext uri="{63B3BB69-23CF-44E3-9099-C40C66FF867C}">
                  <a14:compatExt spid="_x0000_s25641"/>
                </a:ext>
                <a:ext uri="{FF2B5EF4-FFF2-40B4-BE49-F238E27FC236}">
                  <a16:creationId xmlns:a16="http://schemas.microsoft.com/office/drawing/2014/main" id="{00000000-0008-0000-0500-00002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5642" name="Button 42" hidden="1">
              <a:extLst>
                <a:ext uri="{63B3BB69-23CF-44E3-9099-C40C66FF867C}">
                  <a14:compatExt spid="_x0000_s25642"/>
                </a:ext>
                <a:ext uri="{FF2B5EF4-FFF2-40B4-BE49-F238E27FC236}">
                  <a16:creationId xmlns:a16="http://schemas.microsoft.com/office/drawing/2014/main" id="{00000000-0008-0000-0500-00002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5643" name="Button 43" hidden="1">
              <a:extLst>
                <a:ext uri="{63B3BB69-23CF-44E3-9099-C40C66FF867C}">
                  <a14:compatExt spid="_x0000_s25643"/>
                </a:ext>
                <a:ext uri="{FF2B5EF4-FFF2-40B4-BE49-F238E27FC236}">
                  <a16:creationId xmlns:a16="http://schemas.microsoft.com/office/drawing/2014/main" id="{00000000-0008-0000-0500-00002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5644" name="Button 44" hidden="1">
              <a:extLst>
                <a:ext uri="{63B3BB69-23CF-44E3-9099-C40C66FF867C}">
                  <a14:compatExt spid="_x0000_s25644"/>
                </a:ext>
                <a:ext uri="{FF2B5EF4-FFF2-40B4-BE49-F238E27FC236}">
                  <a16:creationId xmlns:a16="http://schemas.microsoft.com/office/drawing/2014/main" id="{00000000-0008-0000-0500-00002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5645" name="Button 45" hidden="1">
              <a:extLst>
                <a:ext uri="{63B3BB69-23CF-44E3-9099-C40C66FF867C}">
                  <a14:compatExt spid="_x0000_s25645"/>
                </a:ext>
                <a:ext uri="{FF2B5EF4-FFF2-40B4-BE49-F238E27FC236}">
                  <a16:creationId xmlns:a16="http://schemas.microsoft.com/office/drawing/2014/main" id="{00000000-0008-0000-0500-00002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5646" name="Button 46" hidden="1">
              <a:extLst>
                <a:ext uri="{63B3BB69-23CF-44E3-9099-C40C66FF867C}">
                  <a14:compatExt spid="_x0000_s25646"/>
                </a:ext>
                <a:ext uri="{FF2B5EF4-FFF2-40B4-BE49-F238E27FC236}">
                  <a16:creationId xmlns:a16="http://schemas.microsoft.com/office/drawing/2014/main" id="{00000000-0008-0000-0500-00002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5647" name="Button 47" hidden="1">
              <a:extLst>
                <a:ext uri="{63B3BB69-23CF-44E3-9099-C40C66FF867C}">
                  <a14:compatExt spid="_x0000_s25647"/>
                </a:ext>
                <a:ext uri="{FF2B5EF4-FFF2-40B4-BE49-F238E27FC236}">
                  <a16:creationId xmlns:a16="http://schemas.microsoft.com/office/drawing/2014/main" id="{00000000-0008-0000-0500-00002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5648" name="Button 48" hidden="1">
              <a:extLst>
                <a:ext uri="{63B3BB69-23CF-44E3-9099-C40C66FF867C}">
                  <a14:compatExt spid="_x0000_s25648"/>
                </a:ext>
                <a:ext uri="{FF2B5EF4-FFF2-40B4-BE49-F238E27FC236}">
                  <a16:creationId xmlns:a16="http://schemas.microsoft.com/office/drawing/2014/main" id="{00000000-0008-0000-0500-00003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5649" name="Button 49" hidden="1">
              <a:extLst>
                <a:ext uri="{63B3BB69-23CF-44E3-9099-C40C66FF867C}">
                  <a14:compatExt spid="_x0000_s25649"/>
                </a:ext>
                <a:ext uri="{FF2B5EF4-FFF2-40B4-BE49-F238E27FC236}">
                  <a16:creationId xmlns:a16="http://schemas.microsoft.com/office/drawing/2014/main" id="{00000000-0008-0000-0500-00003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5650" name="Button 50" hidden="1">
              <a:extLst>
                <a:ext uri="{63B3BB69-23CF-44E3-9099-C40C66FF867C}">
                  <a14:compatExt spid="_x0000_s25650"/>
                </a:ext>
                <a:ext uri="{FF2B5EF4-FFF2-40B4-BE49-F238E27FC236}">
                  <a16:creationId xmlns:a16="http://schemas.microsoft.com/office/drawing/2014/main" id="{00000000-0008-0000-0500-00003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5651" name="Button 51" hidden="1">
              <a:extLst>
                <a:ext uri="{63B3BB69-23CF-44E3-9099-C40C66FF867C}">
                  <a14:compatExt spid="_x0000_s25651"/>
                </a:ext>
                <a:ext uri="{FF2B5EF4-FFF2-40B4-BE49-F238E27FC236}">
                  <a16:creationId xmlns:a16="http://schemas.microsoft.com/office/drawing/2014/main" id="{00000000-0008-0000-0500-00003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5652" name="Button 52" hidden="1">
              <a:extLst>
                <a:ext uri="{63B3BB69-23CF-44E3-9099-C40C66FF867C}">
                  <a14:compatExt spid="_x0000_s25652"/>
                </a:ext>
                <a:ext uri="{FF2B5EF4-FFF2-40B4-BE49-F238E27FC236}">
                  <a16:creationId xmlns:a16="http://schemas.microsoft.com/office/drawing/2014/main" id="{00000000-0008-0000-0500-00003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5653" name="Button 53" hidden="1">
              <a:extLst>
                <a:ext uri="{63B3BB69-23CF-44E3-9099-C40C66FF867C}">
                  <a14:compatExt spid="_x0000_s25653"/>
                </a:ext>
                <a:ext uri="{FF2B5EF4-FFF2-40B4-BE49-F238E27FC236}">
                  <a16:creationId xmlns:a16="http://schemas.microsoft.com/office/drawing/2014/main" id="{00000000-0008-0000-0500-00003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5654" name="Button 54" hidden="1">
              <a:extLst>
                <a:ext uri="{63B3BB69-23CF-44E3-9099-C40C66FF867C}">
                  <a14:compatExt spid="_x0000_s25654"/>
                </a:ext>
                <a:ext uri="{FF2B5EF4-FFF2-40B4-BE49-F238E27FC236}">
                  <a16:creationId xmlns:a16="http://schemas.microsoft.com/office/drawing/2014/main" id="{00000000-0008-0000-0500-00003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5655" name="Button 55" hidden="1">
              <a:extLst>
                <a:ext uri="{63B3BB69-23CF-44E3-9099-C40C66FF867C}">
                  <a14:compatExt spid="_x0000_s25655"/>
                </a:ext>
                <a:ext uri="{FF2B5EF4-FFF2-40B4-BE49-F238E27FC236}">
                  <a16:creationId xmlns:a16="http://schemas.microsoft.com/office/drawing/2014/main" id="{00000000-0008-0000-0500-00003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5656" name="Button 56" hidden="1">
              <a:extLst>
                <a:ext uri="{63B3BB69-23CF-44E3-9099-C40C66FF867C}">
                  <a14:compatExt spid="_x0000_s25656"/>
                </a:ext>
                <a:ext uri="{FF2B5EF4-FFF2-40B4-BE49-F238E27FC236}">
                  <a16:creationId xmlns:a16="http://schemas.microsoft.com/office/drawing/2014/main" id="{00000000-0008-0000-0500-00003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5657" name="Button 57" hidden="1">
              <a:extLst>
                <a:ext uri="{63B3BB69-23CF-44E3-9099-C40C66FF867C}">
                  <a14:compatExt spid="_x0000_s25657"/>
                </a:ext>
                <a:ext uri="{FF2B5EF4-FFF2-40B4-BE49-F238E27FC236}">
                  <a16:creationId xmlns:a16="http://schemas.microsoft.com/office/drawing/2014/main" id="{00000000-0008-0000-0500-00003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5658" name="Button 58" hidden="1">
              <a:extLst>
                <a:ext uri="{63B3BB69-23CF-44E3-9099-C40C66FF867C}">
                  <a14:compatExt spid="_x0000_s25658"/>
                </a:ext>
                <a:ext uri="{FF2B5EF4-FFF2-40B4-BE49-F238E27FC236}">
                  <a16:creationId xmlns:a16="http://schemas.microsoft.com/office/drawing/2014/main" id="{00000000-0008-0000-0500-00003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5659" name="Button 59" hidden="1">
              <a:extLst>
                <a:ext uri="{63B3BB69-23CF-44E3-9099-C40C66FF867C}">
                  <a14:compatExt spid="_x0000_s25659"/>
                </a:ext>
                <a:ext uri="{FF2B5EF4-FFF2-40B4-BE49-F238E27FC236}">
                  <a16:creationId xmlns:a16="http://schemas.microsoft.com/office/drawing/2014/main" id="{00000000-0008-0000-0500-00003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5660" name="Button 60" hidden="1">
              <a:extLst>
                <a:ext uri="{63B3BB69-23CF-44E3-9099-C40C66FF867C}">
                  <a14:compatExt spid="_x0000_s25660"/>
                </a:ext>
                <a:ext uri="{FF2B5EF4-FFF2-40B4-BE49-F238E27FC236}">
                  <a16:creationId xmlns:a16="http://schemas.microsoft.com/office/drawing/2014/main" id="{00000000-0008-0000-0500-00003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5661" name="Button 61" hidden="1">
              <a:extLst>
                <a:ext uri="{63B3BB69-23CF-44E3-9099-C40C66FF867C}">
                  <a14:compatExt spid="_x0000_s25661"/>
                </a:ext>
                <a:ext uri="{FF2B5EF4-FFF2-40B4-BE49-F238E27FC236}">
                  <a16:creationId xmlns:a16="http://schemas.microsoft.com/office/drawing/2014/main" id="{00000000-0008-0000-0500-00003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5662" name="Button 62" hidden="1">
              <a:extLst>
                <a:ext uri="{63B3BB69-23CF-44E3-9099-C40C66FF867C}">
                  <a14:compatExt spid="_x0000_s25662"/>
                </a:ext>
                <a:ext uri="{FF2B5EF4-FFF2-40B4-BE49-F238E27FC236}">
                  <a16:creationId xmlns:a16="http://schemas.microsoft.com/office/drawing/2014/main" id="{00000000-0008-0000-0500-00003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5663" name="Button 63" hidden="1">
              <a:extLst>
                <a:ext uri="{63B3BB69-23CF-44E3-9099-C40C66FF867C}">
                  <a14:compatExt spid="_x0000_s25663"/>
                </a:ext>
                <a:ext uri="{FF2B5EF4-FFF2-40B4-BE49-F238E27FC236}">
                  <a16:creationId xmlns:a16="http://schemas.microsoft.com/office/drawing/2014/main" id="{00000000-0008-0000-0500-00003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5664" name="Button 64" hidden="1">
              <a:extLst>
                <a:ext uri="{63B3BB69-23CF-44E3-9099-C40C66FF867C}">
                  <a14:compatExt spid="_x0000_s25664"/>
                </a:ext>
                <a:ext uri="{FF2B5EF4-FFF2-40B4-BE49-F238E27FC236}">
                  <a16:creationId xmlns:a16="http://schemas.microsoft.com/office/drawing/2014/main" id="{00000000-0008-0000-0500-00004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5665" name="Button 65" hidden="1">
              <a:extLst>
                <a:ext uri="{63B3BB69-23CF-44E3-9099-C40C66FF867C}">
                  <a14:compatExt spid="_x0000_s25665"/>
                </a:ext>
                <a:ext uri="{FF2B5EF4-FFF2-40B4-BE49-F238E27FC236}">
                  <a16:creationId xmlns:a16="http://schemas.microsoft.com/office/drawing/2014/main" id="{00000000-0008-0000-0500-00004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5666" name="Button 66" hidden="1">
              <a:extLst>
                <a:ext uri="{63B3BB69-23CF-44E3-9099-C40C66FF867C}">
                  <a14:compatExt spid="_x0000_s25666"/>
                </a:ext>
                <a:ext uri="{FF2B5EF4-FFF2-40B4-BE49-F238E27FC236}">
                  <a16:creationId xmlns:a16="http://schemas.microsoft.com/office/drawing/2014/main" id="{00000000-0008-0000-0500-00004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5667" name="Button 67" hidden="1">
              <a:extLst>
                <a:ext uri="{63B3BB69-23CF-44E3-9099-C40C66FF867C}">
                  <a14:compatExt spid="_x0000_s25667"/>
                </a:ext>
                <a:ext uri="{FF2B5EF4-FFF2-40B4-BE49-F238E27FC236}">
                  <a16:creationId xmlns:a16="http://schemas.microsoft.com/office/drawing/2014/main" id="{00000000-0008-0000-0500-00004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5668" name="Button 68" hidden="1">
              <a:extLst>
                <a:ext uri="{63B3BB69-23CF-44E3-9099-C40C66FF867C}">
                  <a14:compatExt spid="_x0000_s25668"/>
                </a:ext>
                <a:ext uri="{FF2B5EF4-FFF2-40B4-BE49-F238E27FC236}">
                  <a16:creationId xmlns:a16="http://schemas.microsoft.com/office/drawing/2014/main" id="{00000000-0008-0000-0500-00004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5669" name="Button 69" hidden="1">
              <a:extLst>
                <a:ext uri="{63B3BB69-23CF-44E3-9099-C40C66FF867C}">
                  <a14:compatExt spid="_x0000_s25669"/>
                </a:ext>
                <a:ext uri="{FF2B5EF4-FFF2-40B4-BE49-F238E27FC236}">
                  <a16:creationId xmlns:a16="http://schemas.microsoft.com/office/drawing/2014/main" id="{00000000-0008-0000-0500-00004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5670" name="Button 70" hidden="1">
              <a:extLst>
                <a:ext uri="{63B3BB69-23CF-44E3-9099-C40C66FF867C}">
                  <a14:compatExt spid="_x0000_s25670"/>
                </a:ext>
                <a:ext uri="{FF2B5EF4-FFF2-40B4-BE49-F238E27FC236}">
                  <a16:creationId xmlns:a16="http://schemas.microsoft.com/office/drawing/2014/main" id="{00000000-0008-0000-0500-00004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5671" name="Button 71" hidden="1">
              <a:extLst>
                <a:ext uri="{63B3BB69-23CF-44E3-9099-C40C66FF867C}">
                  <a14:compatExt spid="_x0000_s25671"/>
                </a:ext>
                <a:ext uri="{FF2B5EF4-FFF2-40B4-BE49-F238E27FC236}">
                  <a16:creationId xmlns:a16="http://schemas.microsoft.com/office/drawing/2014/main" id="{00000000-0008-0000-0500-00004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5672" name="Button 72" hidden="1">
              <a:extLst>
                <a:ext uri="{63B3BB69-23CF-44E3-9099-C40C66FF867C}">
                  <a14:compatExt spid="_x0000_s25672"/>
                </a:ext>
                <a:ext uri="{FF2B5EF4-FFF2-40B4-BE49-F238E27FC236}">
                  <a16:creationId xmlns:a16="http://schemas.microsoft.com/office/drawing/2014/main" id="{00000000-0008-0000-0500-00004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5673" name="Button 73" hidden="1">
              <a:extLst>
                <a:ext uri="{63B3BB69-23CF-44E3-9099-C40C66FF867C}">
                  <a14:compatExt spid="_x0000_s25673"/>
                </a:ext>
                <a:ext uri="{FF2B5EF4-FFF2-40B4-BE49-F238E27FC236}">
                  <a16:creationId xmlns:a16="http://schemas.microsoft.com/office/drawing/2014/main" id="{00000000-0008-0000-0500-00004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5674" name="Button 74" hidden="1">
              <a:extLst>
                <a:ext uri="{63B3BB69-23CF-44E3-9099-C40C66FF867C}">
                  <a14:compatExt spid="_x0000_s25674"/>
                </a:ext>
                <a:ext uri="{FF2B5EF4-FFF2-40B4-BE49-F238E27FC236}">
                  <a16:creationId xmlns:a16="http://schemas.microsoft.com/office/drawing/2014/main" id="{00000000-0008-0000-0500-00004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5675" name="Button 75" hidden="1">
              <a:extLst>
                <a:ext uri="{63B3BB69-23CF-44E3-9099-C40C66FF867C}">
                  <a14:compatExt spid="_x0000_s25675"/>
                </a:ext>
                <a:ext uri="{FF2B5EF4-FFF2-40B4-BE49-F238E27FC236}">
                  <a16:creationId xmlns:a16="http://schemas.microsoft.com/office/drawing/2014/main" id="{00000000-0008-0000-0500-00004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5676" name="Button 76" hidden="1">
              <a:extLst>
                <a:ext uri="{63B3BB69-23CF-44E3-9099-C40C66FF867C}">
                  <a14:compatExt spid="_x0000_s25676"/>
                </a:ext>
                <a:ext uri="{FF2B5EF4-FFF2-40B4-BE49-F238E27FC236}">
                  <a16:creationId xmlns:a16="http://schemas.microsoft.com/office/drawing/2014/main" id="{00000000-0008-0000-0500-00004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5677" name="Button 77" hidden="1">
              <a:extLst>
                <a:ext uri="{63B3BB69-23CF-44E3-9099-C40C66FF867C}">
                  <a14:compatExt spid="_x0000_s25677"/>
                </a:ext>
                <a:ext uri="{FF2B5EF4-FFF2-40B4-BE49-F238E27FC236}">
                  <a16:creationId xmlns:a16="http://schemas.microsoft.com/office/drawing/2014/main" id="{00000000-0008-0000-0500-00004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5678" name="Button 78" hidden="1">
              <a:extLst>
                <a:ext uri="{63B3BB69-23CF-44E3-9099-C40C66FF867C}">
                  <a14:compatExt spid="_x0000_s25678"/>
                </a:ext>
                <a:ext uri="{FF2B5EF4-FFF2-40B4-BE49-F238E27FC236}">
                  <a16:creationId xmlns:a16="http://schemas.microsoft.com/office/drawing/2014/main" id="{00000000-0008-0000-0500-00004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5679" name="Button 79" hidden="1">
              <a:extLst>
                <a:ext uri="{63B3BB69-23CF-44E3-9099-C40C66FF867C}">
                  <a14:compatExt spid="_x0000_s25679"/>
                </a:ext>
                <a:ext uri="{FF2B5EF4-FFF2-40B4-BE49-F238E27FC236}">
                  <a16:creationId xmlns:a16="http://schemas.microsoft.com/office/drawing/2014/main" id="{00000000-0008-0000-0500-00004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5680" name="Button 80" hidden="1">
              <a:extLst>
                <a:ext uri="{63B3BB69-23CF-44E3-9099-C40C66FF867C}">
                  <a14:compatExt spid="_x0000_s25680"/>
                </a:ext>
                <a:ext uri="{FF2B5EF4-FFF2-40B4-BE49-F238E27FC236}">
                  <a16:creationId xmlns:a16="http://schemas.microsoft.com/office/drawing/2014/main" id="{00000000-0008-0000-0500-00005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5681" name="Button 81" hidden="1">
              <a:extLst>
                <a:ext uri="{63B3BB69-23CF-44E3-9099-C40C66FF867C}">
                  <a14:compatExt spid="_x0000_s25681"/>
                </a:ext>
                <a:ext uri="{FF2B5EF4-FFF2-40B4-BE49-F238E27FC236}">
                  <a16:creationId xmlns:a16="http://schemas.microsoft.com/office/drawing/2014/main" id="{00000000-0008-0000-0500-00005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5682" name="Button 82" hidden="1">
              <a:extLst>
                <a:ext uri="{63B3BB69-23CF-44E3-9099-C40C66FF867C}">
                  <a14:compatExt spid="_x0000_s25682"/>
                </a:ext>
                <a:ext uri="{FF2B5EF4-FFF2-40B4-BE49-F238E27FC236}">
                  <a16:creationId xmlns:a16="http://schemas.microsoft.com/office/drawing/2014/main" id="{00000000-0008-0000-0500-00005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5683" name="Button 83" hidden="1">
              <a:extLst>
                <a:ext uri="{63B3BB69-23CF-44E3-9099-C40C66FF867C}">
                  <a14:compatExt spid="_x0000_s25683"/>
                </a:ext>
                <a:ext uri="{FF2B5EF4-FFF2-40B4-BE49-F238E27FC236}">
                  <a16:creationId xmlns:a16="http://schemas.microsoft.com/office/drawing/2014/main" id="{00000000-0008-0000-0500-00005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5684" name="Button 84" hidden="1">
              <a:extLst>
                <a:ext uri="{63B3BB69-23CF-44E3-9099-C40C66FF867C}">
                  <a14:compatExt spid="_x0000_s25684"/>
                </a:ext>
                <a:ext uri="{FF2B5EF4-FFF2-40B4-BE49-F238E27FC236}">
                  <a16:creationId xmlns:a16="http://schemas.microsoft.com/office/drawing/2014/main" id="{00000000-0008-0000-0500-00005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5685" name="Button 85" hidden="1">
              <a:extLst>
                <a:ext uri="{63B3BB69-23CF-44E3-9099-C40C66FF867C}">
                  <a14:compatExt spid="_x0000_s25685"/>
                </a:ext>
                <a:ext uri="{FF2B5EF4-FFF2-40B4-BE49-F238E27FC236}">
                  <a16:creationId xmlns:a16="http://schemas.microsoft.com/office/drawing/2014/main" id="{00000000-0008-0000-0500-00005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5686" name="Button 86" hidden="1">
              <a:extLst>
                <a:ext uri="{63B3BB69-23CF-44E3-9099-C40C66FF867C}">
                  <a14:compatExt spid="_x0000_s25686"/>
                </a:ext>
                <a:ext uri="{FF2B5EF4-FFF2-40B4-BE49-F238E27FC236}">
                  <a16:creationId xmlns:a16="http://schemas.microsoft.com/office/drawing/2014/main" id="{00000000-0008-0000-0500-00005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5687" name="Button 87" hidden="1">
              <a:extLst>
                <a:ext uri="{63B3BB69-23CF-44E3-9099-C40C66FF867C}">
                  <a14:compatExt spid="_x0000_s25687"/>
                </a:ext>
                <a:ext uri="{FF2B5EF4-FFF2-40B4-BE49-F238E27FC236}">
                  <a16:creationId xmlns:a16="http://schemas.microsoft.com/office/drawing/2014/main" id="{00000000-0008-0000-0500-00005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5688" name="Button 88" hidden="1">
              <a:extLst>
                <a:ext uri="{63B3BB69-23CF-44E3-9099-C40C66FF867C}">
                  <a14:compatExt spid="_x0000_s25688"/>
                </a:ext>
                <a:ext uri="{FF2B5EF4-FFF2-40B4-BE49-F238E27FC236}">
                  <a16:creationId xmlns:a16="http://schemas.microsoft.com/office/drawing/2014/main" id="{00000000-0008-0000-0500-00005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5689" name="Button 89" hidden="1">
              <a:extLst>
                <a:ext uri="{63B3BB69-23CF-44E3-9099-C40C66FF867C}">
                  <a14:compatExt spid="_x0000_s25689"/>
                </a:ext>
                <a:ext uri="{FF2B5EF4-FFF2-40B4-BE49-F238E27FC236}">
                  <a16:creationId xmlns:a16="http://schemas.microsoft.com/office/drawing/2014/main" id="{00000000-0008-0000-0500-00005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5690" name="Button 90" hidden="1">
              <a:extLst>
                <a:ext uri="{63B3BB69-23CF-44E3-9099-C40C66FF867C}">
                  <a14:compatExt spid="_x0000_s25690"/>
                </a:ext>
                <a:ext uri="{FF2B5EF4-FFF2-40B4-BE49-F238E27FC236}">
                  <a16:creationId xmlns:a16="http://schemas.microsoft.com/office/drawing/2014/main" id="{00000000-0008-0000-0500-00005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5691" name="Button 91" hidden="1">
              <a:extLst>
                <a:ext uri="{63B3BB69-23CF-44E3-9099-C40C66FF867C}">
                  <a14:compatExt spid="_x0000_s25691"/>
                </a:ext>
                <a:ext uri="{FF2B5EF4-FFF2-40B4-BE49-F238E27FC236}">
                  <a16:creationId xmlns:a16="http://schemas.microsoft.com/office/drawing/2014/main" id="{00000000-0008-0000-0500-00005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5692" name="Button 92" hidden="1">
              <a:extLst>
                <a:ext uri="{63B3BB69-23CF-44E3-9099-C40C66FF867C}">
                  <a14:compatExt spid="_x0000_s25692"/>
                </a:ext>
                <a:ext uri="{FF2B5EF4-FFF2-40B4-BE49-F238E27FC236}">
                  <a16:creationId xmlns:a16="http://schemas.microsoft.com/office/drawing/2014/main" id="{00000000-0008-0000-0500-00005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5693" name="Button 93" hidden="1">
              <a:extLst>
                <a:ext uri="{63B3BB69-23CF-44E3-9099-C40C66FF867C}">
                  <a14:compatExt spid="_x0000_s25693"/>
                </a:ext>
                <a:ext uri="{FF2B5EF4-FFF2-40B4-BE49-F238E27FC236}">
                  <a16:creationId xmlns:a16="http://schemas.microsoft.com/office/drawing/2014/main" id="{00000000-0008-0000-0500-00005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5694" name="Button 94" hidden="1">
              <a:extLst>
                <a:ext uri="{63B3BB69-23CF-44E3-9099-C40C66FF867C}">
                  <a14:compatExt spid="_x0000_s25694"/>
                </a:ext>
                <a:ext uri="{FF2B5EF4-FFF2-40B4-BE49-F238E27FC236}">
                  <a16:creationId xmlns:a16="http://schemas.microsoft.com/office/drawing/2014/main" id="{00000000-0008-0000-0500-00005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5695" name="Button 95" hidden="1">
              <a:extLst>
                <a:ext uri="{63B3BB69-23CF-44E3-9099-C40C66FF867C}">
                  <a14:compatExt spid="_x0000_s25695"/>
                </a:ext>
                <a:ext uri="{FF2B5EF4-FFF2-40B4-BE49-F238E27FC236}">
                  <a16:creationId xmlns:a16="http://schemas.microsoft.com/office/drawing/2014/main" id="{00000000-0008-0000-0500-00005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5696" name="Button 96" hidden="1">
              <a:extLst>
                <a:ext uri="{63B3BB69-23CF-44E3-9099-C40C66FF867C}">
                  <a14:compatExt spid="_x0000_s25696"/>
                </a:ext>
                <a:ext uri="{FF2B5EF4-FFF2-40B4-BE49-F238E27FC236}">
                  <a16:creationId xmlns:a16="http://schemas.microsoft.com/office/drawing/2014/main" id="{00000000-0008-0000-0500-00006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5697" name="Button 97" hidden="1">
              <a:extLst>
                <a:ext uri="{63B3BB69-23CF-44E3-9099-C40C66FF867C}">
                  <a14:compatExt spid="_x0000_s25697"/>
                </a:ext>
                <a:ext uri="{FF2B5EF4-FFF2-40B4-BE49-F238E27FC236}">
                  <a16:creationId xmlns:a16="http://schemas.microsoft.com/office/drawing/2014/main" id="{00000000-0008-0000-0500-00006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5698" name="Button 98" hidden="1">
              <a:extLst>
                <a:ext uri="{63B3BB69-23CF-44E3-9099-C40C66FF867C}">
                  <a14:compatExt spid="_x0000_s25698"/>
                </a:ext>
                <a:ext uri="{FF2B5EF4-FFF2-40B4-BE49-F238E27FC236}">
                  <a16:creationId xmlns:a16="http://schemas.microsoft.com/office/drawing/2014/main" id="{00000000-0008-0000-0500-00006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5699" name="Button 99" hidden="1">
              <a:extLst>
                <a:ext uri="{63B3BB69-23CF-44E3-9099-C40C66FF867C}">
                  <a14:compatExt spid="_x0000_s25699"/>
                </a:ext>
                <a:ext uri="{FF2B5EF4-FFF2-40B4-BE49-F238E27FC236}">
                  <a16:creationId xmlns:a16="http://schemas.microsoft.com/office/drawing/2014/main" id="{00000000-0008-0000-0500-00006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5700" name="Button 100" hidden="1">
              <a:extLst>
                <a:ext uri="{63B3BB69-23CF-44E3-9099-C40C66FF867C}">
                  <a14:compatExt spid="_x0000_s25700"/>
                </a:ext>
                <a:ext uri="{FF2B5EF4-FFF2-40B4-BE49-F238E27FC236}">
                  <a16:creationId xmlns:a16="http://schemas.microsoft.com/office/drawing/2014/main" id="{00000000-0008-0000-0500-00006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5701" name="Button 101" hidden="1">
              <a:extLst>
                <a:ext uri="{63B3BB69-23CF-44E3-9099-C40C66FF867C}">
                  <a14:compatExt spid="_x0000_s25701"/>
                </a:ext>
                <a:ext uri="{FF2B5EF4-FFF2-40B4-BE49-F238E27FC236}">
                  <a16:creationId xmlns:a16="http://schemas.microsoft.com/office/drawing/2014/main" id="{00000000-0008-0000-0500-00006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5702" name="Button 102" hidden="1">
              <a:extLst>
                <a:ext uri="{63B3BB69-23CF-44E3-9099-C40C66FF867C}">
                  <a14:compatExt spid="_x0000_s25702"/>
                </a:ext>
                <a:ext uri="{FF2B5EF4-FFF2-40B4-BE49-F238E27FC236}">
                  <a16:creationId xmlns:a16="http://schemas.microsoft.com/office/drawing/2014/main" id="{00000000-0008-0000-0500-00006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5703" name="Button 103" hidden="1">
              <a:extLst>
                <a:ext uri="{63B3BB69-23CF-44E3-9099-C40C66FF867C}">
                  <a14:compatExt spid="_x0000_s25703"/>
                </a:ext>
                <a:ext uri="{FF2B5EF4-FFF2-40B4-BE49-F238E27FC236}">
                  <a16:creationId xmlns:a16="http://schemas.microsoft.com/office/drawing/2014/main" id="{00000000-0008-0000-0500-00006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5704" name="Button 104" hidden="1">
              <a:extLst>
                <a:ext uri="{63B3BB69-23CF-44E3-9099-C40C66FF867C}">
                  <a14:compatExt spid="_x0000_s25704"/>
                </a:ext>
                <a:ext uri="{FF2B5EF4-FFF2-40B4-BE49-F238E27FC236}">
                  <a16:creationId xmlns:a16="http://schemas.microsoft.com/office/drawing/2014/main" id="{00000000-0008-0000-0500-00006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5705" name="Button 105" hidden="1">
              <a:extLst>
                <a:ext uri="{63B3BB69-23CF-44E3-9099-C40C66FF867C}">
                  <a14:compatExt spid="_x0000_s25705"/>
                </a:ext>
                <a:ext uri="{FF2B5EF4-FFF2-40B4-BE49-F238E27FC236}">
                  <a16:creationId xmlns:a16="http://schemas.microsoft.com/office/drawing/2014/main" id="{00000000-0008-0000-0500-00006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5706" name="Button 106" hidden="1">
              <a:extLst>
                <a:ext uri="{63B3BB69-23CF-44E3-9099-C40C66FF867C}">
                  <a14:compatExt spid="_x0000_s25706"/>
                </a:ext>
                <a:ext uri="{FF2B5EF4-FFF2-40B4-BE49-F238E27FC236}">
                  <a16:creationId xmlns:a16="http://schemas.microsoft.com/office/drawing/2014/main" id="{00000000-0008-0000-0500-00006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5707" name="Button 107" hidden="1">
              <a:extLst>
                <a:ext uri="{63B3BB69-23CF-44E3-9099-C40C66FF867C}">
                  <a14:compatExt spid="_x0000_s25707"/>
                </a:ext>
                <a:ext uri="{FF2B5EF4-FFF2-40B4-BE49-F238E27FC236}">
                  <a16:creationId xmlns:a16="http://schemas.microsoft.com/office/drawing/2014/main" id="{00000000-0008-0000-0500-00006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5708" name="Button 108" hidden="1">
              <a:extLst>
                <a:ext uri="{63B3BB69-23CF-44E3-9099-C40C66FF867C}">
                  <a14:compatExt spid="_x0000_s25708"/>
                </a:ext>
                <a:ext uri="{FF2B5EF4-FFF2-40B4-BE49-F238E27FC236}">
                  <a16:creationId xmlns:a16="http://schemas.microsoft.com/office/drawing/2014/main" id="{00000000-0008-0000-0500-00006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5709" name="Button 109" hidden="1">
              <a:extLst>
                <a:ext uri="{63B3BB69-23CF-44E3-9099-C40C66FF867C}">
                  <a14:compatExt spid="_x0000_s25709"/>
                </a:ext>
                <a:ext uri="{FF2B5EF4-FFF2-40B4-BE49-F238E27FC236}">
                  <a16:creationId xmlns:a16="http://schemas.microsoft.com/office/drawing/2014/main" id="{00000000-0008-0000-0500-00006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5710" name="Button 110" hidden="1">
              <a:extLst>
                <a:ext uri="{63B3BB69-23CF-44E3-9099-C40C66FF867C}">
                  <a14:compatExt spid="_x0000_s25710"/>
                </a:ext>
                <a:ext uri="{FF2B5EF4-FFF2-40B4-BE49-F238E27FC236}">
                  <a16:creationId xmlns:a16="http://schemas.microsoft.com/office/drawing/2014/main" id="{00000000-0008-0000-0500-00006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5711" name="Button 111" hidden="1">
              <a:extLst>
                <a:ext uri="{63B3BB69-23CF-44E3-9099-C40C66FF867C}">
                  <a14:compatExt spid="_x0000_s25711"/>
                </a:ext>
                <a:ext uri="{FF2B5EF4-FFF2-40B4-BE49-F238E27FC236}">
                  <a16:creationId xmlns:a16="http://schemas.microsoft.com/office/drawing/2014/main" id="{00000000-0008-0000-0500-00006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5712" name="Button 112" hidden="1">
              <a:extLst>
                <a:ext uri="{63B3BB69-23CF-44E3-9099-C40C66FF867C}">
                  <a14:compatExt spid="_x0000_s25712"/>
                </a:ext>
                <a:ext uri="{FF2B5EF4-FFF2-40B4-BE49-F238E27FC236}">
                  <a16:creationId xmlns:a16="http://schemas.microsoft.com/office/drawing/2014/main" id="{00000000-0008-0000-0500-00007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5713" name="Button 113" hidden="1">
              <a:extLst>
                <a:ext uri="{63B3BB69-23CF-44E3-9099-C40C66FF867C}">
                  <a14:compatExt spid="_x0000_s25713"/>
                </a:ext>
                <a:ext uri="{FF2B5EF4-FFF2-40B4-BE49-F238E27FC236}">
                  <a16:creationId xmlns:a16="http://schemas.microsoft.com/office/drawing/2014/main" id="{00000000-0008-0000-0500-00007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5714" name="Button 114" hidden="1">
              <a:extLst>
                <a:ext uri="{63B3BB69-23CF-44E3-9099-C40C66FF867C}">
                  <a14:compatExt spid="_x0000_s25714"/>
                </a:ext>
                <a:ext uri="{FF2B5EF4-FFF2-40B4-BE49-F238E27FC236}">
                  <a16:creationId xmlns:a16="http://schemas.microsoft.com/office/drawing/2014/main" id="{00000000-0008-0000-0500-00007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5715" name="Button 115" hidden="1">
              <a:extLst>
                <a:ext uri="{63B3BB69-23CF-44E3-9099-C40C66FF867C}">
                  <a14:compatExt spid="_x0000_s25715"/>
                </a:ext>
                <a:ext uri="{FF2B5EF4-FFF2-40B4-BE49-F238E27FC236}">
                  <a16:creationId xmlns:a16="http://schemas.microsoft.com/office/drawing/2014/main" id="{00000000-0008-0000-0500-00007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5716" name="Button 116" hidden="1">
              <a:extLst>
                <a:ext uri="{63B3BB69-23CF-44E3-9099-C40C66FF867C}">
                  <a14:compatExt spid="_x0000_s25716"/>
                </a:ext>
                <a:ext uri="{FF2B5EF4-FFF2-40B4-BE49-F238E27FC236}">
                  <a16:creationId xmlns:a16="http://schemas.microsoft.com/office/drawing/2014/main" id="{00000000-0008-0000-0500-00007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5717" name="Button 117" hidden="1">
              <a:extLst>
                <a:ext uri="{63B3BB69-23CF-44E3-9099-C40C66FF867C}">
                  <a14:compatExt spid="_x0000_s25717"/>
                </a:ext>
                <a:ext uri="{FF2B5EF4-FFF2-40B4-BE49-F238E27FC236}">
                  <a16:creationId xmlns:a16="http://schemas.microsoft.com/office/drawing/2014/main" id="{00000000-0008-0000-0500-00007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5718" name="Button 118" hidden="1">
              <a:extLst>
                <a:ext uri="{63B3BB69-23CF-44E3-9099-C40C66FF867C}">
                  <a14:compatExt spid="_x0000_s25718"/>
                </a:ext>
                <a:ext uri="{FF2B5EF4-FFF2-40B4-BE49-F238E27FC236}">
                  <a16:creationId xmlns:a16="http://schemas.microsoft.com/office/drawing/2014/main" id="{00000000-0008-0000-0500-00007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5719" name="Button 119" hidden="1">
              <a:extLst>
                <a:ext uri="{63B3BB69-23CF-44E3-9099-C40C66FF867C}">
                  <a14:compatExt spid="_x0000_s25719"/>
                </a:ext>
                <a:ext uri="{FF2B5EF4-FFF2-40B4-BE49-F238E27FC236}">
                  <a16:creationId xmlns:a16="http://schemas.microsoft.com/office/drawing/2014/main" id="{00000000-0008-0000-0500-00007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5720" name="Button 120" hidden="1">
              <a:extLst>
                <a:ext uri="{63B3BB69-23CF-44E3-9099-C40C66FF867C}">
                  <a14:compatExt spid="_x0000_s25720"/>
                </a:ext>
                <a:ext uri="{FF2B5EF4-FFF2-40B4-BE49-F238E27FC236}">
                  <a16:creationId xmlns:a16="http://schemas.microsoft.com/office/drawing/2014/main" id="{00000000-0008-0000-0500-00007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5721" name="Button 121" hidden="1">
              <a:extLst>
                <a:ext uri="{63B3BB69-23CF-44E3-9099-C40C66FF867C}">
                  <a14:compatExt spid="_x0000_s25721"/>
                </a:ext>
                <a:ext uri="{FF2B5EF4-FFF2-40B4-BE49-F238E27FC236}">
                  <a16:creationId xmlns:a16="http://schemas.microsoft.com/office/drawing/2014/main" id="{00000000-0008-0000-0500-00007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5722" name="Button 122" hidden="1">
              <a:extLst>
                <a:ext uri="{63B3BB69-23CF-44E3-9099-C40C66FF867C}">
                  <a14:compatExt spid="_x0000_s25722"/>
                </a:ext>
                <a:ext uri="{FF2B5EF4-FFF2-40B4-BE49-F238E27FC236}">
                  <a16:creationId xmlns:a16="http://schemas.microsoft.com/office/drawing/2014/main" id="{00000000-0008-0000-0500-00007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5723" name="Button 123" hidden="1">
              <a:extLst>
                <a:ext uri="{63B3BB69-23CF-44E3-9099-C40C66FF867C}">
                  <a14:compatExt spid="_x0000_s25723"/>
                </a:ext>
                <a:ext uri="{FF2B5EF4-FFF2-40B4-BE49-F238E27FC236}">
                  <a16:creationId xmlns:a16="http://schemas.microsoft.com/office/drawing/2014/main" id="{00000000-0008-0000-0500-00007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5724" name="Button 124" hidden="1">
              <a:extLst>
                <a:ext uri="{63B3BB69-23CF-44E3-9099-C40C66FF867C}">
                  <a14:compatExt spid="_x0000_s25724"/>
                </a:ext>
                <a:ext uri="{FF2B5EF4-FFF2-40B4-BE49-F238E27FC236}">
                  <a16:creationId xmlns:a16="http://schemas.microsoft.com/office/drawing/2014/main" id="{00000000-0008-0000-0500-00007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5725" name="Button 125" hidden="1">
              <a:extLst>
                <a:ext uri="{63B3BB69-23CF-44E3-9099-C40C66FF867C}">
                  <a14:compatExt spid="_x0000_s25725"/>
                </a:ext>
                <a:ext uri="{FF2B5EF4-FFF2-40B4-BE49-F238E27FC236}">
                  <a16:creationId xmlns:a16="http://schemas.microsoft.com/office/drawing/2014/main" id="{00000000-0008-0000-0500-00007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5726" name="Button 126" hidden="1">
              <a:extLst>
                <a:ext uri="{63B3BB69-23CF-44E3-9099-C40C66FF867C}">
                  <a14:compatExt spid="_x0000_s25726"/>
                </a:ext>
                <a:ext uri="{FF2B5EF4-FFF2-40B4-BE49-F238E27FC236}">
                  <a16:creationId xmlns:a16="http://schemas.microsoft.com/office/drawing/2014/main" id="{00000000-0008-0000-0500-00007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5727" name="Button 127" hidden="1">
              <a:extLst>
                <a:ext uri="{63B3BB69-23CF-44E3-9099-C40C66FF867C}">
                  <a14:compatExt spid="_x0000_s25727"/>
                </a:ext>
                <a:ext uri="{FF2B5EF4-FFF2-40B4-BE49-F238E27FC236}">
                  <a16:creationId xmlns:a16="http://schemas.microsoft.com/office/drawing/2014/main" id="{00000000-0008-0000-0500-00007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5728" name="Button 128" hidden="1">
              <a:extLst>
                <a:ext uri="{63B3BB69-23CF-44E3-9099-C40C66FF867C}">
                  <a14:compatExt spid="_x0000_s25728"/>
                </a:ext>
                <a:ext uri="{FF2B5EF4-FFF2-40B4-BE49-F238E27FC236}">
                  <a16:creationId xmlns:a16="http://schemas.microsoft.com/office/drawing/2014/main" id="{00000000-0008-0000-0500-00008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5729" name="Button 129" hidden="1">
              <a:extLst>
                <a:ext uri="{63B3BB69-23CF-44E3-9099-C40C66FF867C}">
                  <a14:compatExt spid="_x0000_s25729"/>
                </a:ext>
                <a:ext uri="{FF2B5EF4-FFF2-40B4-BE49-F238E27FC236}">
                  <a16:creationId xmlns:a16="http://schemas.microsoft.com/office/drawing/2014/main" id="{00000000-0008-0000-0500-00008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5730" name="Button 130" hidden="1">
              <a:extLst>
                <a:ext uri="{63B3BB69-23CF-44E3-9099-C40C66FF867C}">
                  <a14:compatExt spid="_x0000_s25730"/>
                </a:ext>
                <a:ext uri="{FF2B5EF4-FFF2-40B4-BE49-F238E27FC236}">
                  <a16:creationId xmlns:a16="http://schemas.microsoft.com/office/drawing/2014/main" id="{00000000-0008-0000-0500-00008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5731" name="Button 131" hidden="1">
              <a:extLst>
                <a:ext uri="{63B3BB69-23CF-44E3-9099-C40C66FF867C}">
                  <a14:compatExt spid="_x0000_s25731"/>
                </a:ext>
                <a:ext uri="{FF2B5EF4-FFF2-40B4-BE49-F238E27FC236}">
                  <a16:creationId xmlns:a16="http://schemas.microsoft.com/office/drawing/2014/main" id="{00000000-0008-0000-0500-00008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5732" name="Button 132" hidden="1">
              <a:extLst>
                <a:ext uri="{63B3BB69-23CF-44E3-9099-C40C66FF867C}">
                  <a14:compatExt spid="_x0000_s25732"/>
                </a:ext>
                <a:ext uri="{FF2B5EF4-FFF2-40B4-BE49-F238E27FC236}">
                  <a16:creationId xmlns:a16="http://schemas.microsoft.com/office/drawing/2014/main" id="{00000000-0008-0000-0500-00008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5733" name="Button 133" hidden="1">
              <a:extLst>
                <a:ext uri="{63B3BB69-23CF-44E3-9099-C40C66FF867C}">
                  <a14:compatExt spid="_x0000_s25733"/>
                </a:ext>
                <a:ext uri="{FF2B5EF4-FFF2-40B4-BE49-F238E27FC236}">
                  <a16:creationId xmlns:a16="http://schemas.microsoft.com/office/drawing/2014/main" id="{00000000-0008-0000-0500-00008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5734" name="Button 134" hidden="1">
              <a:extLst>
                <a:ext uri="{63B3BB69-23CF-44E3-9099-C40C66FF867C}">
                  <a14:compatExt spid="_x0000_s25734"/>
                </a:ext>
                <a:ext uri="{FF2B5EF4-FFF2-40B4-BE49-F238E27FC236}">
                  <a16:creationId xmlns:a16="http://schemas.microsoft.com/office/drawing/2014/main" id="{00000000-0008-0000-0500-00008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5735" name="Button 135" hidden="1">
              <a:extLst>
                <a:ext uri="{63B3BB69-23CF-44E3-9099-C40C66FF867C}">
                  <a14:compatExt spid="_x0000_s25735"/>
                </a:ext>
                <a:ext uri="{FF2B5EF4-FFF2-40B4-BE49-F238E27FC236}">
                  <a16:creationId xmlns:a16="http://schemas.microsoft.com/office/drawing/2014/main" id="{00000000-0008-0000-0500-00008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5736" name="Button 136" hidden="1">
              <a:extLst>
                <a:ext uri="{63B3BB69-23CF-44E3-9099-C40C66FF867C}">
                  <a14:compatExt spid="_x0000_s25736"/>
                </a:ext>
                <a:ext uri="{FF2B5EF4-FFF2-40B4-BE49-F238E27FC236}">
                  <a16:creationId xmlns:a16="http://schemas.microsoft.com/office/drawing/2014/main" id="{00000000-0008-0000-0500-00008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5737" name="Button 137" hidden="1">
              <a:extLst>
                <a:ext uri="{63B3BB69-23CF-44E3-9099-C40C66FF867C}">
                  <a14:compatExt spid="_x0000_s25737"/>
                </a:ext>
                <a:ext uri="{FF2B5EF4-FFF2-40B4-BE49-F238E27FC236}">
                  <a16:creationId xmlns:a16="http://schemas.microsoft.com/office/drawing/2014/main" id="{00000000-0008-0000-0500-00008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5738" name="Button 138" hidden="1">
              <a:extLst>
                <a:ext uri="{63B3BB69-23CF-44E3-9099-C40C66FF867C}">
                  <a14:compatExt spid="_x0000_s25738"/>
                </a:ext>
                <a:ext uri="{FF2B5EF4-FFF2-40B4-BE49-F238E27FC236}">
                  <a16:creationId xmlns:a16="http://schemas.microsoft.com/office/drawing/2014/main" id="{00000000-0008-0000-0500-00008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5739" name="Button 139" hidden="1">
              <a:extLst>
                <a:ext uri="{63B3BB69-23CF-44E3-9099-C40C66FF867C}">
                  <a14:compatExt spid="_x0000_s25739"/>
                </a:ext>
                <a:ext uri="{FF2B5EF4-FFF2-40B4-BE49-F238E27FC236}">
                  <a16:creationId xmlns:a16="http://schemas.microsoft.com/office/drawing/2014/main" id="{00000000-0008-0000-0500-00008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5740" name="Button 140" hidden="1">
              <a:extLst>
                <a:ext uri="{63B3BB69-23CF-44E3-9099-C40C66FF867C}">
                  <a14:compatExt spid="_x0000_s25740"/>
                </a:ext>
                <a:ext uri="{FF2B5EF4-FFF2-40B4-BE49-F238E27FC236}">
                  <a16:creationId xmlns:a16="http://schemas.microsoft.com/office/drawing/2014/main" id="{00000000-0008-0000-0500-00008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6628" name="Button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6629" name="Button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6630" name="Button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6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6631" name="Button 7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id="{00000000-0008-0000-06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6632" name="Button 8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id="{00000000-0008-0000-06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6633" name="Button 9" hidden="1">
              <a:extLst>
                <a:ext uri="{63B3BB69-23CF-44E3-9099-C40C66FF867C}">
                  <a14:compatExt spid="_x0000_s26633"/>
                </a:ext>
                <a:ext uri="{FF2B5EF4-FFF2-40B4-BE49-F238E27FC236}">
                  <a16:creationId xmlns:a16="http://schemas.microsoft.com/office/drawing/2014/main" id="{00000000-0008-0000-0600-00000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6634" name="Button 10" hidden="1">
              <a:extLst>
                <a:ext uri="{63B3BB69-23CF-44E3-9099-C40C66FF867C}">
                  <a14:compatExt spid="_x0000_s26634"/>
                </a:ext>
                <a:ext uri="{FF2B5EF4-FFF2-40B4-BE49-F238E27FC236}">
                  <a16:creationId xmlns:a16="http://schemas.microsoft.com/office/drawing/2014/main" id="{00000000-0008-0000-0600-00000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6635" name="Button 11" hidden="1">
              <a:extLst>
                <a:ext uri="{63B3BB69-23CF-44E3-9099-C40C66FF867C}">
                  <a14:compatExt spid="_x0000_s26635"/>
                </a:ext>
                <a:ext uri="{FF2B5EF4-FFF2-40B4-BE49-F238E27FC236}">
                  <a16:creationId xmlns:a16="http://schemas.microsoft.com/office/drawing/2014/main" id="{00000000-0008-0000-0600-00000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6636" name="Button 12" hidden="1">
              <a:extLst>
                <a:ext uri="{63B3BB69-23CF-44E3-9099-C40C66FF867C}">
                  <a14:compatExt spid="_x0000_s26636"/>
                </a:ext>
                <a:ext uri="{FF2B5EF4-FFF2-40B4-BE49-F238E27FC236}">
                  <a16:creationId xmlns:a16="http://schemas.microsoft.com/office/drawing/2014/main" id="{00000000-0008-0000-0600-00000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6637" name="Button 13" hidden="1">
              <a:extLst>
                <a:ext uri="{63B3BB69-23CF-44E3-9099-C40C66FF867C}">
                  <a14:compatExt spid="_x0000_s26637"/>
                </a:ext>
                <a:ext uri="{FF2B5EF4-FFF2-40B4-BE49-F238E27FC236}">
                  <a16:creationId xmlns:a16="http://schemas.microsoft.com/office/drawing/2014/main" id="{00000000-0008-0000-0600-00000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6638" name="Button 14" hidden="1">
              <a:extLst>
                <a:ext uri="{63B3BB69-23CF-44E3-9099-C40C66FF867C}">
                  <a14:compatExt spid="_x0000_s26638"/>
                </a:ext>
                <a:ext uri="{FF2B5EF4-FFF2-40B4-BE49-F238E27FC236}">
                  <a16:creationId xmlns:a16="http://schemas.microsoft.com/office/drawing/2014/main" id="{00000000-0008-0000-0600-00000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6639" name="Button 15" hidden="1">
              <a:extLst>
                <a:ext uri="{63B3BB69-23CF-44E3-9099-C40C66FF867C}">
                  <a14:compatExt spid="_x0000_s26639"/>
                </a:ext>
                <a:ext uri="{FF2B5EF4-FFF2-40B4-BE49-F238E27FC236}">
                  <a16:creationId xmlns:a16="http://schemas.microsoft.com/office/drawing/2014/main" id="{00000000-0008-0000-0600-00000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6640" name="Button 16" hidden="1">
              <a:extLst>
                <a:ext uri="{63B3BB69-23CF-44E3-9099-C40C66FF867C}">
                  <a14:compatExt spid="_x0000_s26640"/>
                </a:ext>
                <a:ext uri="{FF2B5EF4-FFF2-40B4-BE49-F238E27FC236}">
                  <a16:creationId xmlns:a16="http://schemas.microsoft.com/office/drawing/2014/main" id="{00000000-0008-0000-0600-00001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6641" name="Button 17" hidden="1">
              <a:extLst>
                <a:ext uri="{63B3BB69-23CF-44E3-9099-C40C66FF867C}">
                  <a14:compatExt spid="_x0000_s26641"/>
                </a:ext>
                <a:ext uri="{FF2B5EF4-FFF2-40B4-BE49-F238E27FC236}">
                  <a16:creationId xmlns:a16="http://schemas.microsoft.com/office/drawing/2014/main" id="{00000000-0008-0000-0600-00001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6642" name="Button 18" hidden="1">
              <a:extLst>
                <a:ext uri="{63B3BB69-23CF-44E3-9099-C40C66FF867C}">
                  <a14:compatExt spid="_x0000_s26642"/>
                </a:ext>
                <a:ext uri="{FF2B5EF4-FFF2-40B4-BE49-F238E27FC236}">
                  <a16:creationId xmlns:a16="http://schemas.microsoft.com/office/drawing/2014/main" id="{00000000-0008-0000-0600-00001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6643" name="Button 19" hidden="1">
              <a:extLst>
                <a:ext uri="{63B3BB69-23CF-44E3-9099-C40C66FF867C}">
                  <a14:compatExt spid="_x0000_s26643"/>
                </a:ext>
                <a:ext uri="{FF2B5EF4-FFF2-40B4-BE49-F238E27FC236}">
                  <a16:creationId xmlns:a16="http://schemas.microsoft.com/office/drawing/2014/main" id="{00000000-0008-0000-0600-00001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6644" name="Button 20" hidden="1">
              <a:extLst>
                <a:ext uri="{63B3BB69-23CF-44E3-9099-C40C66FF867C}">
                  <a14:compatExt spid="_x0000_s26644"/>
                </a:ext>
                <a:ext uri="{FF2B5EF4-FFF2-40B4-BE49-F238E27FC236}">
                  <a16:creationId xmlns:a16="http://schemas.microsoft.com/office/drawing/2014/main" id="{00000000-0008-0000-0600-00001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6645" name="Button 21" hidden="1">
              <a:extLst>
                <a:ext uri="{63B3BB69-23CF-44E3-9099-C40C66FF867C}">
                  <a14:compatExt spid="_x0000_s26645"/>
                </a:ext>
                <a:ext uri="{FF2B5EF4-FFF2-40B4-BE49-F238E27FC236}">
                  <a16:creationId xmlns:a16="http://schemas.microsoft.com/office/drawing/2014/main" id="{00000000-0008-0000-0600-00001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6646" name="Button 22" hidden="1">
              <a:extLst>
                <a:ext uri="{63B3BB69-23CF-44E3-9099-C40C66FF867C}">
                  <a14:compatExt spid="_x0000_s26646"/>
                </a:ext>
                <a:ext uri="{FF2B5EF4-FFF2-40B4-BE49-F238E27FC236}">
                  <a16:creationId xmlns:a16="http://schemas.microsoft.com/office/drawing/2014/main" id="{00000000-0008-0000-0600-00001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6647" name="Button 23" hidden="1">
              <a:extLst>
                <a:ext uri="{63B3BB69-23CF-44E3-9099-C40C66FF867C}">
                  <a14:compatExt spid="_x0000_s26647"/>
                </a:ext>
                <a:ext uri="{FF2B5EF4-FFF2-40B4-BE49-F238E27FC236}">
                  <a16:creationId xmlns:a16="http://schemas.microsoft.com/office/drawing/2014/main" id="{00000000-0008-0000-0600-00001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6648" name="Button 24" hidden="1">
              <a:extLst>
                <a:ext uri="{63B3BB69-23CF-44E3-9099-C40C66FF867C}">
                  <a14:compatExt spid="_x0000_s26648"/>
                </a:ext>
                <a:ext uri="{FF2B5EF4-FFF2-40B4-BE49-F238E27FC236}">
                  <a16:creationId xmlns:a16="http://schemas.microsoft.com/office/drawing/2014/main" id="{00000000-0008-0000-0600-00001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6649" name="Button 25" hidden="1">
              <a:extLst>
                <a:ext uri="{63B3BB69-23CF-44E3-9099-C40C66FF867C}">
                  <a14:compatExt spid="_x0000_s26649"/>
                </a:ext>
                <a:ext uri="{FF2B5EF4-FFF2-40B4-BE49-F238E27FC236}">
                  <a16:creationId xmlns:a16="http://schemas.microsoft.com/office/drawing/2014/main" id="{00000000-0008-0000-0600-00001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6650" name="Button 26" hidden="1">
              <a:extLst>
                <a:ext uri="{63B3BB69-23CF-44E3-9099-C40C66FF867C}">
                  <a14:compatExt spid="_x0000_s26650"/>
                </a:ext>
                <a:ext uri="{FF2B5EF4-FFF2-40B4-BE49-F238E27FC236}">
                  <a16:creationId xmlns:a16="http://schemas.microsoft.com/office/drawing/2014/main" id="{00000000-0008-0000-0600-00001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6651" name="Button 27" hidden="1">
              <a:extLst>
                <a:ext uri="{63B3BB69-23CF-44E3-9099-C40C66FF867C}">
                  <a14:compatExt spid="_x0000_s26651"/>
                </a:ext>
                <a:ext uri="{FF2B5EF4-FFF2-40B4-BE49-F238E27FC236}">
                  <a16:creationId xmlns:a16="http://schemas.microsoft.com/office/drawing/2014/main" id="{00000000-0008-0000-0600-00001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6652" name="Button 28" hidden="1">
              <a:extLst>
                <a:ext uri="{63B3BB69-23CF-44E3-9099-C40C66FF867C}">
                  <a14:compatExt spid="_x0000_s26652"/>
                </a:ext>
                <a:ext uri="{FF2B5EF4-FFF2-40B4-BE49-F238E27FC236}">
                  <a16:creationId xmlns:a16="http://schemas.microsoft.com/office/drawing/2014/main" id="{00000000-0008-0000-0600-00001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6653" name="Button 29" hidden="1">
              <a:extLst>
                <a:ext uri="{63B3BB69-23CF-44E3-9099-C40C66FF867C}">
                  <a14:compatExt spid="_x0000_s26653"/>
                </a:ext>
                <a:ext uri="{FF2B5EF4-FFF2-40B4-BE49-F238E27FC236}">
                  <a16:creationId xmlns:a16="http://schemas.microsoft.com/office/drawing/2014/main" id="{00000000-0008-0000-0600-00001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6654" name="Button 30" hidden="1">
              <a:extLst>
                <a:ext uri="{63B3BB69-23CF-44E3-9099-C40C66FF867C}">
                  <a14:compatExt spid="_x0000_s26654"/>
                </a:ext>
                <a:ext uri="{FF2B5EF4-FFF2-40B4-BE49-F238E27FC236}">
                  <a16:creationId xmlns:a16="http://schemas.microsoft.com/office/drawing/2014/main" id="{00000000-0008-0000-0600-00001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6655" name="Button 31" hidden="1">
              <a:extLst>
                <a:ext uri="{63B3BB69-23CF-44E3-9099-C40C66FF867C}">
                  <a14:compatExt spid="_x0000_s26655"/>
                </a:ext>
                <a:ext uri="{FF2B5EF4-FFF2-40B4-BE49-F238E27FC236}">
                  <a16:creationId xmlns:a16="http://schemas.microsoft.com/office/drawing/2014/main" id="{00000000-0008-0000-0600-00001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6656" name="Button 32" hidden="1">
              <a:extLst>
                <a:ext uri="{63B3BB69-23CF-44E3-9099-C40C66FF867C}">
                  <a14:compatExt spid="_x0000_s26656"/>
                </a:ext>
                <a:ext uri="{FF2B5EF4-FFF2-40B4-BE49-F238E27FC236}">
                  <a16:creationId xmlns:a16="http://schemas.microsoft.com/office/drawing/2014/main" id="{00000000-0008-0000-0600-00002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6657" name="Button 33" hidden="1">
              <a:extLst>
                <a:ext uri="{63B3BB69-23CF-44E3-9099-C40C66FF867C}">
                  <a14:compatExt spid="_x0000_s26657"/>
                </a:ext>
                <a:ext uri="{FF2B5EF4-FFF2-40B4-BE49-F238E27FC236}">
                  <a16:creationId xmlns:a16="http://schemas.microsoft.com/office/drawing/2014/main" id="{00000000-0008-0000-0600-00002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6658" name="Button 34" hidden="1">
              <a:extLst>
                <a:ext uri="{63B3BB69-23CF-44E3-9099-C40C66FF867C}">
                  <a14:compatExt spid="_x0000_s26658"/>
                </a:ext>
                <a:ext uri="{FF2B5EF4-FFF2-40B4-BE49-F238E27FC236}">
                  <a16:creationId xmlns:a16="http://schemas.microsoft.com/office/drawing/2014/main" id="{00000000-0008-0000-0600-00002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6659" name="Button 35" hidden="1">
              <a:extLst>
                <a:ext uri="{63B3BB69-23CF-44E3-9099-C40C66FF867C}">
                  <a14:compatExt spid="_x0000_s26659"/>
                </a:ext>
                <a:ext uri="{FF2B5EF4-FFF2-40B4-BE49-F238E27FC236}">
                  <a16:creationId xmlns:a16="http://schemas.microsoft.com/office/drawing/2014/main" id="{00000000-0008-0000-0600-00002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6660" name="Button 36" hidden="1">
              <a:extLst>
                <a:ext uri="{63B3BB69-23CF-44E3-9099-C40C66FF867C}">
                  <a14:compatExt spid="_x0000_s26660"/>
                </a:ext>
                <a:ext uri="{FF2B5EF4-FFF2-40B4-BE49-F238E27FC236}">
                  <a16:creationId xmlns:a16="http://schemas.microsoft.com/office/drawing/2014/main" id="{00000000-0008-0000-0600-00002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6661" name="Button 37" hidden="1">
              <a:extLst>
                <a:ext uri="{63B3BB69-23CF-44E3-9099-C40C66FF867C}">
                  <a14:compatExt spid="_x0000_s26661"/>
                </a:ext>
                <a:ext uri="{FF2B5EF4-FFF2-40B4-BE49-F238E27FC236}">
                  <a16:creationId xmlns:a16="http://schemas.microsoft.com/office/drawing/2014/main" id="{00000000-0008-0000-0600-00002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6662" name="Button 38" hidden="1">
              <a:extLst>
                <a:ext uri="{63B3BB69-23CF-44E3-9099-C40C66FF867C}">
                  <a14:compatExt spid="_x0000_s26662"/>
                </a:ext>
                <a:ext uri="{FF2B5EF4-FFF2-40B4-BE49-F238E27FC236}">
                  <a16:creationId xmlns:a16="http://schemas.microsoft.com/office/drawing/2014/main" id="{00000000-0008-0000-0600-00002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6663" name="Button 39" hidden="1">
              <a:extLst>
                <a:ext uri="{63B3BB69-23CF-44E3-9099-C40C66FF867C}">
                  <a14:compatExt spid="_x0000_s26663"/>
                </a:ext>
                <a:ext uri="{FF2B5EF4-FFF2-40B4-BE49-F238E27FC236}">
                  <a16:creationId xmlns:a16="http://schemas.microsoft.com/office/drawing/2014/main" id="{00000000-0008-0000-0600-00002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6664" name="Button 40" hidden="1">
              <a:extLst>
                <a:ext uri="{63B3BB69-23CF-44E3-9099-C40C66FF867C}">
                  <a14:compatExt spid="_x0000_s26664"/>
                </a:ext>
                <a:ext uri="{FF2B5EF4-FFF2-40B4-BE49-F238E27FC236}">
                  <a16:creationId xmlns:a16="http://schemas.microsoft.com/office/drawing/2014/main" id="{00000000-0008-0000-0600-00002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6665" name="Button 41" hidden="1">
              <a:extLst>
                <a:ext uri="{63B3BB69-23CF-44E3-9099-C40C66FF867C}">
                  <a14:compatExt spid="_x0000_s26665"/>
                </a:ext>
                <a:ext uri="{FF2B5EF4-FFF2-40B4-BE49-F238E27FC236}">
                  <a16:creationId xmlns:a16="http://schemas.microsoft.com/office/drawing/2014/main" id="{00000000-0008-0000-0600-00002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6666" name="Button 42" hidden="1">
              <a:extLst>
                <a:ext uri="{63B3BB69-23CF-44E3-9099-C40C66FF867C}">
                  <a14:compatExt spid="_x0000_s26666"/>
                </a:ext>
                <a:ext uri="{FF2B5EF4-FFF2-40B4-BE49-F238E27FC236}">
                  <a16:creationId xmlns:a16="http://schemas.microsoft.com/office/drawing/2014/main" id="{00000000-0008-0000-0600-00002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6667" name="Button 43" hidden="1">
              <a:extLst>
                <a:ext uri="{63B3BB69-23CF-44E3-9099-C40C66FF867C}">
                  <a14:compatExt spid="_x0000_s26667"/>
                </a:ext>
                <a:ext uri="{FF2B5EF4-FFF2-40B4-BE49-F238E27FC236}">
                  <a16:creationId xmlns:a16="http://schemas.microsoft.com/office/drawing/2014/main" id="{00000000-0008-0000-0600-00002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6668" name="Button 44" hidden="1">
              <a:extLst>
                <a:ext uri="{63B3BB69-23CF-44E3-9099-C40C66FF867C}">
                  <a14:compatExt spid="_x0000_s26668"/>
                </a:ext>
                <a:ext uri="{FF2B5EF4-FFF2-40B4-BE49-F238E27FC236}">
                  <a16:creationId xmlns:a16="http://schemas.microsoft.com/office/drawing/2014/main" id="{00000000-0008-0000-0600-00002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6669" name="Button 45" hidden="1">
              <a:extLst>
                <a:ext uri="{63B3BB69-23CF-44E3-9099-C40C66FF867C}">
                  <a14:compatExt spid="_x0000_s26669"/>
                </a:ext>
                <a:ext uri="{FF2B5EF4-FFF2-40B4-BE49-F238E27FC236}">
                  <a16:creationId xmlns:a16="http://schemas.microsoft.com/office/drawing/2014/main" id="{00000000-0008-0000-0600-00002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6670" name="Button 46" hidden="1">
              <a:extLst>
                <a:ext uri="{63B3BB69-23CF-44E3-9099-C40C66FF867C}">
                  <a14:compatExt spid="_x0000_s26670"/>
                </a:ext>
                <a:ext uri="{FF2B5EF4-FFF2-40B4-BE49-F238E27FC236}">
                  <a16:creationId xmlns:a16="http://schemas.microsoft.com/office/drawing/2014/main" id="{00000000-0008-0000-0600-00002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6671" name="Button 47" hidden="1">
              <a:extLst>
                <a:ext uri="{63B3BB69-23CF-44E3-9099-C40C66FF867C}">
                  <a14:compatExt spid="_x0000_s26671"/>
                </a:ext>
                <a:ext uri="{FF2B5EF4-FFF2-40B4-BE49-F238E27FC236}">
                  <a16:creationId xmlns:a16="http://schemas.microsoft.com/office/drawing/2014/main" id="{00000000-0008-0000-0600-00002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6672" name="Button 48" hidden="1">
              <a:extLst>
                <a:ext uri="{63B3BB69-23CF-44E3-9099-C40C66FF867C}">
                  <a14:compatExt spid="_x0000_s26672"/>
                </a:ext>
                <a:ext uri="{FF2B5EF4-FFF2-40B4-BE49-F238E27FC236}">
                  <a16:creationId xmlns:a16="http://schemas.microsoft.com/office/drawing/2014/main" id="{00000000-0008-0000-0600-00003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6673" name="Button 49" hidden="1">
              <a:extLst>
                <a:ext uri="{63B3BB69-23CF-44E3-9099-C40C66FF867C}">
                  <a14:compatExt spid="_x0000_s26673"/>
                </a:ext>
                <a:ext uri="{FF2B5EF4-FFF2-40B4-BE49-F238E27FC236}">
                  <a16:creationId xmlns:a16="http://schemas.microsoft.com/office/drawing/2014/main" id="{00000000-0008-0000-0600-00003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6674" name="Button 50" hidden="1">
              <a:extLst>
                <a:ext uri="{63B3BB69-23CF-44E3-9099-C40C66FF867C}">
                  <a14:compatExt spid="_x0000_s26674"/>
                </a:ext>
                <a:ext uri="{FF2B5EF4-FFF2-40B4-BE49-F238E27FC236}">
                  <a16:creationId xmlns:a16="http://schemas.microsoft.com/office/drawing/2014/main" id="{00000000-0008-0000-0600-00003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6675" name="Button 51" hidden="1">
              <a:extLst>
                <a:ext uri="{63B3BB69-23CF-44E3-9099-C40C66FF867C}">
                  <a14:compatExt spid="_x0000_s26675"/>
                </a:ext>
                <a:ext uri="{FF2B5EF4-FFF2-40B4-BE49-F238E27FC236}">
                  <a16:creationId xmlns:a16="http://schemas.microsoft.com/office/drawing/2014/main" id="{00000000-0008-0000-0600-00003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6676" name="Button 52" hidden="1">
              <a:extLst>
                <a:ext uri="{63B3BB69-23CF-44E3-9099-C40C66FF867C}">
                  <a14:compatExt spid="_x0000_s26676"/>
                </a:ext>
                <a:ext uri="{FF2B5EF4-FFF2-40B4-BE49-F238E27FC236}">
                  <a16:creationId xmlns:a16="http://schemas.microsoft.com/office/drawing/2014/main" id="{00000000-0008-0000-0600-00003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6677" name="Button 53" hidden="1">
              <a:extLst>
                <a:ext uri="{63B3BB69-23CF-44E3-9099-C40C66FF867C}">
                  <a14:compatExt spid="_x0000_s26677"/>
                </a:ext>
                <a:ext uri="{FF2B5EF4-FFF2-40B4-BE49-F238E27FC236}">
                  <a16:creationId xmlns:a16="http://schemas.microsoft.com/office/drawing/2014/main" id="{00000000-0008-0000-0600-00003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6678" name="Button 54" hidden="1">
              <a:extLst>
                <a:ext uri="{63B3BB69-23CF-44E3-9099-C40C66FF867C}">
                  <a14:compatExt spid="_x0000_s26678"/>
                </a:ext>
                <a:ext uri="{FF2B5EF4-FFF2-40B4-BE49-F238E27FC236}">
                  <a16:creationId xmlns:a16="http://schemas.microsoft.com/office/drawing/2014/main" id="{00000000-0008-0000-0600-00003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6679" name="Button 55" hidden="1">
              <a:extLst>
                <a:ext uri="{63B3BB69-23CF-44E3-9099-C40C66FF867C}">
                  <a14:compatExt spid="_x0000_s26679"/>
                </a:ext>
                <a:ext uri="{FF2B5EF4-FFF2-40B4-BE49-F238E27FC236}">
                  <a16:creationId xmlns:a16="http://schemas.microsoft.com/office/drawing/2014/main" id="{00000000-0008-0000-0600-00003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6680" name="Button 56" hidden="1">
              <a:extLst>
                <a:ext uri="{63B3BB69-23CF-44E3-9099-C40C66FF867C}">
                  <a14:compatExt spid="_x0000_s26680"/>
                </a:ext>
                <a:ext uri="{FF2B5EF4-FFF2-40B4-BE49-F238E27FC236}">
                  <a16:creationId xmlns:a16="http://schemas.microsoft.com/office/drawing/2014/main" id="{00000000-0008-0000-0600-00003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6681" name="Button 57" hidden="1">
              <a:extLst>
                <a:ext uri="{63B3BB69-23CF-44E3-9099-C40C66FF867C}">
                  <a14:compatExt spid="_x0000_s26681"/>
                </a:ext>
                <a:ext uri="{FF2B5EF4-FFF2-40B4-BE49-F238E27FC236}">
                  <a16:creationId xmlns:a16="http://schemas.microsoft.com/office/drawing/2014/main" id="{00000000-0008-0000-0600-00003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6682" name="Button 58" hidden="1">
              <a:extLst>
                <a:ext uri="{63B3BB69-23CF-44E3-9099-C40C66FF867C}">
                  <a14:compatExt spid="_x0000_s26682"/>
                </a:ext>
                <a:ext uri="{FF2B5EF4-FFF2-40B4-BE49-F238E27FC236}">
                  <a16:creationId xmlns:a16="http://schemas.microsoft.com/office/drawing/2014/main" id="{00000000-0008-0000-0600-00003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6683" name="Button 59" hidden="1">
              <a:extLst>
                <a:ext uri="{63B3BB69-23CF-44E3-9099-C40C66FF867C}">
                  <a14:compatExt spid="_x0000_s26683"/>
                </a:ext>
                <a:ext uri="{FF2B5EF4-FFF2-40B4-BE49-F238E27FC236}">
                  <a16:creationId xmlns:a16="http://schemas.microsoft.com/office/drawing/2014/main" id="{00000000-0008-0000-0600-00003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6684" name="Button 60" hidden="1">
              <a:extLst>
                <a:ext uri="{63B3BB69-23CF-44E3-9099-C40C66FF867C}">
                  <a14:compatExt spid="_x0000_s26684"/>
                </a:ext>
                <a:ext uri="{FF2B5EF4-FFF2-40B4-BE49-F238E27FC236}">
                  <a16:creationId xmlns:a16="http://schemas.microsoft.com/office/drawing/2014/main" id="{00000000-0008-0000-0600-00003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6685" name="Button 61" hidden="1">
              <a:extLst>
                <a:ext uri="{63B3BB69-23CF-44E3-9099-C40C66FF867C}">
                  <a14:compatExt spid="_x0000_s26685"/>
                </a:ext>
                <a:ext uri="{FF2B5EF4-FFF2-40B4-BE49-F238E27FC236}">
                  <a16:creationId xmlns:a16="http://schemas.microsoft.com/office/drawing/2014/main" id="{00000000-0008-0000-0600-00003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6686" name="Button 62" hidden="1">
              <a:extLst>
                <a:ext uri="{63B3BB69-23CF-44E3-9099-C40C66FF867C}">
                  <a14:compatExt spid="_x0000_s26686"/>
                </a:ext>
                <a:ext uri="{FF2B5EF4-FFF2-40B4-BE49-F238E27FC236}">
                  <a16:creationId xmlns:a16="http://schemas.microsoft.com/office/drawing/2014/main" id="{00000000-0008-0000-0600-00003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6687" name="Button 63" hidden="1">
              <a:extLst>
                <a:ext uri="{63B3BB69-23CF-44E3-9099-C40C66FF867C}">
                  <a14:compatExt spid="_x0000_s26687"/>
                </a:ext>
                <a:ext uri="{FF2B5EF4-FFF2-40B4-BE49-F238E27FC236}">
                  <a16:creationId xmlns:a16="http://schemas.microsoft.com/office/drawing/2014/main" id="{00000000-0008-0000-0600-00003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6688" name="Button 64" hidden="1">
              <a:extLst>
                <a:ext uri="{63B3BB69-23CF-44E3-9099-C40C66FF867C}">
                  <a14:compatExt spid="_x0000_s26688"/>
                </a:ext>
                <a:ext uri="{FF2B5EF4-FFF2-40B4-BE49-F238E27FC236}">
                  <a16:creationId xmlns:a16="http://schemas.microsoft.com/office/drawing/2014/main" id="{00000000-0008-0000-0600-00004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6689" name="Button 65" hidden="1">
              <a:extLst>
                <a:ext uri="{63B3BB69-23CF-44E3-9099-C40C66FF867C}">
                  <a14:compatExt spid="_x0000_s26689"/>
                </a:ext>
                <a:ext uri="{FF2B5EF4-FFF2-40B4-BE49-F238E27FC236}">
                  <a16:creationId xmlns:a16="http://schemas.microsoft.com/office/drawing/2014/main" id="{00000000-0008-0000-0600-00004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6690" name="Button 66" hidden="1">
              <a:extLst>
                <a:ext uri="{63B3BB69-23CF-44E3-9099-C40C66FF867C}">
                  <a14:compatExt spid="_x0000_s26690"/>
                </a:ext>
                <a:ext uri="{FF2B5EF4-FFF2-40B4-BE49-F238E27FC236}">
                  <a16:creationId xmlns:a16="http://schemas.microsoft.com/office/drawing/2014/main" id="{00000000-0008-0000-0600-00004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6691" name="Button 67" hidden="1">
              <a:extLst>
                <a:ext uri="{63B3BB69-23CF-44E3-9099-C40C66FF867C}">
                  <a14:compatExt spid="_x0000_s26691"/>
                </a:ext>
                <a:ext uri="{FF2B5EF4-FFF2-40B4-BE49-F238E27FC236}">
                  <a16:creationId xmlns:a16="http://schemas.microsoft.com/office/drawing/2014/main" id="{00000000-0008-0000-0600-00004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6692" name="Button 68" hidden="1">
              <a:extLst>
                <a:ext uri="{63B3BB69-23CF-44E3-9099-C40C66FF867C}">
                  <a14:compatExt spid="_x0000_s26692"/>
                </a:ext>
                <a:ext uri="{FF2B5EF4-FFF2-40B4-BE49-F238E27FC236}">
                  <a16:creationId xmlns:a16="http://schemas.microsoft.com/office/drawing/2014/main" id="{00000000-0008-0000-0600-00004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6693" name="Button 69" hidden="1">
              <a:extLst>
                <a:ext uri="{63B3BB69-23CF-44E3-9099-C40C66FF867C}">
                  <a14:compatExt spid="_x0000_s26693"/>
                </a:ext>
                <a:ext uri="{FF2B5EF4-FFF2-40B4-BE49-F238E27FC236}">
                  <a16:creationId xmlns:a16="http://schemas.microsoft.com/office/drawing/2014/main" id="{00000000-0008-0000-0600-00004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6694" name="Button 70" hidden="1">
              <a:extLst>
                <a:ext uri="{63B3BB69-23CF-44E3-9099-C40C66FF867C}">
                  <a14:compatExt spid="_x0000_s26694"/>
                </a:ext>
                <a:ext uri="{FF2B5EF4-FFF2-40B4-BE49-F238E27FC236}">
                  <a16:creationId xmlns:a16="http://schemas.microsoft.com/office/drawing/2014/main" id="{00000000-0008-0000-0600-00004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6695" name="Butto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6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6696" name="Button 72" hidden="1">
              <a:extLst>
                <a:ext uri="{63B3BB69-23CF-44E3-9099-C40C66FF867C}">
                  <a14:compatExt spid="_x0000_s26696"/>
                </a:ext>
                <a:ext uri="{FF2B5EF4-FFF2-40B4-BE49-F238E27FC236}">
                  <a16:creationId xmlns:a16="http://schemas.microsoft.com/office/drawing/2014/main" id="{00000000-0008-0000-0600-00004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6697" name="Button 73" hidden="1">
              <a:extLst>
                <a:ext uri="{63B3BB69-23CF-44E3-9099-C40C66FF867C}">
                  <a14:compatExt spid="_x0000_s26697"/>
                </a:ext>
                <a:ext uri="{FF2B5EF4-FFF2-40B4-BE49-F238E27FC236}">
                  <a16:creationId xmlns:a16="http://schemas.microsoft.com/office/drawing/2014/main" id="{00000000-0008-0000-0600-00004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6698" name="Button 74" hidden="1">
              <a:extLst>
                <a:ext uri="{63B3BB69-23CF-44E3-9099-C40C66FF867C}">
                  <a14:compatExt spid="_x0000_s26698"/>
                </a:ext>
                <a:ext uri="{FF2B5EF4-FFF2-40B4-BE49-F238E27FC236}">
                  <a16:creationId xmlns:a16="http://schemas.microsoft.com/office/drawing/2014/main" id="{00000000-0008-0000-0600-00004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6699" name="Button 75" hidden="1">
              <a:extLst>
                <a:ext uri="{63B3BB69-23CF-44E3-9099-C40C66FF867C}">
                  <a14:compatExt spid="_x0000_s26699"/>
                </a:ext>
                <a:ext uri="{FF2B5EF4-FFF2-40B4-BE49-F238E27FC236}">
                  <a16:creationId xmlns:a16="http://schemas.microsoft.com/office/drawing/2014/main" id="{00000000-0008-0000-0600-00004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6700" name="Button 76" hidden="1">
              <a:extLst>
                <a:ext uri="{63B3BB69-23CF-44E3-9099-C40C66FF867C}">
                  <a14:compatExt spid="_x0000_s26700"/>
                </a:ext>
                <a:ext uri="{FF2B5EF4-FFF2-40B4-BE49-F238E27FC236}">
                  <a16:creationId xmlns:a16="http://schemas.microsoft.com/office/drawing/2014/main" id="{00000000-0008-0000-0600-00004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6701" name="Button 77" hidden="1">
              <a:extLst>
                <a:ext uri="{63B3BB69-23CF-44E3-9099-C40C66FF867C}">
                  <a14:compatExt spid="_x0000_s26701"/>
                </a:ext>
                <a:ext uri="{FF2B5EF4-FFF2-40B4-BE49-F238E27FC236}">
                  <a16:creationId xmlns:a16="http://schemas.microsoft.com/office/drawing/2014/main" id="{00000000-0008-0000-0600-00004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6702" name="Button 78" hidden="1">
              <a:extLst>
                <a:ext uri="{63B3BB69-23CF-44E3-9099-C40C66FF867C}">
                  <a14:compatExt spid="_x0000_s26702"/>
                </a:ext>
                <a:ext uri="{FF2B5EF4-FFF2-40B4-BE49-F238E27FC236}">
                  <a16:creationId xmlns:a16="http://schemas.microsoft.com/office/drawing/2014/main" id="{00000000-0008-0000-0600-00004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6703" name="Button 79" hidden="1">
              <a:extLst>
                <a:ext uri="{63B3BB69-23CF-44E3-9099-C40C66FF867C}">
                  <a14:compatExt spid="_x0000_s26703"/>
                </a:ext>
                <a:ext uri="{FF2B5EF4-FFF2-40B4-BE49-F238E27FC236}">
                  <a16:creationId xmlns:a16="http://schemas.microsoft.com/office/drawing/2014/main" id="{00000000-0008-0000-0600-00004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6704" name="Button 80" hidden="1">
              <a:extLst>
                <a:ext uri="{63B3BB69-23CF-44E3-9099-C40C66FF867C}">
                  <a14:compatExt spid="_x0000_s26704"/>
                </a:ext>
                <a:ext uri="{FF2B5EF4-FFF2-40B4-BE49-F238E27FC236}">
                  <a16:creationId xmlns:a16="http://schemas.microsoft.com/office/drawing/2014/main" id="{00000000-0008-0000-0600-00005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6705" name="Button 81" hidden="1">
              <a:extLst>
                <a:ext uri="{63B3BB69-23CF-44E3-9099-C40C66FF867C}">
                  <a14:compatExt spid="_x0000_s26705"/>
                </a:ext>
                <a:ext uri="{FF2B5EF4-FFF2-40B4-BE49-F238E27FC236}">
                  <a16:creationId xmlns:a16="http://schemas.microsoft.com/office/drawing/2014/main" id="{00000000-0008-0000-0600-00005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6706" name="Button 82" hidden="1">
              <a:extLst>
                <a:ext uri="{63B3BB69-23CF-44E3-9099-C40C66FF867C}">
                  <a14:compatExt spid="_x0000_s26706"/>
                </a:ext>
                <a:ext uri="{FF2B5EF4-FFF2-40B4-BE49-F238E27FC236}">
                  <a16:creationId xmlns:a16="http://schemas.microsoft.com/office/drawing/2014/main" id="{00000000-0008-0000-0600-00005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6707" name="Button 83" hidden="1">
              <a:extLst>
                <a:ext uri="{63B3BB69-23CF-44E3-9099-C40C66FF867C}">
                  <a14:compatExt spid="_x0000_s26707"/>
                </a:ext>
                <a:ext uri="{FF2B5EF4-FFF2-40B4-BE49-F238E27FC236}">
                  <a16:creationId xmlns:a16="http://schemas.microsoft.com/office/drawing/2014/main" id="{00000000-0008-0000-0600-00005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6708" name="Button 84" hidden="1">
              <a:extLst>
                <a:ext uri="{63B3BB69-23CF-44E3-9099-C40C66FF867C}">
                  <a14:compatExt spid="_x0000_s26708"/>
                </a:ext>
                <a:ext uri="{FF2B5EF4-FFF2-40B4-BE49-F238E27FC236}">
                  <a16:creationId xmlns:a16="http://schemas.microsoft.com/office/drawing/2014/main" id="{00000000-0008-0000-0600-00005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6709" name="Button 85" hidden="1">
              <a:extLst>
                <a:ext uri="{63B3BB69-23CF-44E3-9099-C40C66FF867C}">
                  <a14:compatExt spid="_x0000_s26709"/>
                </a:ext>
                <a:ext uri="{FF2B5EF4-FFF2-40B4-BE49-F238E27FC236}">
                  <a16:creationId xmlns:a16="http://schemas.microsoft.com/office/drawing/2014/main" id="{00000000-0008-0000-0600-00005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6710" name="Button 86" hidden="1">
              <a:extLst>
                <a:ext uri="{63B3BB69-23CF-44E3-9099-C40C66FF867C}">
                  <a14:compatExt spid="_x0000_s26710"/>
                </a:ext>
                <a:ext uri="{FF2B5EF4-FFF2-40B4-BE49-F238E27FC236}">
                  <a16:creationId xmlns:a16="http://schemas.microsoft.com/office/drawing/2014/main" id="{00000000-0008-0000-0600-00005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6711" name="Button 87" hidden="1">
              <a:extLst>
                <a:ext uri="{63B3BB69-23CF-44E3-9099-C40C66FF867C}">
                  <a14:compatExt spid="_x0000_s26711"/>
                </a:ext>
                <a:ext uri="{FF2B5EF4-FFF2-40B4-BE49-F238E27FC236}">
                  <a16:creationId xmlns:a16="http://schemas.microsoft.com/office/drawing/2014/main" id="{00000000-0008-0000-0600-00005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6712" name="Button 88" hidden="1">
              <a:extLst>
                <a:ext uri="{63B3BB69-23CF-44E3-9099-C40C66FF867C}">
                  <a14:compatExt spid="_x0000_s26712"/>
                </a:ext>
                <a:ext uri="{FF2B5EF4-FFF2-40B4-BE49-F238E27FC236}">
                  <a16:creationId xmlns:a16="http://schemas.microsoft.com/office/drawing/2014/main" id="{00000000-0008-0000-0600-00005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6713" name="Button 89" hidden="1">
              <a:extLst>
                <a:ext uri="{63B3BB69-23CF-44E3-9099-C40C66FF867C}">
                  <a14:compatExt spid="_x0000_s26713"/>
                </a:ext>
                <a:ext uri="{FF2B5EF4-FFF2-40B4-BE49-F238E27FC236}">
                  <a16:creationId xmlns:a16="http://schemas.microsoft.com/office/drawing/2014/main" id="{00000000-0008-0000-0600-00005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6714" name="Button 90" hidden="1">
              <a:extLst>
                <a:ext uri="{63B3BB69-23CF-44E3-9099-C40C66FF867C}">
                  <a14:compatExt spid="_x0000_s26714"/>
                </a:ext>
                <a:ext uri="{FF2B5EF4-FFF2-40B4-BE49-F238E27FC236}">
                  <a16:creationId xmlns:a16="http://schemas.microsoft.com/office/drawing/2014/main" id="{00000000-0008-0000-0600-00005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6715" name="Button 91" hidden="1">
              <a:extLst>
                <a:ext uri="{63B3BB69-23CF-44E3-9099-C40C66FF867C}">
                  <a14:compatExt spid="_x0000_s26715"/>
                </a:ext>
                <a:ext uri="{FF2B5EF4-FFF2-40B4-BE49-F238E27FC236}">
                  <a16:creationId xmlns:a16="http://schemas.microsoft.com/office/drawing/2014/main" id="{00000000-0008-0000-0600-00005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6716" name="Button 92" hidden="1">
              <a:extLst>
                <a:ext uri="{63B3BB69-23CF-44E3-9099-C40C66FF867C}">
                  <a14:compatExt spid="_x0000_s26716"/>
                </a:ext>
                <a:ext uri="{FF2B5EF4-FFF2-40B4-BE49-F238E27FC236}">
                  <a16:creationId xmlns:a16="http://schemas.microsoft.com/office/drawing/2014/main" id="{00000000-0008-0000-0600-00005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6717" name="Button 93" hidden="1">
              <a:extLst>
                <a:ext uri="{63B3BB69-23CF-44E3-9099-C40C66FF867C}">
                  <a14:compatExt spid="_x0000_s26717"/>
                </a:ext>
                <a:ext uri="{FF2B5EF4-FFF2-40B4-BE49-F238E27FC236}">
                  <a16:creationId xmlns:a16="http://schemas.microsoft.com/office/drawing/2014/main" id="{00000000-0008-0000-0600-00005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6718" name="Button 94" hidden="1">
              <a:extLst>
                <a:ext uri="{63B3BB69-23CF-44E3-9099-C40C66FF867C}">
                  <a14:compatExt spid="_x0000_s26718"/>
                </a:ext>
                <a:ext uri="{FF2B5EF4-FFF2-40B4-BE49-F238E27FC236}">
                  <a16:creationId xmlns:a16="http://schemas.microsoft.com/office/drawing/2014/main" id="{00000000-0008-0000-0600-00005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6719" name="Button 95" hidden="1">
              <a:extLst>
                <a:ext uri="{63B3BB69-23CF-44E3-9099-C40C66FF867C}">
                  <a14:compatExt spid="_x0000_s26719"/>
                </a:ext>
                <a:ext uri="{FF2B5EF4-FFF2-40B4-BE49-F238E27FC236}">
                  <a16:creationId xmlns:a16="http://schemas.microsoft.com/office/drawing/2014/main" id="{00000000-0008-0000-0600-00005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6720" name="Button 96" hidden="1">
              <a:extLst>
                <a:ext uri="{63B3BB69-23CF-44E3-9099-C40C66FF867C}">
                  <a14:compatExt spid="_x0000_s26720"/>
                </a:ext>
                <a:ext uri="{FF2B5EF4-FFF2-40B4-BE49-F238E27FC236}">
                  <a16:creationId xmlns:a16="http://schemas.microsoft.com/office/drawing/2014/main" id="{00000000-0008-0000-0600-00006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6721" name="Button 97" hidden="1">
              <a:extLst>
                <a:ext uri="{63B3BB69-23CF-44E3-9099-C40C66FF867C}">
                  <a14:compatExt spid="_x0000_s26721"/>
                </a:ext>
                <a:ext uri="{FF2B5EF4-FFF2-40B4-BE49-F238E27FC236}">
                  <a16:creationId xmlns:a16="http://schemas.microsoft.com/office/drawing/2014/main" id="{00000000-0008-0000-0600-00006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6722" name="Button 98" hidden="1">
              <a:extLst>
                <a:ext uri="{63B3BB69-23CF-44E3-9099-C40C66FF867C}">
                  <a14:compatExt spid="_x0000_s26722"/>
                </a:ext>
                <a:ext uri="{FF2B5EF4-FFF2-40B4-BE49-F238E27FC236}">
                  <a16:creationId xmlns:a16="http://schemas.microsoft.com/office/drawing/2014/main" id="{00000000-0008-0000-0600-00006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6723" name="Button 99" hidden="1">
              <a:extLst>
                <a:ext uri="{63B3BB69-23CF-44E3-9099-C40C66FF867C}">
                  <a14:compatExt spid="_x0000_s26723"/>
                </a:ext>
                <a:ext uri="{FF2B5EF4-FFF2-40B4-BE49-F238E27FC236}">
                  <a16:creationId xmlns:a16="http://schemas.microsoft.com/office/drawing/2014/main" id="{00000000-0008-0000-0600-00006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6724" name="Button 100" hidden="1">
              <a:extLst>
                <a:ext uri="{63B3BB69-23CF-44E3-9099-C40C66FF867C}">
                  <a14:compatExt spid="_x0000_s26724"/>
                </a:ext>
                <a:ext uri="{FF2B5EF4-FFF2-40B4-BE49-F238E27FC236}">
                  <a16:creationId xmlns:a16="http://schemas.microsoft.com/office/drawing/2014/main" id="{00000000-0008-0000-0600-00006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6725" name="Button 101" hidden="1">
              <a:extLst>
                <a:ext uri="{63B3BB69-23CF-44E3-9099-C40C66FF867C}">
                  <a14:compatExt spid="_x0000_s26725"/>
                </a:ext>
                <a:ext uri="{FF2B5EF4-FFF2-40B4-BE49-F238E27FC236}">
                  <a16:creationId xmlns:a16="http://schemas.microsoft.com/office/drawing/2014/main" id="{00000000-0008-0000-0600-00006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6726" name="Button 102" hidden="1">
              <a:extLst>
                <a:ext uri="{63B3BB69-23CF-44E3-9099-C40C66FF867C}">
                  <a14:compatExt spid="_x0000_s26726"/>
                </a:ext>
                <a:ext uri="{FF2B5EF4-FFF2-40B4-BE49-F238E27FC236}">
                  <a16:creationId xmlns:a16="http://schemas.microsoft.com/office/drawing/2014/main" id="{00000000-0008-0000-0600-00006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6727" name="Button 103" hidden="1">
              <a:extLst>
                <a:ext uri="{63B3BB69-23CF-44E3-9099-C40C66FF867C}">
                  <a14:compatExt spid="_x0000_s26727"/>
                </a:ext>
                <a:ext uri="{FF2B5EF4-FFF2-40B4-BE49-F238E27FC236}">
                  <a16:creationId xmlns:a16="http://schemas.microsoft.com/office/drawing/2014/main" id="{00000000-0008-0000-0600-00006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6728" name="Button 104" hidden="1">
              <a:extLst>
                <a:ext uri="{63B3BB69-23CF-44E3-9099-C40C66FF867C}">
                  <a14:compatExt spid="_x0000_s26728"/>
                </a:ext>
                <a:ext uri="{FF2B5EF4-FFF2-40B4-BE49-F238E27FC236}">
                  <a16:creationId xmlns:a16="http://schemas.microsoft.com/office/drawing/2014/main" id="{00000000-0008-0000-0600-00006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6729" name="Button 105" hidden="1">
              <a:extLst>
                <a:ext uri="{63B3BB69-23CF-44E3-9099-C40C66FF867C}">
                  <a14:compatExt spid="_x0000_s26729"/>
                </a:ext>
                <a:ext uri="{FF2B5EF4-FFF2-40B4-BE49-F238E27FC236}">
                  <a16:creationId xmlns:a16="http://schemas.microsoft.com/office/drawing/2014/main" id="{00000000-0008-0000-0600-00006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6730" name="Button 106" hidden="1">
              <a:extLst>
                <a:ext uri="{63B3BB69-23CF-44E3-9099-C40C66FF867C}">
                  <a14:compatExt spid="_x0000_s26730"/>
                </a:ext>
                <a:ext uri="{FF2B5EF4-FFF2-40B4-BE49-F238E27FC236}">
                  <a16:creationId xmlns:a16="http://schemas.microsoft.com/office/drawing/2014/main" id="{00000000-0008-0000-0600-00006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6731" name="Button 107" hidden="1">
              <a:extLst>
                <a:ext uri="{63B3BB69-23CF-44E3-9099-C40C66FF867C}">
                  <a14:compatExt spid="_x0000_s26731"/>
                </a:ext>
                <a:ext uri="{FF2B5EF4-FFF2-40B4-BE49-F238E27FC236}">
                  <a16:creationId xmlns:a16="http://schemas.microsoft.com/office/drawing/2014/main" id="{00000000-0008-0000-0600-00006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6732" name="Button 108" hidden="1">
              <a:extLst>
                <a:ext uri="{63B3BB69-23CF-44E3-9099-C40C66FF867C}">
                  <a14:compatExt spid="_x0000_s26732"/>
                </a:ext>
                <a:ext uri="{FF2B5EF4-FFF2-40B4-BE49-F238E27FC236}">
                  <a16:creationId xmlns:a16="http://schemas.microsoft.com/office/drawing/2014/main" id="{00000000-0008-0000-0600-00006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6733" name="Button 109" hidden="1">
              <a:extLst>
                <a:ext uri="{63B3BB69-23CF-44E3-9099-C40C66FF867C}">
                  <a14:compatExt spid="_x0000_s26733"/>
                </a:ext>
                <a:ext uri="{FF2B5EF4-FFF2-40B4-BE49-F238E27FC236}">
                  <a16:creationId xmlns:a16="http://schemas.microsoft.com/office/drawing/2014/main" id="{00000000-0008-0000-0600-00006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6734" name="Button 110" hidden="1">
              <a:extLst>
                <a:ext uri="{63B3BB69-23CF-44E3-9099-C40C66FF867C}">
                  <a14:compatExt spid="_x0000_s26734"/>
                </a:ext>
                <a:ext uri="{FF2B5EF4-FFF2-40B4-BE49-F238E27FC236}">
                  <a16:creationId xmlns:a16="http://schemas.microsoft.com/office/drawing/2014/main" id="{00000000-0008-0000-0600-00006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6735" name="Button 111" hidden="1">
              <a:extLst>
                <a:ext uri="{63B3BB69-23CF-44E3-9099-C40C66FF867C}">
                  <a14:compatExt spid="_x0000_s26735"/>
                </a:ext>
                <a:ext uri="{FF2B5EF4-FFF2-40B4-BE49-F238E27FC236}">
                  <a16:creationId xmlns:a16="http://schemas.microsoft.com/office/drawing/2014/main" id="{00000000-0008-0000-0600-00006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6736" name="Button 112" hidden="1">
              <a:extLst>
                <a:ext uri="{63B3BB69-23CF-44E3-9099-C40C66FF867C}">
                  <a14:compatExt spid="_x0000_s26736"/>
                </a:ext>
                <a:ext uri="{FF2B5EF4-FFF2-40B4-BE49-F238E27FC236}">
                  <a16:creationId xmlns:a16="http://schemas.microsoft.com/office/drawing/2014/main" id="{00000000-0008-0000-0600-00007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6737" name="Button 113" hidden="1">
              <a:extLst>
                <a:ext uri="{63B3BB69-23CF-44E3-9099-C40C66FF867C}">
                  <a14:compatExt spid="_x0000_s26737"/>
                </a:ext>
                <a:ext uri="{FF2B5EF4-FFF2-40B4-BE49-F238E27FC236}">
                  <a16:creationId xmlns:a16="http://schemas.microsoft.com/office/drawing/2014/main" id="{00000000-0008-0000-0600-00007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6738" name="Button 114" hidden="1">
              <a:extLst>
                <a:ext uri="{63B3BB69-23CF-44E3-9099-C40C66FF867C}">
                  <a14:compatExt spid="_x0000_s26738"/>
                </a:ext>
                <a:ext uri="{FF2B5EF4-FFF2-40B4-BE49-F238E27FC236}">
                  <a16:creationId xmlns:a16="http://schemas.microsoft.com/office/drawing/2014/main" id="{00000000-0008-0000-0600-00007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6739" name="Button 115" hidden="1">
              <a:extLst>
                <a:ext uri="{63B3BB69-23CF-44E3-9099-C40C66FF867C}">
                  <a14:compatExt spid="_x0000_s26739"/>
                </a:ext>
                <a:ext uri="{FF2B5EF4-FFF2-40B4-BE49-F238E27FC236}">
                  <a16:creationId xmlns:a16="http://schemas.microsoft.com/office/drawing/2014/main" id="{00000000-0008-0000-0600-00007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6740" name="Button 116" hidden="1">
              <a:extLst>
                <a:ext uri="{63B3BB69-23CF-44E3-9099-C40C66FF867C}">
                  <a14:compatExt spid="_x0000_s26740"/>
                </a:ext>
                <a:ext uri="{FF2B5EF4-FFF2-40B4-BE49-F238E27FC236}">
                  <a16:creationId xmlns:a16="http://schemas.microsoft.com/office/drawing/2014/main" id="{00000000-0008-0000-0600-00007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6741" name="Button 117" hidden="1">
              <a:extLst>
                <a:ext uri="{63B3BB69-23CF-44E3-9099-C40C66FF867C}">
                  <a14:compatExt spid="_x0000_s26741"/>
                </a:ext>
                <a:ext uri="{FF2B5EF4-FFF2-40B4-BE49-F238E27FC236}">
                  <a16:creationId xmlns:a16="http://schemas.microsoft.com/office/drawing/2014/main" id="{00000000-0008-0000-0600-00007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6742" name="Button 118" hidden="1">
              <a:extLst>
                <a:ext uri="{63B3BB69-23CF-44E3-9099-C40C66FF867C}">
                  <a14:compatExt spid="_x0000_s26742"/>
                </a:ext>
                <a:ext uri="{FF2B5EF4-FFF2-40B4-BE49-F238E27FC236}">
                  <a16:creationId xmlns:a16="http://schemas.microsoft.com/office/drawing/2014/main" id="{00000000-0008-0000-0600-00007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6743" name="Button 119" hidden="1">
              <a:extLst>
                <a:ext uri="{63B3BB69-23CF-44E3-9099-C40C66FF867C}">
                  <a14:compatExt spid="_x0000_s26743"/>
                </a:ext>
                <a:ext uri="{FF2B5EF4-FFF2-40B4-BE49-F238E27FC236}">
                  <a16:creationId xmlns:a16="http://schemas.microsoft.com/office/drawing/2014/main" id="{00000000-0008-0000-0600-00007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6744" name="Button 120" hidden="1">
              <a:extLst>
                <a:ext uri="{63B3BB69-23CF-44E3-9099-C40C66FF867C}">
                  <a14:compatExt spid="_x0000_s26744"/>
                </a:ext>
                <a:ext uri="{FF2B5EF4-FFF2-40B4-BE49-F238E27FC236}">
                  <a16:creationId xmlns:a16="http://schemas.microsoft.com/office/drawing/2014/main" id="{00000000-0008-0000-0600-00007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6745" name="Button 121" hidden="1">
              <a:extLst>
                <a:ext uri="{63B3BB69-23CF-44E3-9099-C40C66FF867C}">
                  <a14:compatExt spid="_x0000_s26745"/>
                </a:ext>
                <a:ext uri="{FF2B5EF4-FFF2-40B4-BE49-F238E27FC236}">
                  <a16:creationId xmlns:a16="http://schemas.microsoft.com/office/drawing/2014/main" id="{00000000-0008-0000-0600-00007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6746" name="Button 122" hidden="1">
              <a:extLst>
                <a:ext uri="{63B3BB69-23CF-44E3-9099-C40C66FF867C}">
                  <a14:compatExt spid="_x0000_s26746"/>
                </a:ext>
                <a:ext uri="{FF2B5EF4-FFF2-40B4-BE49-F238E27FC236}">
                  <a16:creationId xmlns:a16="http://schemas.microsoft.com/office/drawing/2014/main" id="{00000000-0008-0000-0600-00007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6747" name="Button 123" hidden="1">
              <a:extLst>
                <a:ext uri="{63B3BB69-23CF-44E3-9099-C40C66FF867C}">
                  <a14:compatExt spid="_x0000_s26747"/>
                </a:ext>
                <a:ext uri="{FF2B5EF4-FFF2-40B4-BE49-F238E27FC236}">
                  <a16:creationId xmlns:a16="http://schemas.microsoft.com/office/drawing/2014/main" id="{00000000-0008-0000-0600-00007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6748" name="Button 124" hidden="1">
              <a:extLst>
                <a:ext uri="{63B3BB69-23CF-44E3-9099-C40C66FF867C}">
                  <a14:compatExt spid="_x0000_s26748"/>
                </a:ext>
                <a:ext uri="{FF2B5EF4-FFF2-40B4-BE49-F238E27FC236}">
                  <a16:creationId xmlns:a16="http://schemas.microsoft.com/office/drawing/2014/main" id="{00000000-0008-0000-0600-00007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6749" name="Button 125" hidden="1">
              <a:extLst>
                <a:ext uri="{63B3BB69-23CF-44E3-9099-C40C66FF867C}">
                  <a14:compatExt spid="_x0000_s26749"/>
                </a:ext>
                <a:ext uri="{FF2B5EF4-FFF2-40B4-BE49-F238E27FC236}">
                  <a16:creationId xmlns:a16="http://schemas.microsoft.com/office/drawing/2014/main" id="{00000000-0008-0000-0600-00007D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6750" name="Button 126" hidden="1">
              <a:extLst>
                <a:ext uri="{63B3BB69-23CF-44E3-9099-C40C66FF867C}">
                  <a14:compatExt spid="_x0000_s26750"/>
                </a:ext>
                <a:ext uri="{FF2B5EF4-FFF2-40B4-BE49-F238E27FC236}">
                  <a16:creationId xmlns:a16="http://schemas.microsoft.com/office/drawing/2014/main" id="{00000000-0008-0000-0600-00007E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6751" name="Button 127" hidden="1">
              <a:extLst>
                <a:ext uri="{63B3BB69-23CF-44E3-9099-C40C66FF867C}">
                  <a14:compatExt spid="_x0000_s26751"/>
                </a:ext>
                <a:ext uri="{FF2B5EF4-FFF2-40B4-BE49-F238E27FC236}">
                  <a16:creationId xmlns:a16="http://schemas.microsoft.com/office/drawing/2014/main" id="{00000000-0008-0000-0600-00007F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6752" name="Button 128" hidden="1">
              <a:extLst>
                <a:ext uri="{63B3BB69-23CF-44E3-9099-C40C66FF867C}">
                  <a14:compatExt spid="_x0000_s26752"/>
                </a:ext>
                <a:ext uri="{FF2B5EF4-FFF2-40B4-BE49-F238E27FC236}">
                  <a16:creationId xmlns:a16="http://schemas.microsoft.com/office/drawing/2014/main" id="{00000000-0008-0000-0600-000080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6753" name="Button 129" hidden="1">
              <a:extLst>
                <a:ext uri="{63B3BB69-23CF-44E3-9099-C40C66FF867C}">
                  <a14:compatExt spid="_x0000_s26753"/>
                </a:ext>
                <a:ext uri="{FF2B5EF4-FFF2-40B4-BE49-F238E27FC236}">
                  <a16:creationId xmlns:a16="http://schemas.microsoft.com/office/drawing/2014/main" id="{00000000-0008-0000-0600-00008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6754" name="Button 130" hidden="1">
              <a:extLst>
                <a:ext uri="{63B3BB69-23CF-44E3-9099-C40C66FF867C}">
                  <a14:compatExt spid="_x0000_s26754"/>
                </a:ext>
                <a:ext uri="{FF2B5EF4-FFF2-40B4-BE49-F238E27FC236}">
                  <a16:creationId xmlns:a16="http://schemas.microsoft.com/office/drawing/2014/main" id="{00000000-0008-0000-0600-00008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6755" name="Button 131" hidden="1">
              <a:extLst>
                <a:ext uri="{63B3BB69-23CF-44E3-9099-C40C66FF867C}">
                  <a14:compatExt spid="_x0000_s26755"/>
                </a:ext>
                <a:ext uri="{FF2B5EF4-FFF2-40B4-BE49-F238E27FC236}">
                  <a16:creationId xmlns:a16="http://schemas.microsoft.com/office/drawing/2014/main" id="{00000000-0008-0000-0600-00008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6756" name="Button 132" hidden="1">
              <a:extLst>
                <a:ext uri="{63B3BB69-23CF-44E3-9099-C40C66FF867C}">
                  <a14:compatExt spid="_x0000_s26756"/>
                </a:ext>
                <a:ext uri="{FF2B5EF4-FFF2-40B4-BE49-F238E27FC236}">
                  <a16:creationId xmlns:a16="http://schemas.microsoft.com/office/drawing/2014/main" id="{00000000-0008-0000-0600-00008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6757" name="Button 133" hidden="1">
              <a:extLst>
                <a:ext uri="{63B3BB69-23CF-44E3-9099-C40C66FF867C}">
                  <a14:compatExt spid="_x0000_s26757"/>
                </a:ext>
                <a:ext uri="{FF2B5EF4-FFF2-40B4-BE49-F238E27FC236}">
                  <a16:creationId xmlns:a16="http://schemas.microsoft.com/office/drawing/2014/main" id="{00000000-0008-0000-0600-00008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6758" name="Button 134" hidden="1">
              <a:extLst>
                <a:ext uri="{63B3BB69-23CF-44E3-9099-C40C66FF867C}">
                  <a14:compatExt spid="_x0000_s26758"/>
                </a:ext>
                <a:ext uri="{FF2B5EF4-FFF2-40B4-BE49-F238E27FC236}">
                  <a16:creationId xmlns:a16="http://schemas.microsoft.com/office/drawing/2014/main" id="{00000000-0008-0000-0600-00008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6759" name="Button 135" hidden="1">
              <a:extLst>
                <a:ext uri="{63B3BB69-23CF-44E3-9099-C40C66FF867C}">
                  <a14:compatExt spid="_x0000_s26759"/>
                </a:ext>
                <a:ext uri="{FF2B5EF4-FFF2-40B4-BE49-F238E27FC236}">
                  <a16:creationId xmlns:a16="http://schemas.microsoft.com/office/drawing/2014/main" id="{00000000-0008-0000-0600-00008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6760" name="Button 136" hidden="1">
              <a:extLst>
                <a:ext uri="{63B3BB69-23CF-44E3-9099-C40C66FF867C}">
                  <a14:compatExt spid="_x0000_s26760"/>
                </a:ext>
                <a:ext uri="{FF2B5EF4-FFF2-40B4-BE49-F238E27FC236}">
                  <a16:creationId xmlns:a16="http://schemas.microsoft.com/office/drawing/2014/main" id="{00000000-0008-0000-0600-00008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6761" name="Button 137" hidden="1">
              <a:extLst>
                <a:ext uri="{63B3BB69-23CF-44E3-9099-C40C66FF867C}">
                  <a14:compatExt spid="_x0000_s26761"/>
                </a:ext>
                <a:ext uri="{FF2B5EF4-FFF2-40B4-BE49-F238E27FC236}">
                  <a16:creationId xmlns:a16="http://schemas.microsoft.com/office/drawing/2014/main" id="{00000000-0008-0000-0600-000089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6762" name="Button 138" hidden="1">
              <a:extLst>
                <a:ext uri="{63B3BB69-23CF-44E3-9099-C40C66FF867C}">
                  <a14:compatExt spid="_x0000_s26762"/>
                </a:ext>
                <a:ext uri="{FF2B5EF4-FFF2-40B4-BE49-F238E27FC236}">
                  <a16:creationId xmlns:a16="http://schemas.microsoft.com/office/drawing/2014/main" id="{00000000-0008-0000-0600-00008A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6763" name="Button 139" hidden="1">
              <a:extLst>
                <a:ext uri="{63B3BB69-23CF-44E3-9099-C40C66FF867C}">
                  <a14:compatExt spid="_x0000_s26763"/>
                </a:ext>
                <a:ext uri="{FF2B5EF4-FFF2-40B4-BE49-F238E27FC236}">
                  <a16:creationId xmlns:a16="http://schemas.microsoft.com/office/drawing/2014/main" id="{00000000-0008-0000-0600-00008B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6764" name="Button 140" hidden="1">
              <a:extLst>
                <a:ext uri="{63B3BB69-23CF-44E3-9099-C40C66FF867C}">
                  <a14:compatExt spid="_x0000_s26764"/>
                </a:ext>
                <a:ext uri="{FF2B5EF4-FFF2-40B4-BE49-F238E27FC236}">
                  <a16:creationId xmlns:a16="http://schemas.microsoft.com/office/drawing/2014/main" id="{00000000-0008-0000-0600-00008C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7653" name="Button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7654" name="Button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7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7655" name="Button 7" hidden="1">
              <a:extLst>
                <a:ext uri="{63B3BB69-23CF-44E3-9099-C40C66FF867C}">
                  <a14:compatExt spid="_x0000_s27655"/>
                </a:ext>
                <a:ext uri="{FF2B5EF4-FFF2-40B4-BE49-F238E27FC236}">
                  <a16:creationId xmlns:a16="http://schemas.microsoft.com/office/drawing/2014/main" id="{00000000-0008-0000-0700-00000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7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7657" name="Button 9" hidden="1">
              <a:extLst>
                <a:ext uri="{63B3BB69-23CF-44E3-9099-C40C66FF867C}">
                  <a14:compatExt spid="_x0000_s27657"/>
                </a:ext>
                <a:ext uri="{FF2B5EF4-FFF2-40B4-BE49-F238E27FC236}">
                  <a16:creationId xmlns:a16="http://schemas.microsoft.com/office/drawing/2014/main" id="{00000000-0008-0000-0700-00000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7658" name="Button 10" hidden="1">
              <a:extLst>
                <a:ext uri="{63B3BB69-23CF-44E3-9099-C40C66FF867C}">
                  <a14:compatExt spid="_x0000_s27658"/>
                </a:ext>
                <a:ext uri="{FF2B5EF4-FFF2-40B4-BE49-F238E27FC236}">
                  <a16:creationId xmlns:a16="http://schemas.microsoft.com/office/drawing/2014/main" id="{00000000-0008-0000-0700-00000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7659" name="Button 11" hidden="1">
              <a:extLst>
                <a:ext uri="{63B3BB69-23CF-44E3-9099-C40C66FF867C}">
                  <a14:compatExt spid="_x0000_s27659"/>
                </a:ext>
                <a:ext uri="{FF2B5EF4-FFF2-40B4-BE49-F238E27FC236}">
                  <a16:creationId xmlns:a16="http://schemas.microsoft.com/office/drawing/2014/main" id="{00000000-0008-0000-0700-00000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7660" name="Button 12" hidden="1">
              <a:extLst>
                <a:ext uri="{63B3BB69-23CF-44E3-9099-C40C66FF867C}">
                  <a14:compatExt spid="_x0000_s27660"/>
                </a:ext>
                <a:ext uri="{FF2B5EF4-FFF2-40B4-BE49-F238E27FC236}">
                  <a16:creationId xmlns:a16="http://schemas.microsoft.com/office/drawing/2014/main" id="{00000000-0008-0000-0700-00000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7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7662" name="Button 14" hidden="1">
              <a:extLst>
                <a:ext uri="{63B3BB69-23CF-44E3-9099-C40C66FF867C}">
                  <a14:compatExt spid="_x0000_s27662"/>
                </a:ext>
                <a:ext uri="{FF2B5EF4-FFF2-40B4-BE49-F238E27FC236}">
                  <a16:creationId xmlns:a16="http://schemas.microsoft.com/office/drawing/2014/main" id="{00000000-0008-0000-0700-00000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7663" name="Button 15" hidden="1">
              <a:extLst>
                <a:ext uri="{63B3BB69-23CF-44E3-9099-C40C66FF867C}">
                  <a14:compatExt spid="_x0000_s27663"/>
                </a:ext>
                <a:ext uri="{FF2B5EF4-FFF2-40B4-BE49-F238E27FC236}">
                  <a16:creationId xmlns:a16="http://schemas.microsoft.com/office/drawing/2014/main" id="{00000000-0008-0000-0700-00000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7664" name="Button 16" hidden="1">
              <a:extLst>
                <a:ext uri="{63B3BB69-23CF-44E3-9099-C40C66FF867C}">
                  <a14:compatExt spid="_x0000_s27664"/>
                </a:ext>
                <a:ext uri="{FF2B5EF4-FFF2-40B4-BE49-F238E27FC236}">
                  <a16:creationId xmlns:a16="http://schemas.microsoft.com/office/drawing/2014/main" id="{00000000-0008-0000-0700-00001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7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7666" name="Button 18" hidden="1">
              <a:extLst>
                <a:ext uri="{63B3BB69-23CF-44E3-9099-C40C66FF867C}">
                  <a14:compatExt spid="_x0000_s27666"/>
                </a:ext>
                <a:ext uri="{FF2B5EF4-FFF2-40B4-BE49-F238E27FC236}">
                  <a16:creationId xmlns:a16="http://schemas.microsoft.com/office/drawing/2014/main" id="{00000000-0008-0000-0700-00001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7667" name="Button 19" hidden="1">
              <a:extLst>
                <a:ext uri="{63B3BB69-23CF-44E3-9099-C40C66FF867C}">
                  <a14:compatExt spid="_x0000_s27667"/>
                </a:ext>
                <a:ext uri="{FF2B5EF4-FFF2-40B4-BE49-F238E27FC236}">
                  <a16:creationId xmlns:a16="http://schemas.microsoft.com/office/drawing/2014/main" id="{00000000-0008-0000-0700-00001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7668" name="Button 20" hidden="1">
              <a:extLst>
                <a:ext uri="{63B3BB69-23CF-44E3-9099-C40C66FF867C}">
                  <a14:compatExt spid="_x0000_s27668"/>
                </a:ext>
                <a:ext uri="{FF2B5EF4-FFF2-40B4-BE49-F238E27FC236}">
                  <a16:creationId xmlns:a16="http://schemas.microsoft.com/office/drawing/2014/main" id="{00000000-0008-0000-0700-00001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7669" name="Button 21" hidden="1">
              <a:extLst>
                <a:ext uri="{63B3BB69-23CF-44E3-9099-C40C66FF867C}">
                  <a14:compatExt spid="_x0000_s27669"/>
                </a:ext>
                <a:ext uri="{FF2B5EF4-FFF2-40B4-BE49-F238E27FC236}">
                  <a16:creationId xmlns:a16="http://schemas.microsoft.com/office/drawing/2014/main" id="{00000000-0008-0000-0700-00001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7670" name="Button 22" hidden="1">
              <a:extLst>
                <a:ext uri="{63B3BB69-23CF-44E3-9099-C40C66FF867C}">
                  <a14:compatExt spid="_x0000_s27670"/>
                </a:ext>
                <a:ext uri="{FF2B5EF4-FFF2-40B4-BE49-F238E27FC236}">
                  <a16:creationId xmlns:a16="http://schemas.microsoft.com/office/drawing/2014/main" id="{00000000-0008-0000-0700-00001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7671" name="Button 23" hidden="1">
              <a:extLst>
                <a:ext uri="{63B3BB69-23CF-44E3-9099-C40C66FF867C}">
                  <a14:compatExt spid="_x0000_s27671"/>
                </a:ext>
                <a:ext uri="{FF2B5EF4-FFF2-40B4-BE49-F238E27FC236}">
                  <a16:creationId xmlns:a16="http://schemas.microsoft.com/office/drawing/2014/main" id="{00000000-0008-0000-0700-00001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7672" name="Button 24" hidden="1">
              <a:extLst>
                <a:ext uri="{63B3BB69-23CF-44E3-9099-C40C66FF867C}">
                  <a14:compatExt spid="_x0000_s27672"/>
                </a:ext>
                <a:ext uri="{FF2B5EF4-FFF2-40B4-BE49-F238E27FC236}">
                  <a16:creationId xmlns:a16="http://schemas.microsoft.com/office/drawing/2014/main" id="{00000000-0008-0000-0700-00001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7673" name="Button 25" hidden="1">
              <a:extLst>
                <a:ext uri="{63B3BB69-23CF-44E3-9099-C40C66FF867C}">
                  <a14:compatExt spid="_x0000_s27673"/>
                </a:ext>
                <a:ext uri="{FF2B5EF4-FFF2-40B4-BE49-F238E27FC236}">
                  <a16:creationId xmlns:a16="http://schemas.microsoft.com/office/drawing/2014/main" id="{00000000-0008-0000-0700-00001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7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7675" name="Button 27" hidden="1">
              <a:extLst>
                <a:ext uri="{63B3BB69-23CF-44E3-9099-C40C66FF867C}">
                  <a14:compatExt spid="_x0000_s27675"/>
                </a:ext>
                <a:ext uri="{FF2B5EF4-FFF2-40B4-BE49-F238E27FC236}">
                  <a16:creationId xmlns:a16="http://schemas.microsoft.com/office/drawing/2014/main" id="{00000000-0008-0000-0700-00001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7676" name="Button 28" hidden="1">
              <a:extLst>
                <a:ext uri="{63B3BB69-23CF-44E3-9099-C40C66FF867C}">
                  <a14:compatExt spid="_x0000_s27676"/>
                </a:ext>
                <a:ext uri="{FF2B5EF4-FFF2-40B4-BE49-F238E27FC236}">
                  <a16:creationId xmlns:a16="http://schemas.microsoft.com/office/drawing/2014/main" id="{00000000-0008-0000-0700-00001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7677" name="Button 29" hidden="1">
              <a:extLst>
                <a:ext uri="{63B3BB69-23CF-44E3-9099-C40C66FF867C}">
                  <a14:compatExt spid="_x0000_s27677"/>
                </a:ext>
                <a:ext uri="{FF2B5EF4-FFF2-40B4-BE49-F238E27FC236}">
                  <a16:creationId xmlns:a16="http://schemas.microsoft.com/office/drawing/2014/main" id="{00000000-0008-0000-0700-00001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7678" name="Button 30" hidden="1">
              <a:extLst>
                <a:ext uri="{63B3BB69-23CF-44E3-9099-C40C66FF867C}">
                  <a14:compatExt spid="_x0000_s27678"/>
                </a:ext>
                <a:ext uri="{FF2B5EF4-FFF2-40B4-BE49-F238E27FC236}">
                  <a16:creationId xmlns:a16="http://schemas.microsoft.com/office/drawing/2014/main" id="{00000000-0008-0000-0700-00001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7679" name="Button 31" hidden="1">
              <a:extLst>
                <a:ext uri="{63B3BB69-23CF-44E3-9099-C40C66FF867C}">
                  <a14:compatExt spid="_x0000_s27679"/>
                </a:ext>
                <a:ext uri="{FF2B5EF4-FFF2-40B4-BE49-F238E27FC236}">
                  <a16:creationId xmlns:a16="http://schemas.microsoft.com/office/drawing/2014/main" id="{00000000-0008-0000-0700-00001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7680" name="Button 32" hidden="1">
              <a:extLst>
                <a:ext uri="{63B3BB69-23CF-44E3-9099-C40C66FF867C}">
                  <a14:compatExt spid="_x0000_s27680"/>
                </a:ext>
                <a:ext uri="{FF2B5EF4-FFF2-40B4-BE49-F238E27FC236}">
                  <a16:creationId xmlns:a16="http://schemas.microsoft.com/office/drawing/2014/main" id="{00000000-0008-0000-0700-00002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7681" name="Button 33" hidden="1">
              <a:extLst>
                <a:ext uri="{63B3BB69-23CF-44E3-9099-C40C66FF867C}">
                  <a14:compatExt spid="_x0000_s27681"/>
                </a:ext>
                <a:ext uri="{FF2B5EF4-FFF2-40B4-BE49-F238E27FC236}">
                  <a16:creationId xmlns:a16="http://schemas.microsoft.com/office/drawing/2014/main" id="{00000000-0008-0000-0700-00002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7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7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7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7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7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7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7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7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7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7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7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7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7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7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7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7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7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7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7700" name="Button 52" hidden="1">
              <a:extLst>
                <a:ext uri="{63B3BB69-23CF-44E3-9099-C40C66FF867C}">
                  <a14:compatExt spid="_x0000_s27700"/>
                </a:ext>
                <a:ext uri="{FF2B5EF4-FFF2-40B4-BE49-F238E27FC236}">
                  <a16:creationId xmlns:a16="http://schemas.microsoft.com/office/drawing/2014/main" id="{00000000-0008-0000-0700-00003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7701" name="Button 53" hidden="1">
              <a:extLst>
                <a:ext uri="{63B3BB69-23CF-44E3-9099-C40C66FF867C}">
                  <a14:compatExt spid="_x0000_s27701"/>
                </a:ext>
                <a:ext uri="{FF2B5EF4-FFF2-40B4-BE49-F238E27FC236}">
                  <a16:creationId xmlns:a16="http://schemas.microsoft.com/office/drawing/2014/main" id="{00000000-0008-0000-0700-00003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7702" name="Button 54" hidden="1">
              <a:extLst>
                <a:ext uri="{63B3BB69-23CF-44E3-9099-C40C66FF867C}">
                  <a14:compatExt spid="_x0000_s27702"/>
                </a:ext>
                <a:ext uri="{FF2B5EF4-FFF2-40B4-BE49-F238E27FC236}">
                  <a16:creationId xmlns:a16="http://schemas.microsoft.com/office/drawing/2014/main" id="{00000000-0008-0000-0700-00003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7703" name="Button 55" hidden="1">
              <a:extLst>
                <a:ext uri="{63B3BB69-23CF-44E3-9099-C40C66FF867C}">
                  <a14:compatExt spid="_x0000_s27703"/>
                </a:ext>
                <a:ext uri="{FF2B5EF4-FFF2-40B4-BE49-F238E27FC236}">
                  <a16:creationId xmlns:a16="http://schemas.microsoft.com/office/drawing/2014/main" id="{00000000-0008-0000-0700-00003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7704" name="Button 56" hidden="1">
              <a:extLst>
                <a:ext uri="{63B3BB69-23CF-44E3-9099-C40C66FF867C}">
                  <a14:compatExt spid="_x0000_s27704"/>
                </a:ext>
                <a:ext uri="{FF2B5EF4-FFF2-40B4-BE49-F238E27FC236}">
                  <a16:creationId xmlns:a16="http://schemas.microsoft.com/office/drawing/2014/main" id="{00000000-0008-0000-0700-00003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7705" name="Button 57" hidden="1">
              <a:extLst>
                <a:ext uri="{63B3BB69-23CF-44E3-9099-C40C66FF867C}">
                  <a14:compatExt spid="_x0000_s27705"/>
                </a:ext>
                <a:ext uri="{FF2B5EF4-FFF2-40B4-BE49-F238E27FC236}">
                  <a16:creationId xmlns:a16="http://schemas.microsoft.com/office/drawing/2014/main" id="{00000000-0008-0000-0700-00003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7706" name="Button 58" hidden="1">
              <a:extLst>
                <a:ext uri="{63B3BB69-23CF-44E3-9099-C40C66FF867C}">
                  <a14:compatExt spid="_x0000_s27706"/>
                </a:ext>
                <a:ext uri="{FF2B5EF4-FFF2-40B4-BE49-F238E27FC236}">
                  <a16:creationId xmlns:a16="http://schemas.microsoft.com/office/drawing/2014/main" id="{00000000-0008-0000-0700-00003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7707" name="Button 59" hidden="1">
              <a:extLst>
                <a:ext uri="{63B3BB69-23CF-44E3-9099-C40C66FF867C}">
                  <a14:compatExt spid="_x0000_s27707"/>
                </a:ext>
                <a:ext uri="{FF2B5EF4-FFF2-40B4-BE49-F238E27FC236}">
                  <a16:creationId xmlns:a16="http://schemas.microsoft.com/office/drawing/2014/main" id="{00000000-0008-0000-0700-00003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7708" name="Button 60" hidden="1">
              <a:extLst>
                <a:ext uri="{63B3BB69-23CF-44E3-9099-C40C66FF867C}">
                  <a14:compatExt spid="_x0000_s27708"/>
                </a:ext>
                <a:ext uri="{FF2B5EF4-FFF2-40B4-BE49-F238E27FC236}">
                  <a16:creationId xmlns:a16="http://schemas.microsoft.com/office/drawing/2014/main" id="{00000000-0008-0000-0700-00003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7709" name="Button 61" hidden="1">
              <a:extLst>
                <a:ext uri="{63B3BB69-23CF-44E3-9099-C40C66FF867C}">
                  <a14:compatExt spid="_x0000_s27709"/>
                </a:ext>
                <a:ext uri="{FF2B5EF4-FFF2-40B4-BE49-F238E27FC236}">
                  <a16:creationId xmlns:a16="http://schemas.microsoft.com/office/drawing/2014/main" id="{00000000-0008-0000-0700-00003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7710" name="Button 62" hidden="1">
              <a:extLst>
                <a:ext uri="{63B3BB69-23CF-44E3-9099-C40C66FF867C}">
                  <a14:compatExt spid="_x0000_s27710"/>
                </a:ext>
                <a:ext uri="{FF2B5EF4-FFF2-40B4-BE49-F238E27FC236}">
                  <a16:creationId xmlns:a16="http://schemas.microsoft.com/office/drawing/2014/main" id="{00000000-0008-0000-0700-00003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7711" name="Button 63" hidden="1">
              <a:extLst>
                <a:ext uri="{63B3BB69-23CF-44E3-9099-C40C66FF867C}">
                  <a14:compatExt spid="_x0000_s27711"/>
                </a:ext>
                <a:ext uri="{FF2B5EF4-FFF2-40B4-BE49-F238E27FC236}">
                  <a16:creationId xmlns:a16="http://schemas.microsoft.com/office/drawing/2014/main" id="{00000000-0008-0000-0700-00003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7712" name="Button 64" hidden="1">
              <a:extLst>
                <a:ext uri="{63B3BB69-23CF-44E3-9099-C40C66FF867C}">
                  <a14:compatExt spid="_x0000_s27712"/>
                </a:ext>
                <a:ext uri="{FF2B5EF4-FFF2-40B4-BE49-F238E27FC236}">
                  <a16:creationId xmlns:a16="http://schemas.microsoft.com/office/drawing/2014/main" id="{00000000-0008-0000-0700-00004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7713" name="Button 65" hidden="1">
              <a:extLst>
                <a:ext uri="{63B3BB69-23CF-44E3-9099-C40C66FF867C}">
                  <a14:compatExt spid="_x0000_s27713"/>
                </a:ext>
                <a:ext uri="{FF2B5EF4-FFF2-40B4-BE49-F238E27FC236}">
                  <a16:creationId xmlns:a16="http://schemas.microsoft.com/office/drawing/2014/main" id="{00000000-0008-0000-0700-00004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7714" name="Button 66" hidden="1">
              <a:extLst>
                <a:ext uri="{63B3BB69-23CF-44E3-9099-C40C66FF867C}">
                  <a14:compatExt spid="_x0000_s27714"/>
                </a:ext>
                <a:ext uri="{FF2B5EF4-FFF2-40B4-BE49-F238E27FC236}">
                  <a16:creationId xmlns:a16="http://schemas.microsoft.com/office/drawing/2014/main" id="{00000000-0008-0000-0700-00004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7715" name="Button 67" hidden="1">
              <a:extLst>
                <a:ext uri="{63B3BB69-23CF-44E3-9099-C40C66FF867C}">
                  <a14:compatExt spid="_x0000_s27715"/>
                </a:ext>
                <a:ext uri="{FF2B5EF4-FFF2-40B4-BE49-F238E27FC236}">
                  <a16:creationId xmlns:a16="http://schemas.microsoft.com/office/drawing/2014/main" id="{00000000-0008-0000-0700-00004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7716" name="Button 68" hidden="1">
              <a:extLst>
                <a:ext uri="{63B3BB69-23CF-44E3-9099-C40C66FF867C}">
                  <a14:compatExt spid="_x0000_s27716"/>
                </a:ext>
                <a:ext uri="{FF2B5EF4-FFF2-40B4-BE49-F238E27FC236}">
                  <a16:creationId xmlns:a16="http://schemas.microsoft.com/office/drawing/2014/main" id="{00000000-0008-0000-0700-00004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7717" name="Button 69" hidden="1">
              <a:extLst>
                <a:ext uri="{63B3BB69-23CF-44E3-9099-C40C66FF867C}">
                  <a14:compatExt spid="_x0000_s27717"/>
                </a:ext>
                <a:ext uri="{FF2B5EF4-FFF2-40B4-BE49-F238E27FC236}">
                  <a16:creationId xmlns:a16="http://schemas.microsoft.com/office/drawing/2014/main" id="{00000000-0008-0000-0700-00004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7718" name="Button 70" hidden="1">
              <a:extLst>
                <a:ext uri="{63B3BB69-23CF-44E3-9099-C40C66FF867C}">
                  <a14:compatExt spid="_x0000_s27718"/>
                </a:ext>
                <a:ext uri="{FF2B5EF4-FFF2-40B4-BE49-F238E27FC236}">
                  <a16:creationId xmlns:a16="http://schemas.microsoft.com/office/drawing/2014/main" id="{00000000-0008-0000-0700-00004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7719" name="Button 71" hidden="1">
              <a:extLst>
                <a:ext uri="{63B3BB69-23CF-44E3-9099-C40C66FF867C}">
                  <a14:compatExt spid="_x0000_s27719"/>
                </a:ext>
                <a:ext uri="{FF2B5EF4-FFF2-40B4-BE49-F238E27FC236}">
                  <a16:creationId xmlns:a16="http://schemas.microsoft.com/office/drawing/2014/main" id="{00000000-0008-0000-0700-00004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7720" name="Button 72" hidden="1">
              <a:extLst>
                <a:ext uri="{63B3BB69-23CF-44E3-9099-C40C66FF867C}">
                  <a14:compatExt spid="_x0000_s27720"/>
                </a:ext>
                <a:ext uri="{FF2B5EF4-FFF2-40B4-BE49-F238E27FC236}">
                  <a16:creationId xmlns:a16="http://schemas.microsoft.com/office/drawing/2014/main" id="{00000000-0008-0000-0700-00004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7721" name="Button 73" hidden="1">
              <a:extLst>
                <a:ext uri="{63B3BB69-23CF-44E3-9099-C40C66FF867C}">
                  <a14:compatExt spid="_x0000_s27721"/>
                </a:ext>
                <a:ext uri="{FF2B5EF4-FFF2-40B4-BE49-F238E27FC236}">
                  <a16:creationId xmlns:a16="http://schemas.microsoft.com/office/drawing/2014/main" id="{00000000-0008-0000-0700-00004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7722" name="Button 74" hidden="1">
              <a:extLst>
                <a:ext uri="{63B3BB69-23CF-44E3-9099-C40C66FF867C}">
                  <a14:compatExt spid="_x0000_s27722"/>
                </a:ext>
                <a:ext uri="{FF2B5EF4-FFF2-40B4-BE49-F238E27FC236}">
                  <a16:creationId xmlns:a16="http://schemas.microsoft.com/office/drawing/2014/main" id="{00000000-0008-0000-0700-00004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7723" name="Button 75" hidden="1">
              <a:extLst>
                <a:ext uri="{63B3BB69-23CF-44E3-9099-C40C66FF867C}">
                  <a14:compatExt spid="_x0000_s27723"/>
                </a:ext>
                <a:ext uri="{FF2B5EF4-FFF2-40B4-BE49-F238E27FC236}">
                  <a16:creationId xmlns:a16="http://schemas.microsoft.com/office/drawing/2014/main" id="{00000000-0008-0000-0700-00004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7724" name="Button 76" hidden="1">
              <a:extLst>
                <a:ext uri="{63B3BB69-23CF-44E3-9099-C40C66FF867C}">
                  <a14:compatExt spid="_x0000_s27724"/>
                </a:ext>
                <a:ext uri="{FF2B5EF4-FFF2-40B4-BE49-F238E27FC236}">
                  <a16:creationId xmlns:a16="http://schemas.microsoft.com/office/drawing/2014/main" id="{00000000-0008-0000-0700-00004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7725" name="Button 77" hidden="1">
              <a:extLst>
                <a:ext uri="{63B3BB69-23CF-44E3-9099-C40C66FF867C}">
                  <a14:compatExt spid="_x0000_s27725"/>
                </a:ext>
                <a:ext uri="{FF2B5EF4-FFF2-40B4-BE49-F238E27FC236}">
                  <a16:creationId xmlns:a16="http://schemas.microsoft.com/office/drawing/2014/main" id="{00000000-0008-0000-0700-00004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7726" name="Button 78" hidden="1">
              <a:extLst>
                <a:ext uri="{63B3BB69-23CF-44E3-9099-C40C66FF867C}">
                  <a14:compatExt spid="_x0000_s27726"/>
                </a:ext>
                <a:ext uri="{FF2B5EF4-FFF2-40B4-BE49-F238E27FC236}">
                  <a16:creationId xmlns:a16="http://schemas.microsoft.com/office/drawing/2014/main" id="{00000000-0008-0000-0700-00004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7727" name="Button 79" hidden="1">
              <a:extLst>
                <a:ext uri="{63B3BB69-23CF-44E3-9099-C40C66FF867C}">
                  <a14:compatExt spid="_x0000_s27727"/>
                </a:ext>
                <a:ext uri="{FF2B5EF4-FFF2-40B4-BE49-F238E27FC236}">
                  <a16:creationId xmlns:a16="http://schemas.microsoft.com/office/drawing/2014/main" id="{00000000-0008-0000-0700-00004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7728" name="Button 80" hidden="1">
              <a:extLst>
                <a:ext uri="{63B3BB69-23CF-44E3-9099-C40C66FF867C}">
                  <a14:compatExt spid="_x0000_s27728"/>
                </a:ext>
                <a:ext uri="{FF2B5EF4-FFF2-40B4-BE49-F238E27FC236}">
                  <a16:creationId xmlns:a16="http://schemas.microsoft.com/office/drawing/2014/main" id="{00000000-0008-0000-0700-00005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7729" name="Button 81" hidden="1">
              <a:extLst>
                <a:ext uri="{63B3BB69-23CF-44E3-9099-C40C66FF867C}">
                  <a14:compatExt spid="_x0000_s27729"/>
                </a:ext>
                <a:ext uri="{FF2B5EF4-FFF2-40B4-BE49-F238E27FC236}">
                  <a16:creationId xmlns:a16="http://schemas.microsoft.com/office/drawing/2014/main" id="{00000000-0008-0000-0700-00005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7730" name="Button 82" hidden="1">
              <a:extLst>
                <a:ext uri="{63B3BB69-23CF-44E3-9099-C40C66FF867C}">
                  <a14:compatExt spid="_x0000_s27730"/>
                </a:ext>
                <a:ext uri="{FF2B5EF4-FFF2-40B4-BE49-F238E27FC236}">
                  <a16:creationId xmlns:a16="http://schemas.microsoft.com/office/drawing/2014/main" id="{00000000-0008-0000-0700-00005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7731" name="Button 83" hidden="1">
              <a:extLst>
                <a:ext uri="{63B3BB69-23CF-44E3-9099-C40C66FF867C}">
                  <a14:compatExt spid="_x0000_s27731"/>
                </a:ext>
                <a:ext uri="{FF2B5EF4-FFF2-40B4-BE49-F238E27FC236}">
                  <a16:creationId xmlns:a16="http://schemas.microsoft.com/office/drawing/2014/main" id="{00000000-0008-0000-0700-00005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7732" name="Button 84" hidden="1">
              <a:extLst>
                <a:ext uri="{63B3BB69-23CF-44E3-9099-C40C66FF867C}">
                  <a14:compatExt spid="_x0000_s27732"/>
                </a:ext>
                <a:ext uri="{FF2B5EF4-FFF2-40B4-BE49-F238E27FC236}">
                  <a16:creationId xmlns:a16="http://schemas.microsoft.com/office/drawing/2014/main" id="{00000000-0008-0000-0700-00005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7733" name="Button 85" hidden="1">
              <a:extLst>
                <a:ext uri="{63B3BB69-23CF-44E3-9099-C40C66FF867C}">
                  <a14:compatExt spid="_x0000_s27733"/>
                </a:ext>
                <a:ext uri="{FF2B5EF4-FFF2-40B4-BE49-F238E27FC236}">
                  <a16:creationId xmlns:a16="http://schemas.microsoft.com/office/drawing/2014/main" id="{00000000-0008-0000-0700-00005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7734" name="Button 86" hidden="1">
              <a:extLst>
                <a:ext uri="{63B3BB69-23CF-44E3-9099-C40C66FF867C}">
                  <a14:compatExt spid="_x0000_s27734"/>
                </a:ext>
                <a:ext uri="{FF2B5EF4-FFF2-40B4-BE49-F238E27FC236}">
                  <a16:creationId xmlns:a16="http://schemas.microsoft.com/office/drawing/2014/main" id="{00000000-0008-0000-0700-00005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7735" name="Button 87" hidden="1">
              <a:extLst>
                <a:ext uri="{63B3BB69-23CF-44E3-9099-C40C66FF867C}">
                  <a14:compatExt spid="_x0000_s27735"/>
                </a:ext>
                <a:ext uri="{FF2B5EF4-FFF2-40B4-BE49-F238E27FC236}">
                  <a16:creationId xmlns:a16="http://schemas.microsoft.com/office/drawing/2014/main" id="{00000000-0008-0000-0700-00005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7736" name="Button 88" hidden="1">
              <a:extLst>
                <a:ext uri="{63B3BB69-23CF-44E3-9099-C40C66FF867C}">
                  <a14:compatExt spid="_x0000_s27736"/>
                </a:ext>
                <a:ext uri="{FF2B5EF4-FFF2-40B4-BE49-F238E27FC236}">
                  <a16:creationId xmlns:a16="http://schemas.microsoft.com/office/drawing/2014/main" id="{00000000-0008-0000-0700-00005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7737" name="Button 89" hidden="1">
              <a:extLst>
                <a:ext uri="{63B3BB69-23CF-44E3-9099-C40C66FF867C}">
                  <a14:compatExt spid="_x0000_s27737"/>
                </a:ext>
                <a:ext uri="{FF2B5EF4-FFF2-40B4-BE49-F238E27FC236}">
                  <a16:creationId xmlns:a16="http://schemas.microsoft.com/office/drawing/2014/main" id="{00000000-0008-0000-0700-00005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7738" name="Button 90" hidden="1">
              <a:extLst>
                <a:ext uri="{63B3BB69-23CF-44E3-9099-C40C66FF867C}">
                  <a14:compatExt spid="_x0000_s27738"/>
                </a:ext>
                <a:ext uri="{FF2B5EF4-FFF2-40B4-BE49-F238E27FC236}">
                  <a16:creationId xmlns:a16="http://schemas.microsoft.com/office/drawing/2014/main" id="{00000000-0008-0000-0700-00005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7739" name="Button 91" hidden="1">
              <a:extLst>
                <a:ext uri="{63B3BB69-23CF-44E3-9099-C40C66FF867C}">
                  <a14:compatExt spid="_x0000_s27739"/>
                </a:ext>
                <a:ext uri="{FF2B5EF4-FFF2-40B4-BE49-F238E27FC236}">
                  <a16:creationId xmlns:a16="http://schemas.microsoft.com/office/drawing/2014/main" id="{00000000-0008-0000-0700-00005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7740" name="Button 92" hidden="1">
              <a:extLst>
                <a:ext uri="{63B3BB69-23CF-44E3-9099-C40C66FF867C}">
                  <a14:compatExt spid="_x0000_s27740"/>
                </a:ext>
                <a:ext uri="{FF2B5EF4-FFF2-40B4-BE49-F238E27FC236}">
                  <a16:creationId xmlns:a16="http://schemas.microsoft.com/office/drawing/2014/main" id="{00000000-0008-0000-0700-00005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7741" name="Button 93" hidden="1">
              <a:extLst>
                <a:ext uri="{63B3BB69-23CF-44E3-9099-C40C66FF867C}">
                  <a14:compatExt spid="_x0000_s27741"/>
                </a:ext>
                <a:ext uri="{FF2B5EF4-FFF2-40B4-BE49-F238E27FC236}">
                  <a16:creationId xmlns:a16="http://schemas.microsoft.com/office/drawing/2014/main" id="{00000000-0008-0000-0700-00005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7742" name="Button 94" hidden="1">
              <a:extLst>
                <a:ext uri="{63B3BB69-23CF-44E3-9099-C40C66FF867C}">
                  <a14:compatExt spid="_x0000_s27742"/>
                </a:ext>
                <a:ext uri="{FF2B5EF4-FFF2-40B4-BE49-F238E27FC236}">
                  <a16:creationId xmlns:a16="http://schemas.microsoft.com/office/drawing/2014/main" id="{00000000-0008-0000-0700-00005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7743" name="Button 95" hidden="1">
              <a:extLst>
                <a:ext uri="{63B3BB69-23CF-44E3-9099-C40C66FF867C}">
                  <a14:compatExt spid="_x0000_s27743"/>
                </a:ext>
                <a:ext uri="{FF2B5EF4-FFF2-40B4-BE49-F238E27FC236}">
                  <a16:creationId xmlns:a16="http://schemas.microsoft.com/office/drawing/2014/main" id="{00000000-0008-0000-0700-00005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7744" name="Button 96" hidden="1">
              <a:extLst>
                <a:ext uri="{63B3BB69-23CF-44E3-9099-C40C66FF867C}">
                  <a14:compatExt spid="_x0000_s27744"/>
                </a:ext>
                <a:ext uri="{FF2B5EF4-FFF2-40B4-BE49-F238E27FC236}">
                  <a16:creationId xmlns:a16="http://schemas.microsoft.com/office/drawing/2014/main" id="{00000000-0008-0000-0700-00006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7745" name="Button 97" hidden="1">
              <a:extLst>
                <a:ext uri="{63B3BB69-23CF-44E3-9099-C40C66FF867C}">
                  <a14:compatExt spid="_x0000_s27745"/>
                </a:ext>
                <a:ext uri="{FF2B5EF4-FFF2-40B4-BE49-F238E27FC236}">
                  <a16:creationId xmlns:a16="http://schemas.microsoft.com/office/drawing/2014/main" id="{00000000-0008-0000-0700-00006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7746" name="Button 98" hidden="1">
              <a:extLst>
                <a:ext uri="{63B3BB69-23CF-44E3-9099-C40C66FF867C}">
                  <a14:compatExt spid="_x0000_s27746"/>
                </a:ext>
                <a:ext uri="{FF2B5EF4-FFF2-40B4-BE49-F238E27FC236}">
                  <a16:creationId xmlns:a16="http://schemas.microsoft.com/office/drawing/2014/main" id="{00000000-0008-0000-0700-00006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7747" name="Button 99" hidden="1">
              <a:extLst>
                <a:ext uri="{63B3BB69-23CF-44E3-9099-C40C66FF867C}">
                  <a14:compatExt spid="_x0000_s27747"/>
                </a:ext>
                <a:ext uri="{FF2B5EF4-FFF2-40B4-BE49-F238E27FC236}">
                  <a16:creationId xmlns:a16="http://schemas.microsoft.com/office/drawing/2014/main" id="{00000000-0008-0000-0700-00006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7748" name="Button 100" hidden="1">
              <a:extLst>
                <a:ext uri="{63B3BB69-23CF-44E3-9099-C40C66FF867C}">
                  <a14:compatExt spid="_x0000_s27748"/>
                </a:ext>
                <a:ext uri="{FF2B5EF4-FFF2-40B4-BE49-F238E27FC236}">
                  <a16:creationId xmlns:a16="http://schemas.microsoft.com/office/drawing/2014/main" id="{00000000-0008-0000-0700-00006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7749" name="Button 101" hidden="1">
              <a:extLst>
                <a:ext uri="{63B3BB69-23CF-44E3-9099-C40C66FF867C}">
                  <a14:compatExt spid="_x0000_s27749"/>
                </a:ext>
                <a:ext uri="{FF2B5EF4-FFF2-40B4-BE49-F238E27FC236}">
                  <a16:creationId xmlns:a16="http://schemas.microsoft.com/office/drawing/2014/main" id="{00000000-0008-0000-0700-00006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7750" name="Button 102" hidden="1">
              <a:extLst>
                <a:ext uri="{63B3BB69-23CF-44E3-9099-C40C66FF867C}">
                  <a14:compatExt spid="_x0000_s27750"/>
                </a:ext>
                <a:ext uri="{FF2B5EF4-FFF2-40B4-BE49-F238E27FC236}">
                  <a16:creationId xmlns:a16="http://schemas.microsoft.com/office/drawing/2014/main" id="{00000000-0008-0000-0700-00006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7751" name="Button 103" hidden="1">
              <a:extLst>
                <a:ext uri="{63B3BB69-23CF-44E3-9099-C40C66FF867C}">
                  <a14:compatExt spid="_x0000_s27751"/>
                </a:ext>
                <a:ext uri="{FF2B5EF4-FFF2-40B4-BE49-F238E27FC236}">
                  <a16:creationId xmlns:a16="http://schemas.microsoft.com/office/drawing/2014/main" id="{00000000-0008-0000-0700-00006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7752" name="Button 104" hidden="1">
              <a:extLst>
                <a:ext uri="{63B3BB69-23CF-44E3-9099-C40C66FF867C}">
                  <a14:compatExt spid="_x0000_s27752"/>
                </a:ext>
                <a:ext uri="{FF2B5EF4-FFF2-40B4-BE49-F238E27FC236}">
                  <a16:creationId xmlns:a16="http://schemas.microsoft.com/office/drawing/2014/main" id="{00000000-0008-0000-0700-00006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7753" name="Button 105" hidden="1">
              <a:extLst>
                <a:ext uri="{63B3BB69-23CF-44E3-9099-C40C66FF867C}">
                  <a14:compatExt spid="_x0000_s27753"/>
                </a:ext>
                <a:ext uri="{FF2B5EF4-FFF2-40B4-BE49-F238E27FC236}">
                  <a16:creationId xmlns:a16="http://schemas.microsoft.com/office/drawing/2014/main" id="{00000000-0008-0000-0700-00006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7754" name="Button 106" hidden="1">
              <a:extLst>
                <a:ext uri="{63B3BB69-23CF-44E3-9099-C40C66FF867C}">
                  <a14:compatExt spid="_x0000_s27754"/>
                </a:ext>
                <a:ext uri="{FF2B5EF4-FFF2-40B4-BE49-F238E27FC236}">
                  <a16:creationId xmlns:a16="http://schemas.microsoft.com/office/drawing/2014/main" id="{00000000-0008-0000-0700-00006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7755" name="Button 107" hidden="1">
              <a:extLst>
                <a:ext uri="{63B3BB69-23CF-44E3-9099-C40C66FF867C}">
                  <a14:compatExt spid="_x0000_s27755"/>
                </a:ext>
                <a:ext uri="{FF2B5EF4-FFF2-40B4-BE49-F238E27FC236}">
                  <a16:creationId xmlns:a16="http://schemas.microsoft.com/office/drawing/2014/main" id="{00000000-0008-0000-0700-00006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7756" name="Button 108" hidden="1">
              <a:extLst>
                <a:ext uri="{63B3BB69-23CF-44E3-9099-C40C66FF867C}">
                  <a14:compatExt spid="_x0000_s27756"/>
                </a:ext>
                <a:ext uri="{FF2B5EF4-FFF2-40B4-BE49-F238E27FC236}">
                  <a16:creationId xmlns:a16="http://schemas.microsoft.com/office/drawing/2014/main" id="{00000000-0008-0000-0700-00006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7757" name="Button 109" hidden="1">
              <a:extLst>
                <a:ext uri="{63B3BB69-23CF-44E3-9099-C40C66FF867C}">
                  <a14:compatExt spid="_x0000_s27757"/>
                </a:ext>
                <a:ext uri="{FF2B5EF4-FFF2-40B4-BE49-F238E27FC236}">
                  <a16:creationId xmlns:a16="http://schemas.microsoft.com/office/drawing/2014/main" id="{00000000-0008-0000-0700-00006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7758" name="Button 110" hidden="1">
              <a:extLst>
                <a:ext uri="{63B3BB69-23CF-44E3-9099-C40C66FF867C}">
                  <a14:compatExt spid="_x0000_s27758"/>
                </a:ext>
                <a:ext uri="{FF2B5EF4-FFF2-40B4-BE49-F238E27FC236}">
                  <a16:creationId xmlns:a16="http://schemas.microsoft.com/office/drawing/2014/main" id="{00000000-0008-0000-0700-00006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7759" name="Button 111" hidden="1">
              <a:extLst>
                <a:ext uri="{63B3BB69-23CF-44E3-9099-C40C66FF867C}">
                  <a14:compatExt spid="_x0000_s27759"/>
                </a:ext>
                <a:ext uri="{FF2B5EF4-FFF2-40B4-BE49-F238E27FC236}">
                  <a16:creationId xmlns:a16="http://schemas.microsoft.com/office/drawing/2014/main" id="{00000000-0008-0000-0700-00006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7760" name="Button 112" hidden="1">
              <a:extLst>
                <a:ext uri="{63B3BB69-23CF-44E3-9099-C40C66FF867C}">
                  <a14:compatExt spid="_x0000_s27760"/>
                </a:ext>
                <a:ext uri="{FF2B5EF4-FFF2-40B4-BE49-F238E27FC236}">
                  <a16:creationId xmlns:a16="http://schemas.microsoft.com/office/drawing/2014/main" id="{00000000-0008-0000-0700-00007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7761" name="Button 113" hidden="1">
              <a:extLst>
                <a:ext uri="{63B3BB69-23CF-44E3-9099-C40C66FF867C}">
                  <a14:compatExt spid="_x0000_s27761"/>
                </a:ext>
                <a:ext uri="{FF2B5EF4-FFF2-40B4-BE49-F238E27FC236}">
                  <a16:creationId xmlns:a16="http://schemas.microsoft.com/office/drawing/2014/main" id="{00000000-0008-0000-0700-00007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7762" name="Button 114" hidden="1">
              <a:extLst>
                <a:ext uri="{63B3BB69-23CF-44E3-9099-C40C66FF867C}">
                  <a14:compatExt spid="_x0000_s27762"/>
                </a:ext>
                <a:ext uri="{FF2B5EF4-FFF2-40B4-BE49-F238E27FC236}">
                  <a16:creationId xmlns:a16="http://schemas.microsoft.com/office/drawing/2014/main" id="{00000000-0008-0000-0700-00007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7763" name="Button 115" hidden="1">
              <a:extLst>
                <a:ext uri="{63B3BB69-23CF-44E3-9099-C40C66FF867C}">
                  <a14:compatExt spid="_x0000_s27763"/>
                </a:ext>
                <a:ext uri="{FF2B5EF4-FFF2-40B4-BE49-F238E27FC236}">
                  <a16:creationId xmlns:a16="http://schemas.microsoft.com/office/drawing/2014/main" id="{00000000-0008-0000-0700-00007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7764" name="Button 116" hidden="1">
              <a:extLst>
                <a:ext uri="{63B3BB69-23CF-44E3-9099-C40C66FF867C}">
                  <a14:compatExt spid="_x0000_s27764"/>
                </a:ext>
                <a:ext uri="{FF2B5EF4-FFF2-40B4-BE49-F238E27FC236}">
                  <a16:creationId xmlns:a16="http://schemas.microsoft.com/office/drawing/2014/main" id="{00000000-0008-0000-0700-00007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7765" name="Button 117" hidden="1">
              <a:extLst>
                <a:ext uri="{63B3BB69-23CF-44E3-9099-C40C66FF867C}">
                  <a14:compatExt spid="_x0000_s27765"/>
                </a:ext>
                <a:ext uri="{FF2B5EF4-FFF2-40B4-BE49-F238E27FC236}">
                  <a16:creationId xmlns:a16="http://schemas.microsoft.com/office/drawing/2014/main" id="{00000000-0008-0000-0700-00007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7766" name="Button 118" hidden="1">
              <a:extLst>
                <a:ext uri="{63B3BB69-23CF-44E3-9099-C40C66FF867C}">
                  <a14:compatExt spid="_x0000_s27766"/>
                </a:ext>
                <a:ext uri="{FF2B5EF4-FFF2-40B4-BE49-F238E27FC236}">
                  <a16:creationId xmlns:a16="http://schemas.microsoft.com/office/drawing/2014/main" id="{00000000-0008-0000-0700-00007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7767" name="Button 119" hidden="1">
              <a:extLst>
                <a:ext uri="{63B3BB69-23CF-44E3-9099-C40C66FF867C}">
                  <a14:compatExt spid="_x0000_s27767"/>
                </a:ext>
                <a:ext uri="{FF2B5EF4-FFF2-40B4-BE49-F238E27FC236}">
                  <a16:creationId xmlns:a16="http://schemas.microsoft.com/office/drawing/2014/main" id="{00000000-0008-0000-0700-00007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7768" name="Button 120" hidden="1">
              <a:extLst>
                <a:ext uri="{63B3BB69-23CF-44E3-9099-C40C66FF867C}">
                  <a14:compatExt spid="_x0000_s27768"/>
                </a:ext>
                <a:ext uri="{FF2B5EF4-FFF2-40B4-BE49-F238E27FC236}">
                  <a16:creationId xmlns:a16="http://schemas.microsoft.com/office/drawing/2014/main" id="{00000000-0008-0000-0700-00007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7769" name="Button 121" hidden="1">
              <a:extLst>
                <a:ext uri="{63B3BB69-23CF-44E3-9099-C40C66FF867C}">
                  <a14:compatExt spid="_x0000_s27769"/>
                </a:ext>
                <a:ext uri="{FF2B5EF4-FFF2-40B4-BE49-F238E27FC236}">
                  <a16:creationId xmlns:a16="http://schemas.microsoft.com/office/drawing/2014/main" id="{00000000-0008-0000-0700-00007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7770" name="Button 122" hidden="1">
              <a:extLst>
                <a:ext uri="{63B3BB69-23CF-44E3-9099-C40C66FF867C}">
                  <a14:compatExt spid="_x0000_s27770"/>
                </a:ext>
                <a:ext uri="{FF2B5EF4-FFF2-40B4-BE49-F238E27FC236}">
                  <a16:creationId xmlns:a16="http://schemas.microsoft.com/office/drawing/2014/main" id="{00000000-0008-0000-0700-00007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7771" name="Button 123" hidden="1">
              <a:extLst>
                <a:ext uri="{63B3BB69-23CF-44E3-9099-C40C66FF867C}">
                  <a14:compatExt spid="_x0000_s27771"/>
                </a:ext>
                <a:ext uri="{FF2B5EF4-FFF2-40B4-BE49-F238E27FC236}">
                  <a16:creationId xmlns:a16="http://schemas.microsoft.com/office/drawing/2014/main" id="{00000000-0008-0000-0700-00007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7772" name="Button 124" hidden="1">
              <a:extLst>
                <a:ext uri="{63B3BB69-23CF-44E3-9099-C40C66FF867C}">
                  <a14:compatExt spid="_x0000_s27772"/>
                </a:ext>
                <a:ext uri="{FF2B5EF4-FFF2-40B4-BE49-F238E27FC236}">
                  <a16:creationId xmlns:a16="http://schemas.microsoft.com/office/drawing/2014/main" id="{00000000-0008-0000-0700-00007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7773" name="Button 125" hidden="1">
              <a:extLst>
                <a:ext uri="{63B3BB69-23CF-44E3-9099-C40C66FF867C}">
                  <a14:compatExt spid="_x0000_s27773"/>
                </a:ext>
                <a:ext uri="{FF2B5EF4-FFF2-40B4-BE49-F238E27FC236}">
                  <a16:creationId xmlns:a16="http://schemas.microsoft.com/office/drawing/2014/main" id="{00000000-0008-0000-0700-00007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7774" name="Button 126" hidden="1">
              <a:extLst>
                <a:ext uri="{63B3BB69-23CF-44E3-9099-C40C66FF867C}">
                  <a14:compatExt spid="_x0000_s27774"/>
                </a:ext>
                <a:ext uri="{FF2B5EF4-FFF2-40B4-BE49-F238E27FC236}">
                  <a16:creationId xmlns:a16="http://schemas.microsoft.com/office/drawing/2014/main" id="{00000000-0008-0000-0700-00007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7775" name="Button 127" hidden="1">
              <a:extLst>
                <a:ext uri="{63B3BB69-23CF-44E3-9099-C40C66FF867C}">
                  <a14:compatExt spid="_x0000_s27775"/>
                </a:ext>
                <a:ext uri="{FF2B5EF4-FFF2-40B4-BE49-F238E27FC236}">
                  <a16:creationId xmlns:a16="http://schemas.microsoft.com/office/drawing/2014/main" id="{00000000-0008-0000-0700-00007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7776" name="Button 128" hidden="1">
              <a:extLst>
                <a:ext uri="{63B3BB69-23CF-44E3-9099-C40C66FF867C}">
                  <a14:compatExt spid="_x0000_s27776"/>
                </a:ext>
                <a:ext uri="{FF2B5EF4-FFF2-40B4-BE49-F238E27FC236}">
                  <a16:creationId xmlns:a16="http://schemas.microsoft.com/office/drawing/2014/main" id="{00000000-0008-0000-0700-00008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7777" name="Button 129" hidden="1">
              <a:extLst>
                <a:ext uri="{63B3BB69-23CF-44E3-9099-C40C66FF867C}">
                  <a14:compatExt spid="_x0000_s27777"/>
                </a:ext>
                <a:ext uri="{FF2B5EF4-FFF2-40B4-BE49-F238E27FC236}">
                  <a16:creationId xmlns:a16="http://schemas.microsoft.com/office/drawing/2014/main" id="{00000000-0008-0000-0700-00008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7778" name="Button 130" hidden="1">
              <a:extLst>
                <a:ext uri="{63B3BB69-23CF-44E3-9099-C40C66FF867C}">
                  <a14:compatExt spid="_x0000_s27778"/>
                </a:ext>
                <a:ext uri="{FF2B5EF4-FFF2-40B4-BE49-F238E27FC236}">
                  <a16:creationId xmlns:a16="http://schemas.microsoft.com/office/drawing/2014/main" id="{00000000-0008-0000-0700-00008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7779" name="Button 131" hidden="1">
              <a:extLst>
                <a:ext uri="{63B3BB69-23CF-44E3-9099-C40C66FF867C}">
                  <a14:compatExt spid="_x0000_s27779"/>
                </a:ext>
                <a:ext uri="{FF2B5EF4-FFF2-40B4-BE49-F238E27FC236}">
                  <a16:creationId xmlns:a16="http://schemas.microsoft.com/office/drawing/2014/main" id="{00000000-0008-0000-0700-00008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7780" name="Button 132" hidden="1">
              <a:extLst>
                <a:ext uri="{63B3BB69-23CF-44E3-9099-C40C66FF867C}">
                  <a14:compatExt spid="_x0000_s27780"/>
                </a:ext>
                <a:ext uri="{FF2B5EF4-FFF2-40B4-BE49-F238E27FC236}">
                  <a16:creationId xmlns:a16="http://schemas.microsoft.com/office/drawing/2014/main" id="{00000000-0008-0000-0700-00008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7781" name="Button 133" hidden="1">
              <a:extLst>
                <a:ext uri="{63B3BB69-23CF-44E3-9099-C40C66FF867C}">
                  <a14:compatExt spid="_x0000_s27781"/>
                </a:ext>
                <a:ext uri="{FF2B5EF4-FFF2-40B4-BE49-F238E27FC236}">
                  <a16:creationId xmlns:a16="http://schemas.microsoft.com/office/drawing/2014/main" id="{00000000-0008-0000-0700-00008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7782" name="Button 134" hidden="1">
              <a:extLst>
                <a:ext uri="{63B3BB69-23CF-44E3-9099-C40C66FF867C}">
                  <a14:compatExt spid="_x0000_s27782"/>
                </a:ext>
                <a:ext uri="{FF2B5EF4-FFF2-40B4-BE49-F238E27FC236}">
                  <a16:creationId xmlns:a16="http://schemas.microsoft.com/office/drawing/2014/main" id="{00000000-0008-0000-0700-00008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7783" name="Button 135" hidden="1">
              <a:extLst>
                <a:ext uri="{63B3BB69-23CF-44E3-9099-C40C66FF867C}">
                  <a14:compatExt spid="_x0000_s27783"/>
                </a:ext>
                <a:ext uri="{FF2B5EF4-FFF2-40B4-BE49-F238E27FC236}">
                  <a16:creationId xmlns:a16="http://schemas.microsoft.com/office/drawing/2014/main" id="{00000000-0008-0000-0700-00008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7784" name="Button 136" hidden="1">
              <a:extLst>
                <a:ext uri="{63B3BB69-23CF-44E3-9099-C40C66FF867C}">
                  <a14:compatExt spid="_x0000_s27784"/>
                </a:ext>
                <a:ext uri="{FF2B5EF4-FFF2-40B4-BE49-F238E27FC236}">
                  <a16:creationId xmlns:a16="http://schemas.microsoft.com/office/drawing/2014/main" id="{00000000-0008-0000-0700-00008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7785" name="Button 137" hidden="1">
              <a:extLst>
                <a:ext uri="{63B3BB69-23CF-44E3-9099-C40C66FF867C}">
                  <a14:compatExt spid="_x0000_s27785"/>
                </a:ext>
                <a:ext uri="{FF2B5EF4-FFF2-40B4-BE49-F238E27FC236}">
                  <a16:creationId xmlns:a16="http://schemas.microsoft.com/office/drawing/2014/main" id="{00000000-0008-0000-0700-00008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7786" name="Button 138" hidden="1">
              <a:extLst>
                <a:ext uri="{63B3BB69-23CF-44E3-9099-C40C66FF867C}">
                  <a14:compatExt spid="_x0000_s27786"/>
                </a:ext>
                <a:ext uri="{FF2B5EF4-FFF2-40B4-BE49-F238E27FC236}">
                  <a16:creationId xmlns:a16="http://schemas.microsoft.com/office/drawing/2014/main" id="{00000000-0008-0000-0700-00008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7787" name="Button 139" hidden="1">
              <a:extLst>
                <a:ext uri="{63B3BB69-23CF-44E3-9099-C40C66FF867C}">
                  <a14:compatExt spid="_x0000_s27787"/>
                </a:ext>
                <a:ext uri="{FF2B5EF4-FFF2-40B4-BE49-F238E27FC236}">
                  <a16:creationId xmlns:a16="http://schemas.microsoft.com/office/drawing/2014/main" id="{00000000-0008-0000-0700-00008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7788" name="Button 140" hidden="1">
              <a:extLst>
                <a:ext uri="{63B3BB69-23CF-44E3-9099-C40C66FF867C}">
                  <a14:compatExt spid="_x0000_s27788"/>
                </a:ext>
                <a:ext uri="{FF2B5EF4-FFF2-40B4-BE49-F238E27FC236}">
                  <a16:creationId xmlns:a16="http://schemas.microsoft.com/office/drawing/2014/main" id="{00000000-0008-0000-0700-00008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8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8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8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8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8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2774" name="Button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8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2775" name="Button 7" hidden="1">
              <a:extLst>
                <a:ext uri="{63B3BB69-23CF-44E3-9099-C40C66FF867C}">
                  <a14:compatExt spid="_x0000_s32775"/>
                </a:ext>
                <a:ext uri="{FF2B5EF4-FFF2-40B4-BE49-F238E27FC236}">
                  <a16:creationId xmlns:a16="http://schemas.microsoft.com/office/drawing/2014/main" id="{00000000-0008-0000-0800-00000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2776" name="Button 8" hidden="1">
              <a:extLst>
                <a:ext uri="{63B3BB69-23CF-44E3-9099-C40C66FF867C}">
                  <a14:compatExt spid="_x0000_s32776"/>
                </a:ext>
                <a:ext uri="{FF2B5EF4-FFF2-40B4-BE49-F238E27FC236}">
                  <a16:creationId xmlns:a16="http://schemas.microsoft.com/office/drawing/2014/main" id="{00000000-0008-0000-0800-00000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2777" name="Button 9" hidden="1">
              <a:extLst>
                <a:ext uri="{63B3BB69-23CF-44E3-9099-C40C66FF867C}">
                  <a14:compatExt spid="_x0000_s32777"/>
                </a:ext>
                <a:ext uri="{FF2B5EF4-FFF2-40B4-BE49-F238E27FC236}">
                  <a16:creationId xmlns:a16="http://schemas.microsoft.com/office/drawing/2014/main" id="{00000000-0008-0000-0800-00000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2778" name="Button 10" hidden="1">
              <a:extLst>
                <a:ext uri="{63B3BB69-23CF-44E3-9099-C40C66FF867C}">
                  <a14:compatExt spid="_x0000_s32778"/>
                </a:ext>
                <a:ext uri="{FF2B5EF4-FFF2-40B4-BE49-F238E27FC236}">
                  <a16:creationId xmlns:a16="http://schemas.microsoft.com/office/drawing/2014/main" id="{00000000-0008-0000-0800-00000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2779" name="Button 11" hidden="1">
              <a:extLst>
                <a:ext uri="{63B3BB69-23CF-44E3-9099-C40C66FF867C}">
                  <a14:compatExt spid="_x0000_s32779"/>
                </a:ext>
                <a:ext uri="{FF2B5EF4-FFF2-40B4-BE49-F238E27FC236}">
                  <a16:creationId xmlns:a16="http://schemas.microsoft.com/office/drawing/2014/main" id="{00000000-0008-0000-0800-00000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2780" name="Button 12" hidden="1">
              <a:extLst>
                <a:ext uri="{63B3BB69-23CF-44E3-9099-C40C66FF867C}">
                  <a14:compatExt spid="_x0000_s32780"/>
                </a:ext>
                <a:ext uri="{FF2B5EF4-FFF2-40B4-BE49-F238E27FC236}">
                  <a16:creationId xmlns:a16="http://schemas.microsoft.com/office/drawing/2014/main" id="{00000000-0008-0000-0800-00000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2781" name="Button 13" hidden="1">
              <a:extLst>
                <a:ext uri="{63B3BB69-23CF-44E3-9099-C40C66FF867C}">
                  <a14:compatExt spid="_x0000_s32781"/>
                </a:ext>
                <a:ext uri="{FF2B5EF4-FFF2-40B4-BE49-F238E27FC236}">
                  <a16:creationId xmlns:a16="http://schemas.microsoft.com/office/drawing/2014/main" id="{00000000-0008-0000-0800-00000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2782" name="Button 14" hidden="1">
              <a:extLst>
                <a:ext uri="{63B3BB69-23CF-44E3-9099-C40C66FF867C}">
                  <a14:compatExt spid="_x0000_s32782"/>
                </a:ext>
                <a:ext uri="{FF2B5EF4-FFF2-40B4-BE49-F238E27FC236}">
                  <a16:creationId xmlns:a16="http://schemas.microsoft.com/office/drawing/2014/main" id="{00000000-0008-0000-0800-00000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2783" name="Button 15" hidden="1">
              <a:extLst>
                <a:ext uri="{63B3BB69-23CF-44E3-9099-C40C66FF867C}">
                  <a14:compatExt spid="_x0000_s32783"/>
                </a:ext>
                <a:ext uri="{FF2B5EF4-FFF2-40B4-BE49-F238E27FC236}">
                  <a16:creationId xmlns:a16="http://schemas.microsoft.com/office/drawing/2014/main" id="{00000000-0008-0000-0800-00000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2784" name="Button 16" hidden="1">
              <a:extLst>
                <a:ext uri="{63B3BB69-23CF-44E3-9099-C40C66FF867C}">
                  <a14:compatExt spid="_x0000_s32784"/>
                </a:ext>
                <a:ext uri="{FF2B5EF4-FFF2-40B4-BE49-F238E27FC236}">
                  <a16:creationId xmlns:a16="http://schemas.microsoft.com/office/drawing/2014/main" id="{00000000-0008-0000-0800-00001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2785" name="Button 17" hidden="1">
              <a:extLst>
                <a:ext uri="{63B3BB69-23CF-44E3-9099-C40C66FF867C}">
                  <a14:compatExt spid="_x0000_s32785"/>
                </a:ext>
                <a:ext uri="{FF2B5EF4-FFF2-40B4-BE49-F238E27FC236}">
                  <a16:creationId xmlns:a16="http://schemas.microsoft.com/office/drawing/2014/main" id="{00000000-0008-0000-0800-00001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2786" name="Button 18" hidden="1">
              <a:extLst>
                <a:ext uri="{63B3BB69-23CF-44E3-9099-C40C66FF867C}">
                  <a14:compatExt spid="_x0000_s32786"/>
                </a:ext>
                <a:ext uri="{FF2B5EF4-FFF2-40B4-BE49-F238E27FC236}">
                  <a16:creationId xmlns:a16="http://schemas.microsoft.com/office/drawing/2014/main" id="{00000000-0008-0000-0800-00001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2787" name="Button 19" hidden="1">
              <a:extLst>
                <a:ext uri="{63B3BB69-23CF-44E3-9099-C40C66FF867C}">
                  <a14:compatExt spid="_x0000_s32787"/>
                </a:ext>
                <a:ext uri="{FF2B5EF4-FFF2-40B4-BE49-F238E27FC236}">
                  <a16:creationId xmlns:a16="http://schemas.microsoft.com/office/drawing/2014/main" id="{00000000-0008-0000-0800-00001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2788" name="Button 20" hidden="1">
              <a:extLst>
                <a:ext uri="{63B3BB69-23CF-44E3-9099-C40C66FF867C}">
                  <a14:compatExt spid="_x0000_s32788"/>
                </a:ext>
                <a:ext uri="{FF2B5EF4-FFF2-40B4-BE49-F238E27FC236}">
                  <a16:creationId xmlns:a16="http://schemas.microsoft.com/office/drawing/2014/main" id="{00000000-0008-0000-0800-00001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2789" name="Button 21" hidden="1">
              <a:extLst>
                <a:ext uri="{63B3BB69-23CF-44E3-9099-C40C66FF867C}">
                  <a14:compatExt spid="_x0000_s32789"/>
                </a:ext>
                <a:ext uri="{FF2B5EF4-FFF2-40B4-BE49-F238E27FC236}">
                  <a16:creationId xmlns:a16="http://schemas.microsoft.com/office/drawing/2014/main" id="{00000000-0008-0000-0800-00001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2790" name="Button 22" hidden="1">
              <a:extLst>
                <a:ext uri="{63B3BB69-23CF-44E3-9099-C40C66FF867C}">
                  <a14:compatExt spid="_x0000_s32790"/>
                </a:ext>
                <a:ext uri="{FF2B5EF4-FFF2-40B4-BE49-F238E27FC236}">
                  <a16:creationId xmlns:a16="http://schemas.microsoft.com/office/drawing/2014/main" id="{00000000-0008-0000-0800-00001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2791" name="Button 23" hidden="1">
              <a:extLst>
                <a:ext uri="{63B3BB69-23CF-44E3-9099-C40C66FF867C}">
                  <a14:compatExt spid="_x0000_s32791"/>
                </a:ext>
                <a:ext uri="{FF2B5EF4-FFF2-40B4-BE49-F238E27FC236}">
                  <a16:creationId xmlns:a16="http://schemas.microsoft.com/office/drawing/2014/main" id="{00000000-0008-0000-0800-00001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2792" name="Button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8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2793" name="Button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8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2794" name="Button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8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2795" name="Button 27" hidden="1">
              <a:extLst>
                <a:ext uri="{63B3BB69-23CF-44E3-9099-C40C66FF867C}">
                  <a14:compatExt spid="_x0000_s32795"/>
                </a:ext>
                <a:ext uri="{FF2B5EF4-FFF2-40B4-BE49-F238E27FC236}">
                  <a16:creationId xmlns:a16="http://schemas.microsoft.com/office/drawing/2014/main" id="{00000000-0008-0000-0800-00001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2796" name="Button 28" hidden="1">
              <a:extLst>
                <a:ext uri="{63B3BB69-23CF-44E3-9099-C40C66FF867C}">
                  <a14:compatExt spid="_x0000_s32796"/>
                </a:ext>
                <a:ext uri="{FF2B5EF4-FFF2-40B4-BE49-F238E27FC236}">
                  <a16:creationId xmlns:a16="http://schemas.microsoft.com/office/drawing/2014/main" id="{00000000-0008-0000-0800-00001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2797" name="Button 29" hidden="1">
              <a:extLst>
                <a:ext uri="{63B3BB69-23CF-44E3-9099-C40C66FF867C}">
                  <a14:compatExt spid="_x0000_s32797"/>
                </a:ext>
                <a:ext uri="{FF2B5EF4-FFF2-40B4-BE49-F238E27FC236}">
                  <a16:creationId xmlns:a16="http://schemas.microsoft.com/office/drawing/2014/main" id="{00000000-0008-0000-0800-00001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2798" name="Button 30" hidden="1">
              <a:extLst>
                <a:ext uri="{63B3BB69-23CF-44E3-9099-C40C66FF867C}">
                  <a14:compatExt spid="_x0000_s32798"/>
                </a:ext>
                <a:ext uri="{FF2B5EF4-FFF2-40B4-BE49-F238E27FC236}">
                  <a16:creationId xmlns:a16="http://schemas.microsoft.com/office/drawing/2014/main" id="{00000000-0008-0000-0800-00001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2799" name="Button 31" hidden="1">
              <a:extLst>
                <a:ext uri="{63B3BB69-23CF-44E3-9099-C40C66FF867C}">
                  <a14:compatExt spid="_x0000_s32799"/>
                </a:ext>
                <a:ext uri="{FF2B5EF4-FFF2-40B4-BE49-F238E27FC236}">
                  <a16:creationId xmlns:a16="http://schemas.microsoft.com/office/drawing/2014/main" id="{00000000-0008-0000-0800-00001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2800" name="Button 32" hidden="1">
              <a:extLst>
                <a:ext uri="{63B3BB69-23CF-44E3-9099-C40C66FF867C}">
                  <a14:compatExt spid="_x0000_s32800"/>
                </a:ext>
                <a:ext uri="{FF2B5EF4-FFF2-40B4-BE49-F238E27FC236}">
                  <a16:creationId xmlns:a16="http://schemas.microsoft.com/office/drawing/2014/main" id="{00000000-0008-0000-0800-00002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2801" name="Button 33" hidden="1">
              <a:extLst>
                <a:ext uri="{63B3BB69-23CF-44E3-9099-C40C66FF867C}">
                  <a14:compatExt spid="_x0000_s32801"/>
                </a:ext>
                <a:ext uri="{FF2B5EF4-FFF2-40B4-BE49-F238E27FC236}">
                  <a16:creationId xmlns:a16="http://schemas.microsoft.com/office/drawing/2014/main" id="{00000000-0008-0000-0800-00002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2802" name="Button 34" hidden="1">
              <a:extLst>
                <a:ext uri="{63B3BB69-23CF-44E3-9099-C40C66FF867C}">
                  <a14:compatExt spid="_x0000_s32802"/>
                </a:ext>
                <a:ext uri="{FF2B5EF4-FFF2-40B4-BE49-F238E27FC236}">
                  <a16:creationId xmlns:a16="http://schemas.microsoft.com/office/drawing/2014/main" id="{00000000-0008-0000-0800-00002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2803" name="Button 35" hidden="1">
              <a:extLst>
                <a:ext uri="{63B3BB69-23CF-44E3-9099-C40C66FF867C}">
                  <a14:compatExt spid="_x0000_s32803"/>
                </a:ext>
                <a:ext uri="{FF2B5EF4-FFF2-40B4-BE49-F238E27FC236}">
                  <a16:creationId xmlns:a16="http://schemas.microsoft.com/office/drawing/2014/main" id="{00000000-0008-0000-0800-00002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2804" name="Button 36" hidden="1">
              <a:extLst>
                <a:ext uri="{63B3BB69-23CF-44E3-9099-C40C66FF867C}">
                  <a14:compatExt spid="_x0000_s32804"/>
                </a:ext>
                <a:ext uri="{FF2B5EF4-FFF2-40B4-BE49-F238E27FC236}">
                  <a16:creationId xmlns:a16="http://schemas.microsoft.com/office/drawing/2014/main" id="{00000000-0008-0000-0800-00002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2805" name="Button 37" hidden="1">
              <a:extLst>
                <a:ext uri="{63B3BB69-23CF-44E3-9099-C40C66FF867C}">
                  <a14:compatExt spid="_x0000_s32805"/>
                </a:ext>
                <a:ext uri="{FF2B5EF4-FFF2-40B4-BE49-F238E27FC236}">
                  <a16:creationId xmlns:a16="http://schemas.microsoft.com/office/drawing/2014/main" id="{00000000-0008-0000-0800-00002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2806" name="Button 38" hidden="1">
              <a:extLst>
                <a:ext uri="{63B3BB69-23CF-44E3-9099-C40C66FF867C}">
                  <a14:compatExt spid="_x0000_s32806"/>
                </a:ext>
                <a:ext uri="{FF2B5EF4-FFF2-40B4-BE49-F238E27FC236}">
                  <a16:creationId xmlns:a16="http://schemas.microsoft.com/office/drawing/2014/main" id="{00000000-0008-0000-0800-00002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2807" name="Button 39" hidden="1">
              <a:extLst>
                <a:ext uri="{63B3BB69-23CF-44E3-9099-C40C66FF867C}">
                  <a14:compatExt spid="_x0000_s32807"/>
                </a:ext>
                <a:ext uri="{FF2B5EF4-FFF2-40B4-BE49-F238E27FC236}">
                  <a16:creationId xmlns:a16="http://schemas.microsoft.com/office/drawing/2014/main" id="{00000000-0008-0000-0800-00002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2808" name="Button 40" hidden="1">
              <a:extLst>
                <a:ext uri="{63B3BB69-23CF-44E3-9099-C40C66FF867C}">
                  <a14:compatExt spid="_x0000_s32808"/>
                </a:ext>
                <a:ext uri="{FF2B5EF4-FFF2-40B4-BE49-F238E27FC236}">
                  <a16:creationId xmlns:a16="http://schemas.microsoft.com/office/drawing/2014/main" id="{00000000-0008-0000-0800-00002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2809" name="Button 41" hidden="1">
              <a:extLst>
                <a:ext uri="{63B3BB69-23CF-44E3-9099-C40C66FF867C}">
                  <a14:compatExt spid="_x0000_s32809"/>
                </a:ext>
                <a:ext uri="{FF2B5EF4-FFF2-40B4-BE49-F238E27FC236}">
                  <a16:creationId xmlns:a16="http://schemas.microsoft.com/office/drawing/2014/main" id="{00000000-0008-0000-0800-00002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2810" name="Button 42" hidden="1">
              <a:extLst>
                <a:ext uri="{63B3BB69-23CF-44E3-9099-C40C66FF867C}">
                  <a14:compatExt spid="_x0000_s32810"/>
                </a:ext>
                <a:ext uri="{FF2B5EF4-FFF2-40B4-BE49-F238E27FC236}">
                  <a16:creationId xmlns:a16="http://schemas.microsoft.com/office/drawing/2014/main" id="{00000000-0008-0000-0800-00002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2811" name="Button 43" hidden="1">
              <a:extLst>
                <a:ext uri="{63B3BB69-23CF-44E3-9099-C40C66FF867C}">
                  <a14:compatExt spid="_x0000_s32811"/>
                </a:ext>
                <a:ext uri="{FF2B5EF4-FFF2-40B4-BE49-F238E27FC236}">
                  <a16:creationId xmlns:a16="http://schemas.microsoft.com/office/drawing/2014/main" id="{00000000-0008-0000-0800-00002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2812" name="Button 44" hidden="1">
              <a:extLst>
                <a:ext uri="{63B3BB69-23CF-44E3-9099-C40C66FF867C}">
                  <a14:compatExt spid="_x0000_s32812"/>
                </a:ext>
                <a:ext uri="{FF2B5EF4-FFF2-40B4-BE49-F238E27FC236}">
                  <a16:creationId xmlns:a16="http://schemas.microsoft.com/office/drawing/2014/main" id="{00000000-0008-0000-0800-00002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2813" name="Button 45" hidden="1">
              <a:extLst>
                <a:ext uri="{63B3BB69-23CF-44E3-9099-C40C66FF867C}">
                  <a14:compatExt spid="_x0000_s32813"/>
                </a:ext>
                <a:ext uri="{FF2B5EF4-FFF2-40B4-BE49-F238E27FC236}">
                  <a16:creationId xmlns:a16="http://schemas.microsoft.com/office/drawing/2014/main" id="{00000000-0008-0000-0800-00002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2814" name="Button 46" hidden="1">
              <a:extLst>
                <a:ext uri="{63B3BB69-23CF-44E3-9099-C40C66FF867C}">
                  <a14:compatExt spid="_x0000_s32814"/>
                </a:ext>
                <a:ext uri="{FF2B5EF4-FFF2-40B4-BE49-F238E27FC236}">
                  <a16:creationId xmlns:a16="http://schemas.microsoft.com/office/drawing/2014/main" id="{00000000-0008-0000-0800-00002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2815" name="Button 47" hidden="1">
              <a:extLst>
                <a:ext uri="{63B3BB69-23CF-44E3-9099-C40C66FF867C}">
                  <a14:compatExt spid="_x0000_s32815"/>
                </a:ext>
                <a:ext uri="{FF2B5EF4-FFF2-40B4-BE49-F238E27FC236}">
                  <a16:creationId xmlns:a16="http://schemas.microsoft.com/office/drawing/2014/main" id="{00000000-0008-0000-0800-00002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2816" name="Button 48" hidden="1">
              <a:extLst>
                <a:ext uri="{63B3BB69-23CF-44E3-9099-C40C66FF867C}">
                  <a14:compatExt spid="_x0000_s32816"/>
                </a:ext>
                <a:ext uri="{FF2B5EF4-FFF2-40B4-BE49-F238E27FC236}">
                  <a16:creationId xmlns:a16="http://schemas.microsoft.com/office/drawing/2014/main" id="{00000000-0008-0000-0800-00003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2817" name="Button 49" hidden="1">
              <a:extLst>
                <a:ext uri="{63B3BB69-23CF-44E3-9099-C40C66FF867C}">
                  <a14:compatExt spid="_x0000_s32817"/>
                </a:ext>
                <a:ext uri="{FF2B5EF4-FFF2-40B4-BE49-F238E27FC236}">
                  <a16:creationId xmlns:a16="http://schemas.microsoft.com/office/drawing/2014/main" id="{00000000-0008-0000-0800-00003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2818" name="Button 50" hidden="1">
              <a:extLst>
                <a:ext uri="{63B3BB69-23CF-44E3-9099-C40C66FF867C}">
                  <a14:compatExt spid="_x0000_s32818"/>
                </a:ext>
                <a:ext uri="{FF2B5EF4-FFF2-40B4-BE49-F238E27FC236}">
                  <a16:creationId xmlns:a16="http://schemas.microsoft.com/office/drawing/2014/main" id="{00000000-0008-0000-0800-00003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2819" name="Button 51" hidden="1">
              <a:extLst>
                <a:ext uri="{63B3BB69-23CF-44E3-9099-C40C66FF867C}">
                  <a14:compatExt spid="_x0000_s32819"/>
                </a:ext>
                <a:ext uri="{FF2B5EF4-FFF2-40B4-BE49-F238E27FC236}">
                  <a16:creationId xmlns:a16="http://schemas.microsoft.com/office/drawing/2014/main" id="{00000000-0008-0000-0800-00003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2820" name="Button 52" hidden="1">
              <a:extLst>
                <a:ext uri="{63B3BB69-23CF-44E3-9099-C40C66FF867C}">
                  <a14:compatExt spid="_x0000_s32820"/>
                </a:ext>
                <a:ext uri="{FF2B5EF4-FFF2-40B4-BE49-F238E27FC236}">
                  <a16:creationId xmlns:a16="http://schemas.microsoft.com/office/drawing/2014/main" id="{00000000-0008-0000-0800-00003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2821" name="Button 53" hidden="1">
              <a:extLst>
                <a:ext uri="{63B3BB69-23CF-44E3-9099-C40C66FF867C}">
                  <a14:compatExt spid="_x0000_s32821"/>
                </a:ext>
                <a:ext uri="{FF2B5EF4-FFF2-40B4-BE49-F238E27FC236}">
                  <a16:creationId xmlns:a16="http://schemas.microsoft.com/office/drawing/2014/main" id="{00000000-0008-0000-0800-00003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2822" name="Button 54" hidden="1">
              <a:extLst>
                <a:ext uri="{63B3BB69-23CF-44E3-9099-C40C66FF867C}">
                  <a14:compatExt spid="_x0000_s32822"/>
                </a:ext>
                <a:ext uri="{FF2B5EF4-FFF2-40B4-BE49-F238E27FC236}">
                  <a16:creationId xmlns:a16="http://schemas.microsoft.com/office/drawing/2014/main" id="{00000000-0008-0000-0800-00003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2823" name="Button 55" hidden="1">
              <a:extLst>
                <a:ext uri="{63B3BB69-23CF-44E3-9099-C40C66FF867C}">
                  <a14:compatExt spid="_x0000_s32823"/>
                </a:ext>
                <a:ext uri="{FF2B5EF4-FFF2-40B4-BE49-F238E27FC236}">
                  <a16:creationId xmlns:a16="http://schemas.microsoft.com/office/drawing/2014/main" id="{00000000-0008-0000-0800-00003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2824" name="Button 56" hidden="1">
              <a:extLst>
                <a:ext uri="{63B3BB69-23CF-44E3-9099-C40C66FF867C}">
                  <a14:compatExt spid="_x0000_s32824"/>
                </a:ext>
                <a:ext uri="{FF2B5EF4-FFF2-40B4-BE49-F238E27FC236}">
                  <a16:creationId xmlns:a16="http://schemas.microsoft.com/office/drawing/2014/main" id="{00000000-0008-0000-0800-00003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2825" name="Button 57" hidden="1">
              <a:extLst>
                <a:ext uri="{63B3BB69-23CF-44E3-9099-C40C66FF867C}">
                  <a14:compatExt spid="_x0000_s32825"/>
                </a:ext>
                <a:ext uri="{FF2B5EF4-FFF2-40B4-BE49-F238E27FC236}">
                  <a16:creationId xmlns:a16="http://schemas.microsoft.com/office/drawing/2014/main" id="{00000000-0008-0000-0800-00003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2826" name="Button 58" hidden="1">
              <a:extLst>
                <a:ext uri="{63B3BB69-23CF-44E3-9099-C40C66FF867C}">
                  <a14:compatExt spid="_x0000_s32826"/>
                </a:ext>
                <a:ext uri="{FF2B5EF4-FFF2-40B4-BE49-F238E27FC236}">
                  <a16:creationId xmlns:a16="http://schemas.microsoft.com/office/drawing/2014/main" id="{00000000-0008-0000-0800-00003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2827" name="Button 59" hidden="1">
              <a:extLst>
                <a:ext uri="{63B3BB69-23CF-44E3-9099-C40C66FF867C}">
                  <a14:compatExt spid="_x0000_s32827"/>
                </a:ext>
                <a:ext uri="{FF2B5EF4-FFF2-40B4-BE49-F238E27FC236}">
                  <a16:creationId xmlns:a16="http://schemas.microsoft.com/office/drawing/2014/main" id="{00000000-0008-0000-0800-00003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2828" name="Button 60" hidden="1">
              <a:extLst>
                <a:ext uri="{63B3BB69-23CF-44E3-9099-C40C66FF867C}">
                  <a14:compatExt spid="_x0000_s32828"/>
                </a:ext>
                <a:ext uri="{FF2B5EF4-FFF2-40B4-BE49-F238E27FC236}">
                  <a16:creationId xmlns:a16="http://schemas.microsoft.com/office/drawing/2014/main" id="{00000000-0008-0000-0800-00003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2829" name="Button 61" hidden="1">
              <a:extLst>
                <a:ext uri="{63B3BB69-23CF-44E3-9099-C40C66FF867C}">
                  <a14:compatExt spid="_x0000_s32829"/>
                </a:ext>
                <a:ext uri="{FF2B5EF4-FFF2-40B4-BE49-F238E27FC236}">
                  <a16:creationId xmlns:a16="http://schemas.microsoft.com/office/drawing/2014/main" id="{00000000-0008-0000-0800-00003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2830" name="Button 62" hidden="1">
              <a:extLst>
                <a:ext uri="{63B3BB69-23CF-44E3-9099-C40C66FF867C}">
                  <a14:compatExt spid="_x0000_s32830"/>
                </a:ext>
                <a:ext uri="{FF2B5EF4-FFF2-40B4-BE49-F238E27FC236}">
                  <a16:creationId xmlns:a16="http://schemas.microsoft.com/office/drawing/2014/main" id="{00000000-0008-0000-0800-00003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2831" name="Button 63" hidden="1">
              <a:extLst>
                <a:ext uri="{63B3BB69-23CF-44E3-9099-C40C66FF867C}">
                  <a14:compatExt spid="_x0000_s32831"/>
                </a:ext>
                <a:ext uri="{FF2B5EF4-FFF2-40B4-BE49-F238E27FC236}">
                  <a16:creationId xmlns:a16="http://schemas.microsoft.com/office/drawing/2014/main" id="{00000000-0008-0000-0800-00003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2832" name="Button 64" hidden="1">
              <a:extLst>
                <a:ext uri="{63B3BB69-23CF-44E3-9099-C40C66FF867C}">
                  <a14:compatExt spid="_x0000_s32832"/>
                </a:ext>
                <a:ext uri="{FF2B5EF4-FFF2-40B4-BE49-F238E27FC236}">
                  <a16:creationId xmlns:a16="http://schemas.microsoft.com/office/drawing/2014/main" id="{00000000-0008-0000-0800-00004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2833" name="Button 65" hidden="1">
              <a:extLst>
                <a:ext uri="{63B3BB69-23CF-44E3-9099-C40C66FF867C}">
                  <a14:compatExt spid="_x0000_s32833"/>
                </a:ext>
                <a:ext uri="{FF2B5EF4-FFF2-40B4-BE49-F238E27FC236}">
                  <a16:creationId xmlns:a16="http://schemas.microsoft.com/office/drawing/2014/main" id="{00000000-0008-0000-0800-00004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2834" name="Button 66" hidden="1">
              <a:extLst>
                <a:ext uri="{63B3BB69-23CF-44E3-9099-C40C66FF867C}">
                  <a14:compatExt spid="_x0000_s32834"/>
                </a:ext>
                <a:ext uri="{FF2B5EF4-FFF2-40B4-BE49-F238E27FC236}">
                  <a16:creationId xmlns:a16="http://schemas.microsoft.com/office/drawing/2014/main" id="{00000000-0008-0000-0800-00004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2835" name="Button 67" hidden="1">
              <a:extLst>
                <a:ext uri="{63B3BB69-23CF-44E3-9099-C40C66FF867C}">
                  <a14:compatExt spid="_x0000_s32835"/>
                </a:ext>
                <a:ext uri="{FF2B5EF4-FFF2-40B4-BE49-F238E27FC236}">
                  <a16:creationId xmlns:a16="http://schemas.microsoft.com/office/drawing/2014/main" id="{00000000-0008-0000-0800-00004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2836" name="Button 68" hidden="1">
              <a:extLst>
                <a:ext uri="{63B3BB69-23CF-44E3-9099-C40C66FF867C}">
                  <a14:compatExt spid="_x0000_s32836"/>
                </a:ext>
                <a:ext uri="{FF2B5EF4-FFF2-40B4-BE49-F238E27FC236}">
                  <a16:creationId xmlns:a16="http://schemas.microsoft.com/office/drawing/2014/main" id="{00000000-0008-0000-0800-00004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2837" name="Button 69" hidden="1">
              <a:extLst>
                <a:ext uri="{63B3BB69-23CF-44E3-9099-C40C66FF867C}">
                  <a14:compatExt spid="_x0000_s32837"/>
                </a:ext>
                <a:ext uri="{FF2B5EF4-FFF2-40B4-BE49-F238E27FC236}">
                  <a16:creationId xmlns:a16="http://schemas.microsoft.com/office/drawing/2014/main" id="{00000000-0008-0000-0800-00004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2838" name="Button 70" hidden="1">
              <a:extLst>
                <a:ext uri="{63B3BB69-23CF-44E3-9099-C40C66FF867C}">
                  <a14:compatExt spid="_x0000_s32838"/>
                </a:ext>
                <a:ext uri="{FF2B5EF4-FFF2-40B4-BE49-F238E27FC236}">
                  <a16:creationId xmlns:a16="http://schemas.microsoft.com/office/drawing/2014/main" id="{00000000-0008-0000-0800-00004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2839" name="Button 71" hidden="1">
              <a:extLst>
                <a:ext uri="{63B3BB69-23CF-44E3-9099-C40C66FF867C}">
                  <a14:compatExt spid="_x0000_s32839"/>
                </a:ext>
                <a:ext uri="{FF2B5EF4-FFF2-40B4-BE49-F238E27FC236}">
                  <a16:creationId xmlns:a16="http://schemas.microsoft.com/office/drawing/2014/main" id="{00000000-0008-0000-0800-00004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2840" name="Button 72" hidden="1">
              <a:extLst>
                <a:ext uri="{63B3BB69-23CF-44E3-9099-C40C66FF867C}">
                  <a14:compatExt spid="_x0000_s32840"/>
                </a:ext>
                <a:ext uri="{FF2B5EF4-FFF2-40B4-BE49-F238E27FC236}">
                  <a16:creationId xmlns:a16="http://schemas.microsoft.com/office/drawing/2014/main" id="{00000000-0008-0000-0800-00004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2841" name="Button 73" hidden="1">
              <a:extLst>
                <a:ext uri="{63B3BB69-23CF-44E3-9099-C40C66FF867C}">
                  <a14:compatExt spid="_x0000_s32841"/>
                </a:ext>
                <a:ext uri="{FF2B5EF4-FFF2-40B4-BE49-F238E27FC236}">
                  <a16:creationId xmlns:a16="http://schemas.microsoft.com/office/drawing/2014/main" id="{00000000-0008-0000-0800-00004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2842" name="Button 74" hidden="1">
              <a:extLst>
                <a:ext uri="{63B3BB69-23CF-44E3-9099-C40C66FF867C}">
                  <a14:compatExt spid="_x0000_s32842"/>
                </a:ext>
                <a:ext uri="{FF2B5EF4-FFF2-40B4-BE49-F238E27FC236}">
                  <a16:creationId xmlns:a16="http://schemas.microsoft.com/office/drawing/2014/main" id="{00000000-0008-0000-0800-00004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2843" name="Button 75" hidden="1">
              <a:extLst>
                <a:ext uri="{63B3BB69-23CF-44E3-9099-C40C66FF867C}">
                  <a14:compatExt spid="_x0000_s32843"/>
                </a:ext>
                <a:ext uri="{FF2B5EF4-FFF2-40B4-BE49-F238E27FC236}">
                  <a16:creationId xmlns:a16="http://schemas.microsoft.com/office/drawing/2014/main" id="{00000000-0008-0000-0800-00004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2844" name="Button 76" hidden="1">
              <a:extLst>
                <a:ext uri="{63B3BB69-23CF-44E3-9099-C40C66FF867C}">
                  <a14:compatExt spid="_x0000_s32844"/>
                </a:ext>
                <a:ext uri="{FF2B5EF4-FFF2-40B4-BE49-F238E27FC236}">
                  <a16:creationId xmlns:a16="http://schemas.microsoft.com/office/drawing/2014/main" id="{00000000-0008-0000-0800-00004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2845" name="Button 77" hidden="1">
              <a:extLst>
                <a:ext uri="{63B3BB69-23CF-44E3-9099-C40C66FF867C}">
                  <a14:compatExt spid="_x0000_s32845"/>
                </a:ext>
                <a:ext uri="{FF2B5EF4-FFF2-40B4-BE49-F238E27FC236}">
                  <a16:creationId xmlns:a16="http://schemas.microsoft.com/office/drawing/2014/main" id="{00000000-0008-0000-0800-00004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2846" name="Button 78" hidden="1">
              <a:extLst>
                <a:ext uri="{63B3BB69-23CF-44E3-9099-C40C66FF867C}">
                  <a14:compatExt spid="_x0000_s32846"/>
                </a:ext>
                <a:ext uri="{FF2B5EF4-FFF2-40B4-BE49-F238E27FC236}">
                  <a16:creationId xmlns:a16="http://schemas.microsoft.com/office/drawing/2014/main" id="{00000000-0008-0000-0800-00004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2847" name="Button 79" hidden="1">
              <a:extLst>
                <a:ext uri="{63B3BB69-23CF-44E3-9099-C40C66FF867C}">
                  <a14:compatExt spid="_x0000_s32847"/>
                </a:ext>
                <a:ext uri="{FF2B5EF4-FFF2-40B4-BE49-F238E27FC236}">
                  <a16:creationId xmlns:a16="http://schemas.microsoft.com/office/drawing/2014/main" id="{00000000-0008-0000-0800-00004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2848" name="Button 80" hidden="1">
              <a:extLst>
                <a:ext uri="{63B3BB69-23CF-44E3-9099-C40C66FF867C}">
                  <a14:compatExt spid="_x0000_s32848"/>
                </a:ext>
                <a:ext uri="{FF2B5EF4-FFF2-40B4-BE49-F238E27FC236}">
                  <a16:creationId xmlns:a16="http://schemas.microsoft.com/office/drawing/2014/main" id="{00000000-0008-0000-0800-00005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2849" name="Button 81" hidden="1">
              <a:extLst>
                <a:ext uri="{63B3BB69-23CF-44E3-9099-C40C66FF867C}">
                  <a14:compatExt spid="_x0000_s32849"/>
                </a:ext>
                <a:ext uri="{FF2B5EF4-FFF2-40B4-BE49-F238E27FC236}">
                  <a16:creationId xmlns:a16="http://schemas.microsoft.com/office/drawing/2014/main" id="{00000000-0008-0000-0800-00005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2850" name="Button 82" hidden="1">
              <a:extLst>
                <a:ext uri="{63B3BB69-23CF-44E3-9099-C40C66FF867C}">
                  <a14:compatExt spid="_x0000_s32850"/>
                </a:ext>
                <a:ext uri="{FF2B5EF4-FFF2-40B4-BE49-F238E27FC236}">
                  <a16:creationId xmlns:a16="http://schemas.microsoft.com/office/drawing/2014/main" id="{00000000-0008-0000-0800-00005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2851" name="Button 83" hidden="1">
              <a:extLst>
                <a:ext uri="{63B3BB69-23CF-44E3-9099-C40C66FF867C}">
                  <a14:compatExt spid="_x0000_s32851"/>
                </a:ext>
                <a:ext uri="{FF2B5EF4-FFF2-40B4-BE49-F238E27FC236}">
                  <a16:creationId xmlns:a16="http://schemas.microsoft.com/office/drawing/2014/main" id="{00000000-0008-0000-0800-00005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2852" name="Button 84" hidden="1">
              <a:extLst>
                <a:ext uri="{63B3BB69-23CF-44E3-9099-C40C66FF867C}">
                  <a14:compatExt spid="_x0000_s32852"/>
                </a:ext>
                <a:ext uri="{FF2B5EF4-FFF2-40B4-BE49-F238E27FC236}">
                  <a16:creationId xmlns:a16="http://schemas.microsoft.com/office/drawing/2014/main" id="{00000000-0008-0000-0800-00005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2853" name="Button 85" hidden="1">
              <a:extLst>
                <a:ext uri="{63B3BB69-23CF-44E3-9099-C40C66FF867C}">
                  <a14:compatExt spid="_x0000_s32853"/>
                </a:ext>
                <a:ext uri="{FF2B5EF4-FFF2-40B4-BE49-F238E27FC236}">
                  <a16:creationId xmlns:a16="http://schemas.microsoft.com/office/drawing/2014/main" id="{00000000-0008-0000-0800-00005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2854" name="Button 86" hidden="1">
              <a:extLst>
                <a:ext uri="{63B3BB69-23CF-44E3-9099-C40C66FF867C}">
                  <a14:compatExt spid="_x0000_s32854"/>
                </a:ext>
                <a:ext uri="{FF2B5EF4-FFF2-40B4-BE49-F238E27FC236}">
                  <a16:creationId xmlns:a16="http://schemas.microsoft.com/office/drawing/2014/main" id="{00000000-0008-0000-0800-00005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2855" name="Button 87" hidden="1">
              <a:extLst>
                <a:ext uri="{63B3BB69-23CF-44E3-9099-C40C66FF867C}">
                  <a14:compatExt spid="_x0000_s32855"/>
                </a:ext>
                <a:ext uri="{FF2B5EF4-FFF2-40B4-BE49-F238E27FC236}">
                  <a16:creationId xmlns:a16="http://schemas.microsoft.com/office/drawing/2014/main" id="{00000000-0008-0000-0800-00005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2856" name="Button 88" hidden="1">
              <a:extLst>
                <a:ext uri="{63B3BB69-23CF-44E3-9099-C40C66FF867C}">
                  <a14:compatExt spid="_x0000_s32856"/>
                </a:ext>
                <a:ext uri="{FF2B5EF4-FFF2-40B4-BE49-F238E27FC236}">
                  <a16:creationId xmlns:a16="http://schemas.microsoft.com/office/drawing/2014/main" id="{00000000-0008-0000-0800-00005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2857" name="Button 89" hidden="1">
              <a:extLst>
                <a:ext uri="{63B3BB69-23CF-44E3-9099-C40C66FF867C}">
                  <a14:compatExt spid="_x0000_s32857"/>
                </a:ext>
                <a:ext uri="{FF2B5EF4-FFF2-40B4-BE49-F238E27FC236}">
                  <a16:creationId xmlns:a16="http://schemas.microsoft.com/office/drawing/2014/main" id="{00000000-0008-0000-0800-00005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2858" name="Button 90" hidden="1">
              <a:extLst>
                <a:ext uri="{63B3BB69-23CF-44E3-9099-C40C66FF867C}">
                  <a14:compatExt spid="_x0000_s32858"/>
                </a:ext>
                <a:ext uri="{FF2B5EF4-FFF2-40B4-BE49-F238E27FC236}">
                  <a16:creationId xmlns:a16="http://schemas.microsoft.com/office/drawing/2014/main" id="{00000000-0008-0000-0800-00005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2859" name="Button 91" hidden="1">
              <a:extLst>
                <a:ext uri="{63B3BB69-23CF-44E3-9099-C40C66FF867C}">
                  <a14:compatExt spid="_x0000_s32859"/>
                </a:ext>
                <a:ext uri="{FF2B5EF4-FFF2-40B4-BE49-F238E27FC236}">
                  <a16:creationId xmlns:a16="http://schemas.microsoft.com/office/drawing/2014/main" id="{00000000-0008-0000-0800-00005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2860" name="Button 92" hidden="1">
              <a:extLst>
                <a:ext uri="{63B3BB69-23CF-44E3-9099-C40C66FF867C}">
                  <a14:compatExt spid="_x0000_s32860"/>
                </a:ext>
                <a:ext uri="{FF2B5EF4-FFF2-40B4-BE49-F238E27FC236}">
                  <a16:creationId xmlns:a16="http://schemas.microsoft.com/office/drawing/2014/main" id="{00000000-0008-0000-0800-00005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2861" name="Button 93" hidden="1">
              <a:extLst>
                <a:ext uri="{63B3BB69-23CF-44E3-9099-C40C66FF867C}">
                  <a14:compatExt spid="_x0000_s32861"/>
                </a:ext>
                <a:ext uri="{FF2B5EF4-FFF2-40B4-BE49-F238E27FC236}">
                  <a16:creationId xmlns:a16="http://schemas.microsoft.com/office/drawing/2014/main" id="{00000000-0008-0000-0800-00005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2862" name="Button 94" hidden="1">
              <a:extLst>
                <a:ext uri="{63B3BB69-23CF-44E3-9099-C40C66FF867C}">
                  <a14:compatExt spid="_x0000_s32862"/>
                </a:ext>
                <a:ext uri="{FF2B5EF4-FFF2-40B4-BE49-F238E27FC236}">
                  <a16:creationId xmlns:a16="http://schemas.microsoft.com/office/drawing/2014/main" id="{00000000-0008-0000-0800-00005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2863" name="Button 95" hidden="1">
              <a:extLst>
                <a:ext uri="{63B3BB69-23CF-44E3-9099-C40C66FF867C}">
                  <a14:compatExt spid="_x0000_s32863"/>
                </a:ext>
                <a:ext uri="{FF2B5EF4-FFF2-40B4-BE49-F238E27FC236}">
                  <a16:creationId xmlns:a16="http://schemas.microsoft.com/office/drawing/2014/main" id="{00000000-0008-0000-0800-00005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2864" name="Button 96" hidden="1">
              <a:extLst>
                <a:ext uri="{63B3BB69-23CF-44E3-9099-C40C66FF867C}">
                  <a14:compatExt spid="_x0000_s32864"/>
                </a:ext>
                <a:ext uri="{FF2B5EF4-FFF2-40B4-BE49-F238E27FC236}">
                  <a16:creationId xmlns:a16="http://schemas.microsoft.com/office/drawing/2014/main" id="{00000000-0008-0000-0800-00006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2865" name="Button 97" hidden="1">
              <a:extLst>
                <a:ext uri="{63B3BB69-23CF-44E3-9099-C40C66FF867C}">
                  <a14:compatExt spid="_x0000_s32865"/>
                </a:ext>
                <a:ext uri="{FF2B5EF4-FFF2-40B4-BE49-F238E27FC236}">
                  <a16:creationId xmlns:a16="http://schemas.microsoft.com/office/drawing/2014/main" id="{00000000-0008-0000-0800-00006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2866" name="Button 98" hidden="1">
              <a:extLst>
                <a:ext uri="{63B3BB69-23CF-44E3-9099-C40C66FF867C}">
                  <a14:compatExt spid="_x0000_s32866"/>
                </a:ext>
                <a:ext uri="{FF2B5EF4-FFF2-40B4-BE49-F238E27FC236}">
                  <a16:creationId xmlns:a16="http://schemas.microsoft.com/office/drawing/2014/main" id="{00000000-0008-0000-0800-00006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2867" name="Button 99" hidden="1">
              <a:extLst>
                <a:ext uri="{63B3BB69-23CF-44E3-9099-C40C66FF867C}">
                  <a14:compatExt spid="_x0000_s32867"/>
                </a:ext>
                <a:ext uri="{FF2B5EF4-FFF2-40B4-BE49-F238E27FC236}">
                  <a16:creationId xmlns:a16="http://schemas.microsoft.com/office/drawing/2014/main" id="{00000000-0008-0000-0800-00006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2868" name="Button 100" hidden="1">
              <a:extLst>
                <a:ext uri="{63B3BB69-23CF-44E3-9099-C40C66FF867C}">
                  <a14:compatExt spid="_x0000_s32868"/>
                </a:ext>
                <a:ext uri="{FF2B5EF4-FFF2-40B4-BE49-F238E27FC236}">
                  <a16:creationId xmlns:a16="http://schemas.microsoft.com/office/drawing/2014/main" id="{00000000-0008-0000-0800-00006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2869" name="Button 101" hidden="1">
              <a:extLst>
                <a:ext uri="{63B3BB69-23CF-44E3-9099-C40C66FF867C}">
                  <a14:compatExt spid="_x0000_s32869"/>
                </a:ext>
                <a:ext uri="{FF2B5EF4-FFF2-40B4-BE49-F238E27FC236}">
                  <a16:creationId xmlns:a16="http://schemas.microsoft.com/office/drawing/2014/main" id="{00000000-0008-0000-0800-00006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2870" name="Button 102" hidden="1">
              <a:extLst>
                <a:ext uri="{63B3BB69-23CF-44E3-9099-C40C66FF867C}">
                  <a14:compatExt spid="_x0000_s32870"/>
                </a:ext>
                <a:ext uri="{FF2B5EF4-FFF2-40B4-BE49-F238E27FC236}">
                  <a16:creationId xmlns:a16="http://schemas.microsoft.com/office/drawing/2014/main" id="{00000000-0008-0000-0800-00006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2871" name="Button 103" hidden="1">
              <a:extLst>
                <a:ext uri="{63B3BB69-23CF-44E3-9099-C40C66FF867C}">
                  <a14:compatExt spid="_x0000_s32871"/>
                </a:ext>
                <a:ext uri="{FF2B5EF4-FFF2-40B4-BE49-F238E27FC236}">
                  <a16:creationId xmlns:a16="http://schemas.microsoft.com/office/drawing/2014/main" id="{00000000-0008-0000-0800-00006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2872" name="Button 104" hidden="1">
              <a:extLst>
                <a:ext uri="{63B3BB69-23CF-44E3-9099-C40C66FF867C}">
                  <a14:compatExt spid="_x0000_s32872"/>
                </a:ext>
                <a:ext uri="{FF2B5EF4-FFF2-40B4-BE49-F238E27FC236}">
                  <a16:creationId xmlns:a16="http://schemas.microsoft.com/office/drawing/2014/main" id="{00000000-0008-0000-0800-00006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2873" name="Button 105" hidden="1">
              <a:extLst>
                <a:ext uri="{63B3BB69-23CF-44E3-9099-C40C66FF867C}">
                  <a14:compatExt spid="_x0000_s32873"/>
                </a:ext>
                <a:ext uri="{FF2B5EF4-FFF2-40B4-BE49-F238E27FC236}">
                  <a16:creationId xmlns:a16="http://schemas.microsoft.com/office/drawing/2014/main" id="{00000000-0008-0000-0800-00006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2874" name="Button 106" hidden="1">
              <a:extLst>
                <a:ext uri="{63B3BB69-23CF-44E3-9099-C40C66FF867C}">
                  <a14:compatExt spid="_x0000_s32874"/>
                </a:ext>
                <a:ext uri="{FF2B5EF4-FFF2-40B4-BE49-F238E27FC236}">
                  <a16:creationId xmlns:a16="http://schemas.microsoft.com/office/drawing/2014/main" id="{00000000-0008-0000-0800-00006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2875" name="Button 107" hidden="1">
              <a:extLst>
                <a:ext uri="{63B3BB69-23CF-44E3-9099-C40C66FF867C}">
                  <a14:compatExt spid="_x0000_s32875"/>
                </a:ext>
                <a:ext uri="{FF2B5EF4-FFF2-40B4-BE49-F238E27FC236}">
                  <a16:creationId xmlns:a16="http://schemas.microsoft.com/office/drawing/2014/main" id="{00000000-0008-0000-0800-00006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2876" name="Button 108" hidden="1">
              <a:extLst>
                <a:ext uri="{63B3BB69-23CF-44E3-9099-C40C66FF867C}">
                  <a14:compatExt spid="_x0000_s32876"/>
                </a:ext>
                <a:ext uri="{FF2B5EF4-FFF2-40B4-BE49-F238E27FC236}">
                  <a16:creationId xmlns:a16="http://schemas.microsoft.com/office/drawing/2014/main" id="{00000000-0008-0000-0800-00006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2877" name="Button 109" hidden="1">
              <a:extLst>
                <a:ext uri="{63B3BB69-23CF-44E3-9099-C40C66FF867C}">
                  <a14:compatExt spid="_x0000_s32877"/>
                </a:ext>
                <a:ext uri="{FF2B5EF4-FFF2-40B4-BE49-F238E27FC236}">
                  <a16:creationId xmlns:a16="http://schemas.microsoft.com/office/drawing/2014/main" id="{00000000-0008-0000-0800-00006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2878" name="Button 110" hidden="1">
              <a:extLst>
                <a:ext uri="{63B3BB69-23CF-44E3-9099-C40C66FF867C}">
                  <a14:compatExt spid="_x0000_s32878"/>
                </a:ext>
                <a:ext uri="{FF2B5EF4-FFF2-40B4-BE49-F238E27FC236}">
                  <a16:creationId xmlns:a16="http://schemas.microsoft.com/office/drawing/2014/main" id="{00000000-0008-0000-0800-00006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2879" name="Butto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8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2880" name="Button 112" hidden="1">
              <a:extLst>
                <a:ext uri="{63B3BB69-23CF-44E3-9099-C40C66FF867C}">
                  <a14:compatExt spid="_x0000_s32880"/>
                </a:ext>
                <a:ext uri="{FF2B5EF4-FFF2-40B4-BE49-F238E27FC236}">
                  <a16:creationId xmlns:a16="http://schemas.microsoft.com/office/drawing/2014/main" id="{00000000-0008-0000-0800-00007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2881" name="Butto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8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2882" name="Button 114" hidden="1">
              <a:extLst>
                <a:ext uri="{63B3BB69-23CF-44E3-9099-C40C66FF867C}">
                  <a14:compatExt spid="_x0000_s32882"/>
                </a:ext>
                <a:ext uri="{FF2B5EF4-FFF2-40B4-BE49-F238E27FC236}">
                  <a16:creationId xmlns:a16="http://schemas.microsoft.com/office/drawing/2014/main" id="{00000000-0008-0000-0800-00007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2883" name="Butto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8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2884" name="Button 116" hidden="1">
              <a:extLst>
                <a:ext uri="{63B3BB69-23CF-44E3-9099-C40C66FF867C}">
                  <a14:compatExt spid="_x0000_s32884"/>
                </a:ext>
                <a:ext uri="{FF2B5EF4-FFF2-40B4-BE49-F238E27FC236}">
                  <a16:creationId xmlns:a16="http://schemas.microsoft.com/office/drawing/2014/main" id="{00000000-0008-0000-0800-00007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2885" name="Butto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8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2886" name="Button 118" hidden="1">
              <a:extLst>
                <a:ext uri="{63B3BB69-23CF-44E3-9099-C40C66FF867C}">
                  <a14:compatExt spid="_x0000_s32886"/>
                </a:ext>
                <a:ext uri="{FF2B5EF4-FFF2-40B4-BE49-F238E27FC236}">
                  <a16:creationId xmlns:a16="http://schemas.microsoft.com/office/drawing/2014/main" id="{00000000-0008-0000-0800-00007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2887" name="Button 119" hidden="1">
              <a:extLst>
                <a:ext uri="{63B3BB69-23CF-44E3-9099-C40C66FF867C}">
                  <a14:compatExt spid="_x0000_s32887"/>
                </a:ext>
                <a:ext uri="{FF2B5EF4-FFF2-40B4-BE49-F238E27FC236}">
                  <a16:creationId xmlns:a16="http://schemas.microsoft.com/office/drawing/2014/main" id="{00000000-0008-0000-0800-00007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2888" name="Button 120" hidden="1">
              <a:extLst>
                <a:ext uri="{63B3BB69-23CF-44E3-9099-C40C66FF867C}">
                  <a14:compatExt spid="_x0000_s32888"/>
                </a:ext>
                <a:ext uri="{FF2B5EF4-FFF2-40B4-BE49-F238E27FC236}">
                  <a16:creationId xmlns:a16="http://schemas.microsoft.com/office/drawing/2014/main" id="{00000000-0008-0000-0800-00007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2889" name="Button 121" hidden="1">
              <a:extLst>
                <a:ext uri="{63B3BB69-23CF-44E3-9099-C40C66FF867C}">
                  <a14:compatExt spid="_x0000_s32889"/>
                </a:ext>
                <a:ext uri="{FF2B5EF4-FFF2-40B4-BE49-F238E27FC236}">
                  <a16:creationId xmlns:a16="http://schemas.microsoft.com/office/drawing/2014/main" id="{00000000-0008-0000-0800-00007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2890" name="Button 122" hidden="1">
              <a:extLst>
                <a:ext uri="{63B3BB69-23CF-44E3-9099-C40C66FF867C}">
                  <a14:compatExt spid="_x0000_s32890"/>
                </a:ext>
                <a:ext uri="{FF2B5EF4-FFF2-40B4-BE49-F238E27FC236}">
                  <a16:creationId xmlns:a16="http://schemas.microsoft.com/office/drawing/2014/main" id="{00000000-0008-0000-0800-00007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2891" name="Button 123" hidden="1">
              <a:extLst>
                <a:ext uri="{63B3BB69-23CF-44E3-9099-C40C66FF867C}">
                  <a14:compatExt spid="_x0000_s32891"/>
                </a:ext>
                <a:ext uri="{FF2B5EF4-FFF2-40B4-BE49-F238E27FC236}">
                  <a16:creationId xmlns:a16="http://schemas.microsoft.com/office/drawing/2014/main" id="{00000000-0008-0000-0800-00007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2892" name="Button 124" hidden="1">
              <a:extLst>
                <a:ext uri="{63B3BB69-23CF-44E3-9099-C40C66FF867C}">
                  <a14:compatExt spid="_x0000_s32892"/>
                </a:ext>
                <a:ext uri="{FF2B5EF4-FFF2-40B4-BE49-F238E27FC236}">
                  <a16:creationId xmlns:a16="http://schemas.microsoft.com/office/drawing/2014/main" id="{00000000-0008-0000-0800-00007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2893" name="Button 125" hidden="1">
              <a:extLst>
                <a:ext uri="{63B3BB69-23CF-44E3-9099-C40C66FF867C}">
                  <a14:compatExt spid="_x0000_s32893"/>
                </a:ext>
                <a:ext uri="{FF2B5EF4-FFF2-40B4-BE49-F238E27FC236}">
                  <a16:creationId xmlns:a16="http://schemas.microsoft.com/office/drawing/2014/main" id="{00000000-0008-0000-0800-00007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2894" name="Button 126" hidden="1">
              <a:extLst>
                <a:ext uri="{63B3BB69-23CF-44E3-9099-C40C66FF867C}">
                  <a14:compatExt spid="_x0000_s32894"/>
                </a:ext>
                <a:ext uri="{FF2B5EF4-FFF2-40B4-BE49-F238E27FC236}">
                  <a16:creationId xmlns:a16="http://schemas.microsoft.com/office/drawing/2014/main" id="{00000000-0008-0000-0800-00007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2895" name="Button 127" hidden="1">
              <a:extLst>
                <a:ext uri="{63B3BB69-23CF-44E3-9099-C40C66FF867C}">
                  <a14:compatExt spid="_x0000_s32895"/>
                </a:ext>
                <a:ext uri="{FF2B5EF4-FFF2-40B4-BE49-F238E27FC236}">
                  <a16:creationId xmlns:a16="http://schemas.microsoft.com/office/drawing/2014/main" id="{00000000-0008-0000-0800-00007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2896" name="Button 128" hidden="1">
              <a:extLst>
                <a:ext uri="{63B3BB69-23CF-44E3-9099-C40C66FF867C}">
                  <a14:compatExt spid="_x0000_s32896"/>
                </a:ext>
                <a:ext uri="{FF2B5EF4-FFF2-40B4-BE49-F238E27FC236}">
                  <a16:creationId xmlns:a16="http://schemas.microsoft.com/office/drawing/2014/main" id="{00000000-0008-0000-0800-00008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2897" name="Button 129" hidden="1">
              <a:extLst>
                <a:ext uri="{63B3BB69-23CF-44E3-9099-C40C66FF867C}">
                  <a14:compatExt spid="_x0000_s32897"/>
                </a:ext>
                <a:ext uri="{FF2B5EF4-FFF2-40B4-BE49-F238E27FC236}">
                  <a16:creationId xmlns:a16="http://schemas.microsoft.com/office/drawing/2014/main" id="{00000000-0008-0000-0800-00008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2898" name="Button 130" hidden="1">
              <a:extLst>
                <a:ext uri="{63B3BB69-23CF-44E3-9099-C40C66FF867C}">
                  <a14:compatExt spid="_x0000_s32898"/>
                </a:ext>
                <a:ext uri="{FF2B5EF4-FFF2-40B4-BE49-F238E27FC236}">
                  <a16:creationId xmlns:a16="http://schemas.microsoft.com/office/drawing/2014/main" id="{00000000-0008-0000-0800-00008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2899" name="Button 131" hidden="1">
              <a:extLst>
                <a:ext uri="{63B3BB69-23CF-44E3-9099-C40C66FF867C}">
                  <a14:compatExt spid="_x0000_s32899"/>
                </a:ext>
                <a:ext uri="{FF2B5EF4-FFF2-40B4-BE49-F238E27FC236}">
                  <a16:creationId xmlns:a16="http://schemas.microsoft.com/office/drawing/2014/main" id="{00000000-0008-0000-0800-00008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2900" name="Button 132" hidden="1">
              <a:extLst>
                <a:ext uri="{63B3BB69-23CF-44E3-9099-C40C66FF867C}">
                  <a14:compatExt spid="_x0000_s32900"/>
                </a:ext>
                <a:ext uri="{FF2B5EF4-FFF2-40B4-BE49-F238E27FC236}">
                  <a16:creationId xmlns:a16="http://schemas.microsoft.com/office/drawing/2014/main" id="{00000000-0008-0000-0800-00008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2901" name="Button 133" hidden="1">
              <a:extLst>
                <a:ext uri="{63B3BB69-23CF-44E3-9099-C40C66FF867C}">
                  <a14:compatExt spid="_x0000_s32901"/>
                </a:ext>
                <a:ext uri="{FF2B5EF4-FFF2-40B4-BE49-F238E27FC236}">
                  <a16:creationId xmlns:a16="http://schemas.microsoft.com/office/drawing/2014/main" id="{00000000-0008-0000-0800-00008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2902" name="Button 134" hidden="1">
              <a:extLst>
                <a:ext uri="{63B3BB69-23CF-44E3-9099-C40C66FF867C}">
                  <a14:compatExt spid="_x0000_s32902"/>
                </a:ext>
                <a:ext uri="{FF2B5EF4-FFF2-40B4-BE49-F238E27FC236}">
                  <a16:creationId xmlns:a16="http://schemas.microsoft.com/office/drawing/2014/main" id="{00000000-0008-0000-0800-00008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2903" name="Butto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8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2904" name="Button 136" hidden="1">
              <a:extLst>
                <a:ext uri="{63B3BB69-23CF-44E3-9099-C40C66FF867C}">
                  <a14:compatExt spid="_x0000_s32904"/>
                </a:ext>
                <a:ext uri="{FF2B5EF4-FFF2-40B4-BE49-F238E27FC236}">
                  <a16:creationId xmlns:a16="http://schemas.microsoft.com/office/drawing/2014/main" id="{00000000-0008-0000-0800-00008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2905" name="Button 137" hidden="1">
              <a:extLst>
                <a:ext uri="{63B3BB69-23CF-44E3-9099-C40C66FF867C}">
                  <a14:compatExt spid="_x0000_s32905"/>
                </a:ext>
                <a:ext uri="{FF2B5EF4-FFF2-40B4-BE49-F238E27FC236}">
                  <a16:creationId xmlns:a16="http://schemas.microsoft.com/office/drawing/2014/main" id="{00000000-0008-0000-0800-00008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2906" name="Button 138" hidden="1">
              <a:extLst>
                <a:ext uri="{63B3BB69-23CF-44E3-9099-C40C66FF867C}">
                  <a14:compatExt spid="_x0000_s32906"/>
                </a:ext>
                <a:ext uri="{FF2B5EF4-FFF2-40B4-BE49-F238E27FC236}">
                  <a16:creationId xmlns:a16="http://schemas.microsoft.com/office/drawing/2014/main" id="{00000000-0008-0000-0800-00008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2907" name="Button 139" hidden="1">
              <a:extLst>
                <a:ext uri="{63B3BB69-23CF-44E3-9099-C40C66FF867C}">
                  <a14:compatExt spid="_x0000_s32907"/>
                </a:ext>
                <a:ext uri="{FF2B5EF4-FFF2-40B4-BE49-F238E27FC236}">
                  <a16:creationId xmlns:a16="http://schemas.microsoft.com/office/drawing/2014/main" id="{00000000-0008-0000-0800-00008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2908" name="Button 140" hidden="1">
              <a:extLst>
                <a:ext uri="{63B3BB69-23CF-44E3-9099-C40C66FF867C}">
                  <a14:compatExt spid="_x0000_s32908"/>
                </a:ext>
                <a:ext uri="{FF2B5EF4-FFF2-40B4-BE49-F238E27FC236}">
                  <a16:creationId xmlns:a16="http://schemas.microsoft.com/office/drawing/2014/main" id="{00000000-0008-0000-0800-00008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9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4818" name="Button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9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4819" name="Button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9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4820" name="Button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9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4821" name="Button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9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4822" name="Button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9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4823" name="Button 7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id="{00000000-0008-0000-09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4824" name="Button 8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id="{00000000-0008-0000-09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4825" name="Button 9" hidden="1">
              <a:extLst>
                <a:ext uri="{63B3BB69-23CF-44E3-9099-C40C66FF867C}">
                  <a14:compatExt spid="_x0000_s34825"/>
                </a:ext>
                <a:ext uri="{FF2B5EF4-FFF2-40B4-BE49-F238E27FC236}">
                  <a16:creationId xmlns:a16="http://schemas.microsoft.com/office/drawing/2014/main" id="{00000000-0008-0000-0900-00000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4826" name="Button 10" hidden="1">
              <a:extLst>
                <a:ext uri="{63B3BB69-23CF-44E3-9099-C40C66FF867C}">
                  <a14:compatExt spid="_x0000_s34826"/>
                </a:ext>
                <a:ext uri="{FF2B5EF4-FFF2-40B4-BE49-F238E27FC236}">
                  <a16:creationId xmlns:a16="http://schemas.microsoft.com/office/drawing/2014/main" id="{00000000-0008-0000-0900-00000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4827" name="Button 11" hidden="1">
              <a:extLst>
                <a:ext uri="{63B3BB69-23CF-44E3-9099-C40C66FF867C}">
                  <a14:compatExt spid="_x0000_s34827"/>
                </a:ext>
                <a:ext uri="{FF2B5EF4-FFF2-40B4-BE49-F238E27FC236}">
                  <a16:creationId xmlns:a16="http://schemas.microsoft.com/office/drawing/2014/main" id="{00000000-0008-0000-0900-00000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4828" name="Button 12" hidden="1">
              <a:extLst>
                <a:ext uri="{63B3BB69-23CF-44E3-9099-C40C66FF867C}">
                  <a14:compatExt spid="_x0000_s34828"/>
                </a:ext>
                <a:ext uri="{FF2B5EF4-FFF2-40B4-BE49-F238E27FC236}">
                  <a16:creationId xmlns:a16="http://schemas.microsoft.com/office/drawing/2014/main" id="{00000000-0008-0000-0900-00000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4829" name="Button 13" hidden="1">
              <a:extLst>
                <a:ext uri="{63B3BB69-23CF-44E3-9099-C40C66FF867C}">
                  <a14:compatExt spid="_x0000_s34829"/>
                </a:ext>
                <a:ext uri="{FF2B5EF4-FFF2-40B4-BE49-F238E27FC236}">
                  <a16:creationId xmlns:a16="http://schemas.microsoft.com/office/drawing/2014/main" id="{00000000-0008-0000-0900-00000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4830" name="Button 14" hidden="1">
              <a:extLst>
                <a:ext uri="{63B3BB69-23CF-44E3-9099-C40C66FF867C}">
                  <a14:compatExt spid="_x0000_s34830"/>
                </a:ext>
                <a:ext uri="{FF2B5EF4-FFF2-40B4-BE49-F238E27FC236}">
                  <a16:creationId xmlns:a16="http://schemas.microsoft.com/office/drawing/2014/main" id="{00000000-0008-0000-0900-00000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4831" name="Button 15" hidden="1">
              <a:extLst>
                <a:ext uri="{63B3BB69-23CF-44E3-9099-C40C66FF867C}">
                  <a14:compatExt spid="_x0000_s34831"/>
                </a:ext>
                <a:ext uri="{FF2B5EF4-FFF2-40B4-BE49-F238E27FC236}">
                  <a16:creationId xmlns:a16="http://schemas.microsoft.com/office/drawing/2014/main" id="{00000000-0008-0000-0900-00000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4832" name="Button 16" hidden="1">
              <a:extLst>
                <a:ext uri="{63B3BB69-23CF-44E3-9099-C40C66FF867C}">
                  <a14:compatExt spid="_x0000_s34832"/>
                </a:ext>
                <a:ext uri="{FF2B5EF4-FFF2-40B4-BE49-F238E27FC236}">
                  <a16:creationId xmlns:a16="http://schemas.microsoft.com/office/drawing/2014/main" id="{00000000-0008-0000-0900-00001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4833" name="Button 17" hidden="1">
              <a:extLst>
                <a:ext uri="{63B3BB69-23CF-44E3-9099-C40C66FF867C}">
                  <a14:compatExt spid="_x0000_s34833"/>
                </a:ext>
                <a:ext uri="{FF2B5EF4-FFF2-40B4-BE49-F238E27FC236}">
                  <a16:creationId xmlns:a16="http://schemas.microsoft.com/office/drawing/2014/main" id="{00000000-0008-0000-0900-00001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4834" name="Button 18" hidden="1">
              <a:extLst>
                <a:ext uri="{63B3BB69-23CF-44E3-9099-C40C66FF867C}">
                  <a14:compatExt spid="_x0000_s34834"/>
                </a:ext>
                <a:ext uri="{FF2B5EF4-FFF2-40B4-BE49-F238E27FC236}">
                  <a16:creationId xmlns:a16="http://schemas.microsoft.com/office/drawing/2014/main" id="{00000000-0008-0000-0900-00001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4835" name="Button 19" hidden="1">
              <a:extLst>
                <a:ext uri="{63B3BB69-23CF-44E3-9099-C40C66FF867C}">
                  <a14:compatExt spid="_x0000_s34835"/>
                </a:ext>
                <a:ext uri="{FF2B5EF4-FFF2-40B4-BE49-F238E27FC236}">
                  <a16:creationId xmlns:a16="http://schemas.microsoft.com/office/drawing/2014/main" id="{00000000-0008-0000-0900-00001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4836" name="Button 20" hidden="1">
              <a:extLst>
                <a:ext uri="{63B3BB69-23CF-44E3-9099-C40C66FF867C}">
                  <a14:compatExt spid="_x0000_s34836"/>
                </a:ext>
                <a:ext uri="{FF2B5EF4-FFF2-40B4-BE49-F238E27FC236}">
                  <a16:creationId xmlns:a16="http://schemas.microsoft.com/office/drawing/2014/main" id="{00000000-0008-0000-0900-00001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4837" name="Button 21" hidden="1">
              <a:extLst>
                <a:ext uri="{63B3BB69-23CF-44E3-9099-C40C66FF867C}">
                  <a14:compatExt spid="_x0000_s34837"/>
                </a:ext>
                <a:ext uri="{FF2B5EF4-FFF2-40B4-BE49-F238E27FC236}">
                  <a16:creationId xmlns:a16="http://schemas.microsoft.com/office/drawing/2014/main" id="{00000000-0008-0000-0900-00001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4838" name="Button 22" hidden="1">
              <a:extLst>
                <a:ext uri="{63B3BB69-23CF-44E3-9099-C40C66FF867C}">
                  <a14:compatExt spid="_x0000_s34838"/>
                </a:ext>
                <a:ext uri="{FF2B5EF4-FFF2-40B4-BE49-F238E27FC236}">
                  <a16:creationId xmlns:a16="http://schemas.microsoft.com/office/drawing/2014/main" id="{00000000-0008-0000-0900-00001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4839" name="Button 23" hidden="1">
              <a:extLst>
                <a:ext uri="{63B3BB69-23CF-44E3-9099-C40C66FF867C}">
                  <a14:compatExt spid="_x0000_s34839"/>
                </a:ext>
                <a:ext uri="{FF2B5EF4-FFF2-40B4-BE49-F238E27FC236}">
                  <a16:creationId xmlns:a16="http://schemas.microsoft.com/office/drawing/2014/main" id="{00000000-0008-0000-0900-00001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4840" name="Button 24" hidden="1">
              <a:extLst>
                <a:ext uri="{63B3BB69-23CF-44E3-9099-C40C66FF867C}">
                  <a14:compatExt spid="_x0000_s34840"/>
                </a:ext>
                <a:ext uri="{FF2B5EF4-FFF2-40B4-BE49-F238E27FC236}">
                  <a16:creationId xmlns:a16="http://schemas.microsoft.com/office/drawing/2014/main" id="{00000000-0008-0000-0900-00001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4841" name="Button 25" hidden="1">
              <a:extLst>
                <a:ext uri="{63B3BB69-23CF-44E3-9099-C40C66FF867C}">
                  <a14:compatExt spid="_x0000_s34841"/>
                </a:ext>
                <a:ext uri="{FF2B5EF4-FFF2-40B4-BE49-F238E27FC236}">
                  <a16:creationId xmlns:a16="http://schemas.microsoft.com/office/drawing/2014/main" id="{00000000-0008-0000-0900-00001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4842" name="Button 26" hidden="1">
              <a:extLst>
                <a:ext uri="{63B3BB69-23CF-44E3-9099-C40C66FF867C}">
                  <a14:compatExt spid="_x0000_s34842"/>
                </a:ext>
                <a:ext uri="{FF2B5EF4-FFF2-40B4-BE49-F238E27FC236}">
                  <a16:creationId xmlns:a16="http://schemas.microsoft.com/office/drawing/2014/main" id="{00000000-0008-0000-0900-00001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4843" name="Button 27" hidden="1">
              <a:extLst>
                <a:ext uri="{63B3BB69-23CF-44E3-9099-C40C66FF867C}">
                  <a14:compatExt spid="_x0000_s34843"/>
                </a:ext>
                <a:ext uri="{FF2B5EF4-FFF2-40B4-BE49-F238E27FC236}">
                  <a16:creationId xmlns:a16="http://schemas.microsoft.com/office/drawing/2014/main" id="{00000000-0008-0000-0900-00001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4844" name="Button 28" hidden="1">
              <a:extLst>
                <a:ext uri="{63B3BB69-23CF-44E3-9099-C40C66FF867C}">
                  <a14:compatExt spid="_x0000_s34844"/>
                </a:ext>
                <a:ext uri="{FF2B5EF4-FFF2-40B4-BE49-F238E27FC236}">
                  <a16:creationId xmlns:a16="http://schemas.microsoft.com/office/drawing/2014/main" id="{00000000-0008-0000-0900-00001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4845" name="Button 29" hidden="1">
              <a:extLst>
                <a:ext uri="{63B3BB69-23CF-44E3-9099-C40C66FF867C}">
                  <a14:compatExt spid="_x0000_s34845"/>
                </a:ext>
                <a:ext uri="{FF2B5EF4-FFF2-40B4-BE49-F238E27FC236}">
                  <a16:creationId xmlns:a16="http://schemas.microsoft.com/office/drawing/2014/main" id="{00000000-0008-0000-0900-00001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4846" name="Button 30" hidden="1">
              <a:extLst>
                <a:ext uri="{63B3BB69-23CF-44E3-9099-C40C66FF867C}">
                  <a14:compatExt spid="_x0000_s34846"/>
                </a:ext>
                <a:ext uri="{FF2B5EF4-FFF2-40B4-BE49-F238E27FC236}">
                  <a16:creationId xmlns:a16="http://schemas.microsoft.com/office/drawing/2014/main" id="{00000000-0008-0000-0900-00001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4847" name="Button 31" hidden="1">
              <a:extLst>
                <a:ext uri="{63B3BB69-23CF-44E3-9099-C40C66FF867C}">
                  <a14:compatExt spid="_x0000_s34847"/>
                </a:ext>
                <a:ext uri="{FF2B5EF4-FFF2-40B4-BE49-F238E27FC236}">
                  <a16:creationId xmlns:a16="http://schemas.microsoft.com/office/drawing/2014/main" id="{00000000-0008-0000-0900-00001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4848" name="Button 32" hidden="1">
              <a:extLst>
                <a:ext uri="{63B3BB69-23CF-44E3-9099-C40C66FF867C}">
                  <a14:compatExt spid="_x0000_s34848"/>
                </a:ext>
                <a:ext uri="{FF2B5EF4-FFF2-40B4-BE49-F238E27FC236}">
                  <a16:creationId xmlns:a16="http://schemas.microsoft.com/office/drawing/2014/main" id="{00000000-0008-0000-0900-00002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4849" name="Button 33" hidden="1">
              <a:extLst>
                <a:ext uri="{63B3BB69-23CF-44E3-9099-C40C66FF867C}">
                  <a14:compatExt spid="_x0000_s34849"/>
                </a:ext>
                <a:ext uri="{FF2B5EF4-FFF2-40B4-BE49-F238E27FC236}">
                  <a16:creationId xmlns:a16="http://schemas.microsoft.com/office/drawing/2014/main" id="{00000000-0008-0000-0900-00002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4850" name="Button 34" hidden="1">
              <a:extLst>
                <a:ext uri="{63B3BB69-23CF-44E3-9099-C40C66FF867C}">
                  <a14:compatExt spid="_x0000_s34850"/>
                </a:ext>
                <a:ext uri="{FF2B5EF4-FFF2-40B4-BE49-F238E27FC236}">
                  <a16:creationId xmlns:a16="http://schemas.microsoft.com/office/drawing/2014/main" id="{00000000-0008-0000-0900-00002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4851" name="Button 35" hidden="1">
              <a:extLst>
                <a:ext uri="{63B3BB69-23CF-44E3-9099-C40C66FF867C}">
                  <a14:compatExt spid="_x0000_s34851"/>
                </a:ext>
                <a:ext uri="{FF2B5EF4-FFF2-40B4-BE49-F238E27FC236}">
                  <a16:creationId xmlns:a16="http://schemas.microsoft.com/office/drawing/2014/main" id="{00000000-0008-0000-0900-00002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4852" name="Button 36" hidden="1">
              <a:extLst>
                <a:ext uri="{63B3BB69-23CF-44E3-9099-C40C66FF867C}">
                  <a14:compatExt spid="_x0000_s34852"/>
                </a:ext>
                <a:ext uri="{FF2B5EF4-FFF2-40B4-BE49-F238E27FC236}">
                  <a16:creationId xmlns:a16="http://schemas.microsoft.com/office/drawing/2014/main" id="{00000000-0008-0000-0900-00002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4853" name="Button 37" hidden="1">
              <a:extLst>
                <a:ext uri="{63B3BB69-23CF-44E3-9099-C40C66FF867C}">
                  <a14:compatExt spid="_x0000_s34853"/>
                </a:ext>
                <a:ext uri="{FF2B5EF4-FFF2-40B4-BE49-F238E27FC236}">
                  <a16:creationId xmlns:a16="http://schemas.microsoft.com/office/drawing/2014/main" id="{00000000-0008-0000-0900-00002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4854" name="Button 38" hidden="1">
              <a:extLst>
                <a:ext uri="{63B3BB69-23CF-44E3-9099-C40C66FF867C}">
                  <a14:compatExt spid="_x0000_s34854"/>
                </a:ext>
                <a:ext uri="{FF2B5EF4-FFF2-40B4-BE49-F238E27FC236}">
                  <a16:creationId xmlns:a16="http://schemas.microsoft.com/office/drawing/2014/main" id="{00000000-0008-0000-0900-00002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4855" name="Button 39" hidden="1">
              <a:extLst>
                <a:ext uri="{63B3BB69-23CF-44E3-9099-C40C66FF867C}">
                  <a14:compatExt spid="_x0000_s34855"/>
                </a:ext>
                <a:ext uri="{FF2B5EF4-FFF2-40B4-BE49-F238E27FC236}">
                  <a16:creationId xmlns:a16="http://schemas.microsoft.com/office/drawing/2014/main" id="{00000000-0008-0000-0900-00002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4856" name="Button 40" hidden="1">
              <a:extLst>
                <a:ext uri="{63B3BB69-23CF-44E3-9099-C40C66FF867C}">
                  <a14:compatExt spid="_x0000_s34856"/>
                </a:ext>
                <a:ext uri="{FF2B5EF4-FFF2-40B4-BE49-F238E27FC236}">
                  <a16:creationId xmlns:a16="http://schemas.microsoft.com/office/drawing/2014/main" id="{00000000-0008-0000-0900-00002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4857" name="Button 41" hidden="1">
              <a:extLst>
                <a:ext uri="{63B3BB69-23CF-44E3-9099-C40C66FF867C}">
                  <a14:compatExt spid="_x0000_s34857"/>
                </a:ext>
                <a:ext uri="{FF2B5EF4-FFF2-40B4-BE49-F238E27FC236}">
                  <a16:creationId xmlns:a16="http://schemas.microsoft.com/office/drawing/2014/main" id="{00000000-0008-0000-0900-00002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4858" name="Button 42" hidden="1">
              <a:extLst>
                <a:ext uri="{63B3BB69-23CF-44E3-9099-C40C66FF867C}">
                  <a14:compatExt spid="_x0000_s34858"/>
                </a:ext>
                <a:ext uri="{FF2B5EF4-FFF2-40B4-BE49-F238E27FC236}">
                  <a16:creationId xmlns:a16="http://schemas.microsoft.com/office/drawing/2014/main" id="{00000000-0008-0000-0900-00002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4859" name="Button 43" hidden="1">
              <a:extLst>
                <a:ext uri="{63B3BB69-23CF-44E3-9099-C40C66FF867C}">
                  <a14:compatExt spid="_x0000_s34859"/>
                </a:ext>
                <a:ext uri="{FF2B5EF4-FFF2-40B4-BE49-F238E27FC236}">
                  <a16:creationId xmlns:a16="http://schemas.microsoft.com/office/drawing/2014/main" id="{00000000-0008-0000-0900-00002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4860" name="Button 44" hidden="1">
              <a:extLst>
                <a:ext uri="{63B3BB69-23CF-44E3-9099-C40C66FF867C}">
                  <a14:compatExt spid="_x0000_s34860"/>
                </a:ext>
                <a:ext uri="{FF2B5EF4-FFF2-40B4-BE49-F238E27FC236}">
                  <a16:creationId xmlns:a16="http://schemas.microsoft.com/office/drawing/2014/main" id="{00000000-0008-0000-0900-00002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4861" name="Button 45" hidden="1">
              <a:extLst>
                <a:ext uri="{63B3BB69-23CF-44E3-9099-C40C66FF867C}">
                  <a14:compatExt spid="_x0000_s34861"/>
                </a:ext>
                <a:ext uri="{FF2B5EF4-FFF2-40B4-BE49-F238E27FC236}">
                  <a16:creationId xmlns:a16="http://schemas.microsoft.com/office/drawing/2014/main" id="{00000000-0008-0000-0900-00002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4862" name="Button 46" hidden="1">
              <a:extLst>
                <a:ext uri="{63B3BB69-23CF-44E3-9099-C40C66FF867C}">
                  <a14:compatExt spid="_x0000_s34862"/>
                </a:ext>
                <a:ext uri="{FF2B5EF4-FFF2-40B4-BE49-F238E27FC236}">
                  <a16:creationId xmlns:a16="http://schemas.microsoft.com/office/drawing/2014/main" id="{00000000-0008-0000-0900-00002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4863" name="Button 47" hidden="1">
              <a:extLst>
                <a:ext uri="{63B3BB69-23CF-44E3-9099-C40C66FF867C}">
                  <a14:compatExt spid="_x0000_s34863"/>
                </a:ext>
                <a:ext uri="{FF2B5EF4-FFF2-40B4-BE49-F238E27FC236}">
                  <a16:creationId xmlns:a16="http://schemas.microsoft.com/office/drawing/2014/main" id="{00000000-0008-0000-0900-00002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4864" name="Button 48" hidden="1">
              <a:extLst>
                <a:ext uri="{63B3BB69-23CF-44E3-9099-C40C66FF867C}">
                  <a14:compatExt spid="_x0000_s34864"/>
                </a:ext>
                <a:ext uri="{FF2B5EF4-FFF2-40B4-BE49-F238E27FC236}">
                  <a16:creationId xmlns:a16="http://schemas.microsoft.com/office/drawing/2014/main" id="{00000000-0008-0000-0900-00003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4865" name="Button 49" hidden="1">
              <a:extLst>
                <a:ext uri="{63B3BB69-23CF-44E3-9099-C40C66FF867C}">
                  <a14:compatExt spid="_x0000_s34865"/>
                </a:ext>
                <a:ext uri="{FF2B5EF4-FFF2-40B4-BE49-F238E27FC236}">
                  <a16:creationId xmlns:a16="http://schemas.microsoft.com/office/drawing/2014/main" id="{00000000-0008-0000-0900-00003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4866" name="Button 50" hidden="1">
              <a:extLst>
                <a:ext uri="{63B3BB69-23CF-44E3-9099-C40C66FF867C}">
                  <a14:compatExt spid="_x0000_s34866"/>
                </a:ext>
                <a:ext uri="{FF2B5EF4-FFF2-40B4-BE49-F238E27FC236}">
                  <a16:creationId xmlns:a16="http://schemas.microsoft.com/office/drawing/2014/main" id="{00000000-0008-0000-0900-00003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4867" name="Button 51" hidden="1">
              <a:extLst>
                <a:ext uri="{63B3BB69-23CF-44E3-9099-C40C66FF867C}">
                  <a14:compatExt spid="_x0000_s34867"/>
                </a:ext>
                <a:ext uri="{FF2B5EF4-FFF2-40B4-BE49-F238E27FC236}">
                  <a16:creationId xmlns:a16="http://schemas.microsoft.com/office/drawing/2014/main" id="{00000000-0008-0000-0900-00003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4868" name="Button 52" hidden="1">
              <a:extLst>
                <a:ext uri="{63B3BB69-23CF-44E3-9099-C40C66FF867C}">
                  <a14:compatExt spid="_x0000_s34868"/>
                </a:ext>
                <a:ext uri="{FF2B5EF4-FFF2-40B4-BE49-F238E27FC236}">
                  <a16:creationId xmlns:a16="http://schemas.microsoft.com/office/drawing/2014/main" id="{00000000-0008-0000-0900-00003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4869" name="Button 53" hidden="1">
              <a:extLst>
                <a:ext uri="{63B3BB69-23CF-44E3-9099-C40C66FF867C}">
                  <a14:compatExt spid="_x0000_s34869"/>
                </a:ext>
                <a:ext uri="{FF2B5EF4-FFF2-40B4-BE49-F238E27FC236}">
                  <a16:creationId xmlns:a16="http://schemas.microsoft.com/office/drawing/2014/main" id="{00000000-0008-0000-0900-00003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4870" name="Button 54" hidden="1">
              <a:extLst>
                <a:ext uri="{63B3BB69-23CF-44E3-9099-C40C66FF867C}">
                  <a14:compatExt spid="_x0000_s34870"/>
                </a:ext>
                <a:ext uri="{FF2B5EF4-FFF2-40B4-BE49-F238E27FC236}">
                  <a16:creationId xmlns:a16="http://schemas.microsoft.com/office/drawing/2014/main" id="{00000000-0008-0000-0900-00003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4871" name="Button 55" hidden="1">
              <a:extLst>
                <a:ext uri="{63B3BB69-23CF-44E3-9099-C40C66FF867C}">
                  <a14:compatExt spid="_x0000_s34871"/>
                </a:ext>
                <a:ext uri="{FF2B5EF4-FFF2-40B4-BE49-F238E27FC236}">
                  <a16:creationId xmlns:a16="http://schemas.microsoft.com/office/drawing/2014/main" id="{00000000-0008-0000-0900-00003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4872" name="Button 56" hidden="1">
              <a:extLst>
                <a:ext uri="{63B3BB69-23CF-44E3-9099-C40C66FF867C}">
                  <a14:compatExt spid="_x0000_s34872"/>
                </a:ext>
                <a:ext uri="{FF2B5EF4-FFF2-40B4-BE49-F238E27FC236}">
                  <a16:creationId xmlns:a16="http://schemas.microsoft.com/office/drawing/2014/main" id="{00000000-0008-0000-0900-00003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4873" name="Button 57" hidden="1">
              <a:extLst>
                <a:ext uri="{63B3BB69-23CF-44E3-9099-C40C66FF867C}">
                  <a14:compatExt spid="_x0000_s34873"/>
                </a:ext>
                <a:ext uri="{FF2B5EF4-FFF2-40B4-BE49-F238E27FC236}">
                  <a16:creationId xmlns:a16="http://schemas.microsoft.com/office/drawing/2014/main" id="{00000000-0008-0000-0900-00003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4874" name="Button 58" hidden="1">
              <a:extLst>
                <a:ext uri="{63B3BB69-23CF-44E3-9099-C40C66FF867C}">
                  <a14:compatExt spid="_x0000_s34874"/>
                </a:ext>
                <a:ext uri="{FF2B5EF4-FFF2-40B4-BE49-F238E27FC236}">
                  <a16:creationId xmlns:a16="http://schemas.microsoft.com/office/drawing/2014/main" id="{00000000-0008-0000-0900-00003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4875" name="Button 59" hidden="1">
              <a:extLst>
                <a:ext uri="{63B3BB69-23CF-44E3-9099-C40C66FF867C}">
                  <a14:compatExt spid="_x0000_s34875"/>
                </a:ext>
                <a:ext uri="{FF2B5EF4-FFF2-40B4-BE49-F238E27FC236}">
                  <a16:creationId xmlns:a16="http://schemas.microsoft.com/office/drawing/2014/main" id="{00000000-0008-0000-0900-00003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4876" name="Button 60" hidden="1">
              <a:extLst>
                <a:ext uri="{63B3BB69-23CF-44E3-9099-C40C66FF867C}">
                  <a14:compatExt spid="_x0000_s34876"/>
                </a:ext>
                <a:ext uri="{FF2B5EF4-FFF2-40B4-BE49-F238E27FC236}">
                  <a16:creationId xmlns:a16="http://schemas.microsoft.com/office/drawing/2014/main" id="{00000000-0008-0000-0900-00003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4877" name="Button 61" hidden="1">
              <a:extLst>
                <a:ext uri="{63B3BB69-23CF-44E3-9099-C40C66FF867C}">
                  <a14:compatExt spid="_x0000_s34877"/>
                </a:ext>
                <a:ext uri="{FF2B5EF4-FFF2-40B4-BE49-F238E27FC236}">
                  <a16:creationId xmlns:a16="http://schemas.microsoft.com/office/drawing/2014/main" id="{00000000-0008-0000-0900-00003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4878" name="Button 62" hidden="1">
              <a:extLst>
                <a:ext uri="{63B3BB69-23CF-44E3-9099-C40C66FF867C}">
                  <a14:compatExt spid="_x0000_s34878"/>
                </a:ext>
                <a:ext uri="{FF2B5EF4-FFF2-40B4-BE49-F238E27FC236}">
                  <a16:creationId xmlns:a16="http://schemas.microsoft.com/office/drawing/2014/main" id="{00000000-0008-0000-0900-00003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4879" name="Button 63" hidden="1">
              <a:extLst>
                <a:ext uri="{63B3BB69-23CF-44E3-9099-C40C66FF867C}">
                  <a14:compatExt spid="_x0000_s34879"/>
                </a:ext>
                <a:ext uri="{FF2B5EF4-FFF2-40B4-BE49-F238E27FC236}">
                  <a16:creationId xmlns:a16="http://schemas.microsoft.com/office/drawing/2014/main" id="{00000000-0008-0000-0900-00003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4880" name="Button 64" hidden="1">
              <a:extLst>
                <a:ext uri="{63B3BB69-23CF-44E3-9099-C40C66FF867C}">
                  <a14:compatExt spid="_x0000_s34880"/>
                </a:ext>
                <a:ext uri="{FF2B5EF4-FFF2-40B4-BE49-F238E27FC236}">
                  <a16:creationId xmlns:a16="http://schemas.microsoft.com/office/drawing/2014/main" id="{00000000-0008-0000-0900-00004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4881" name="Button 65" hidden="1">
              <a:extLst>
                <a:ext uri="{63B3BB69-23CF-44E3-9099-C40C66FF867C}">
                  <a14:compatExt spid="_x0000_s34881"/>
                </a:ext>
                <a:ext uri="{FF2B5EF4-FFF2-40B4-BE49-F238E27FC236}">
                  <a16:creationId xmlns:a16="http://schemas.microsoft.com/office/drawing/2014/main" id="{00000000-0008-0000-0900-00004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4882" name="Button 66" hidden="1">
              <a:extLst>
                <a:ext uri="{63B3BB69-23CF-44E3-9099-C40C66FF867C}">
                  <a14:compatExt spid="_x0000_s34882"/>
                </a:ext>
                <a:ext uri="{FF2B5EF4-FFF2-40B4-BE49-F238E27FC236}">
                  <a16:creationId xmlns:a16="http://schemas.microsoft.com/office/drawing/2014/main" id="{00000000-0008-0000-0900-00004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4883" name="Button 67" hidden="1">
              <a:extLst>
                <a:ext uri="{63B3BB69-23CF-44E3-9099-C40C66FF867C}">
                  <a14:compatExt spid="_x0000_s34883"/>
                </a:ext>
                <a:ext uri="{FF2B5EF4-FFF2-40B4-BE49-F238E27FC236}">
                  <a16:creationId xmlns:a16="http://schemas.microsoft.com/office/drawing/2014/main" id="{00000000-0008-0000-0900-00004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4884" name="Button 68" hidden="1">
              <a:extLst>
                <a:ext uri="{63B3BB69-23CF-44E3-9099-C40C66FF867C}">
                  <a14:compatExt spid="_x0000_s34884"/>
                </a:ext>
                <a:ext uri="{FF2B5EF4-FFF2-40B4-BE49-F238E27FC236}">
                  <a16:creationId xmlns:a16="http://schemas.microsoft.com/office/drawing/2014/main" id="{00000000-0008-0000-0900-00004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4885" name="Button 69" hidden="1">
              <a:extLst>
                <a:ext uri="{63B3BB69-23CF-44E3-9099-C40C66FF867C}">
                  <a14:compatExt spid="_x0000_s34885"/>
                </a:ext>
                <a:ext uri="{FF2B5EF4-FFF2-40B4-BE49-F238E27FC236}">
                  <a16:creationId xmlns:a16="http://schemas.microsoft.com/office/drawing/2014/main" id="{00000000-0008-0000-0900-00004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4886" name="Button 70" hidden="1">
              <a:extLst>
                <a:ext uri="{63B3BB69-23CF-44E3-9099-C40C66FF867C}">
                  <a14:compatExt spid="_x0000_s34886"/>
                </a:ext>
                <a:ext uri="{FF2B5EF4-FFF2-40B4-BE49-F238E27FC236}">
                  <a16:creationId xmlns:a16="http://schemas.microsoft.com/office/drawing/2014/main" id="{00000000-0008-0000-0900-00004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4887" name="Button 71" hidden="1">
              <a:extLst>
                <a:ext uri="{63B3BB69-23CF-44E3-9099-C40C66FF867C}">
                  <a14:compatExt spid="_x0000_s34887"/>
                </a:ext>
                <a:ext uri="{FF2B5EF4-FFF2-40B4-BE49-F238E27FC236}">
                  <a16:creationId xmlns:a16="http://schemas.microsoft.com/office/drawing/2014/main" id="{00000000-0008-0000-0900-00004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4888" name="Button 72" hidden="1">
              <a:extLst>
                <a:ext uri="{63B3BB69-23CF-44E3-9099-C40C66FF867C}">
                  <a14:compatExt spid="_x0000_s34888"/>
                </a:ext>
                <a:ext uri="{FF2B5EF4-FFF2-40B4-BE49-F238E27FC236}">
                  <a16:creationId xmlns:a16="http://schemas.microsoft.com/office/drawing/2014/main" id="{00000000-0008-0000-0900-00004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4889" name="Button 73" hidden="1">
              <a:extLst>
                <a:ext uri="{63B3BB69-23CF-44E3-9099-C40C66FF867C}">
                  <a14:compatExt spid="_x0000_s34889"/>
                </a:ext>
                <a:ext uri="{FF2B5EF4-FFF2-40B4-BE49-F238E27FC236}">
                  <a16:creationId xmlns:a16="http://schemas.microsoft.com/office/drawing/2014/main" id="{00000000-0008-0000-0900-00004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4890" name="Button 74" hidden="1">
              <a:extLst>
                <a:ext uri="{63B3BB69-23CF-44E3-9099-C40C66FF867C}">
                  <a14:compatExt spid="_x0000_s34890"/>
                </a:ext>
                <a:ext uri="{FF2B5EF4-FFF2-40B4-BE49-F238E27FC236}">
                  <a16:creationId xmlns:a16="http://schemas.microsoft.com/office/drawing/2014/main" id="{00000000-0008-0000-0900-00004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4891" name="Button 75" hidden="1">
              <a:extLst>
                <a:ext uri="{63B3BB69-23CF-44E3-9099-C40C66FF867C}">
                  <a14:compatExt spid="_x0000_s34891"/>
                </a:ext>
                <a:ext uri="{FF2B5EF4-FFF2-40B4-BE49-F238E27FC236}">
                  <a16:creationId xmlns:a16="http://schemas.microsoft.com/office/drawing/2014/main" id="{00000000-0008-0000-0900-00004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4892" name="Button 76" hidden="1">
              <a:extLst>
                <a:ext uri="{63B3BB69-23CF-44E3-9099-C40C66FF867C}">
                  <a14:compatExt spid="_x0000_s34892"/>
                </a:ext>
                <a:ext uri="{FF2B5EF4-FFF2-40B4-BE49-F238E27FC236}">
                  <a16:creationId xmlns:a16="http://schemas.microsoft.com/office/drawing/2014/main" id="{00000000-0008-0000-0900-00004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4893" name="Button 77" hidden="1">
              <a:extLst>
                <a:ext uri="{63B3BB69-23CF-44E3-9099-C40C66FF867C}">
                  <a14:compatExt spid="_x0000_s34893"/>
                </a:ext>
                <a:ext uri="{FF2B5EF4-FFF2-40B4-BE49-F238E27FC236}">
                  <a16:creationId xmlns:a16="http://schemas.microsoft.com/office/drawing/2014/main" id="{00000000-0008-0000-0900-00004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4894" name="Button 78" hidden="1">
              <a:extLst>
                <a:ext uri="{63B3BB69-23CF-44E3-9099-C40C66FF867C}">
                  <a14:compatExt spid="_x0000_s34894"/>
                </a:ext>
                <a:ext uri="{FF2B5EF4-FFF2-40B4-BE49-F238E27FC236}">
                  <a16:creationId xmlns:a16="http://schemas.microsoft.com/office/drawing/2014/main" id="{00000000-0008-0000-0900-00004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4895" name="Button 79" hidden="1">
              <a:extLst>
                <a:ext uri="{63B3BB69-23CF-44E3-9099-C40C66FF867C}">
                  <a14:compatExt spid="_x0000_s34895"/>
                </a:ext>
                <a:ext uri="{FF2B5EF4-FFF2-40B4-BE49-F238E27FC236}">
                  <a16:creationId xmlns:a16="http://schemas.microsoft.com/office/drawing/2014/main" id="{00000000-0008-0000-0900-00004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4896" name="Button 80" hidden="1">
              <a:extLst>
                <a:ext uri="{63B3BB69-23CF-44E3-9099-C40C66FF867C}">
                  <a14:compatExt spid="_x0000_s34896"/>
                </a:ext>
                <a:ext uri="{FF2B5EF4-FFF2-40B4-BE49-F238E27FC236}">
                  <a16:creationId xmlns:a16="http://schemas.microsoft.com/office/drawing/2014/main" id="{00000000-0008-0000-0900-00005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4897" name="Button 81" hidden="1">
              <a:extLst>
                <a:ext uri="{63B3BB69-23CF-44E3-9099-C40C66FF867C}">
                  <a14:compatExt spid="_x0000_s34897"/>
                </a:ext>
                <a:ext uri="{FF2B5EF4-FFF2-40B4-BE49-F238E27FC236}">
                  <a16:creationId xmlns:a16="http://schemas.microsoft.com/office/drawing/2014/main" id="{00000000-0008-0000-0900-00005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4898" name="Button 82" hidden="1">
              <a:extLst>
                <a:ext uri="{63B3BB69-23CF-44E3-9099-C40C66FF867C}">
                  <a14:compatExt spid="_x0000_s34898"/>
                </a:ext>
                <a:ext uri="{FF2B5EF4-FFF2-40B4-BE49-F238E27FC236}">
                  <a16:creationId xmlns:a16="http://schemas.microsoft.com/office/drawing/2014/main" id="{00000000-0008-0000-0900-00005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4899" name="Button 83" hidden="1">
              <a:extLst>
                <a:ext uri="{63B3BB69-23CF-44E3-9099-C40C66FF867C}">
                  <a14:compatExt spid="_x0000_s34899"/>
                </a:ext>
                <a:ext uri="{FF2B5EF4-FFF2-40B4-BE49-F238E27FC236}">
                  <a16:creationId xmlns:a16="http://schemas.microsoft.com/office/drawing/2014/main" id="{00000000-0008-0000-0900-00005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4900" name="Button 84" hidden="1">
              <a:extLst>
                <a:ext uri="{63B3BB69-23CF-44E3-9099-C40C66FF867C}">
                  <a14:compatExt spid="_x0000_s34900"/>
                </a:ext>
                <a:ext uri="{FF2B5EF4-FFF2-40B4-BE49-F238E27FC236}">
                  <a16:creationId xmlns:a16="http://schemas.microsoft.com/office/drawing/2014/main" id="{00000000-0008-0000-0900-00005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4901" name="Button 85" hidden="1">
              <a:extLst>
                <a:ext uri="{63B3BB69-23CF-44E3-9099-C40C66FF867C}">
                  <a14:compatExt spid="_x0000_s34901"/>
                </a:ext>
                <a:ext uri="{FF2B5EF4-FFF2-40B4-BE49-F238E27FC236}">
                  <a16:creationId xmlns:a16="http://schemas.microsoft.com/office/drawing/2014/main" id="{00000000-0008-0000-0900-00005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4902" name="Button 86" hidden="1">
              <a:extLst>
                <a:ext uri="{63B3BB69-23CF-44E3-9099-C40C66FF867C}">
                  <a14:compatExt spid="_x0000_s34902"/>
                </a:ext>
                <a:ext uri="{FF2B5EF4-FFF2-40B4-BE49-F238E27FC236}">
                  <a16:creationId xmlns:a16="http://schemas.microsoft.com/office/drawing/2014/main" id="{00000000-0008-0000-0900-00005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4903" name="Button 87" hidden="1">
              <a:extLst>
                <a:ext uri="{63B3BB69-23CF-44E3-9099-C40C66FF867C}">
                  <a14:compatExt spid="_x0000_s34903"/>
                </a:ext>
                <a:ext uri="{FF2B5EF4-FFF2-40B4-BE49-F238E27FC236}">
                  <a16:creationId xmlns:a16="http://schemas.microsoft.com/office/drawing/2014/main" id="{00000000-0008-0000-0900-00005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4904" name="Button 88" hidden="1">
              <a:extLst>
                <a:ext uri="{63B3BB69-23CF-44E3-9099-C40C66FF867C}">
                  <a14:compatExt spid="_x0000_s34904"/>
                </a:ext>
                <a:ext uri="{FF2B5EF4-FFF2-40B4-BE49-F238E27FC236}">
                  <a16:creationId xmlns:a16="http://schemas.microsoft.com/office/drawing/2014/main" id="{00000000-0008-0000-0900-00005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4905" name="Button 89" hidden="1">
              <a:extLst>
                <a:ext uri="{63B3BB69-23CF-44E3-9099-C40C66FF867C}">
                  <a14:compatExt spid="_x0000_s34905"/>
                </a:ext>
                <a:ext uri="{FF2B5EF4-FFF2-40B4-BE49-F238E27FC236}">
                  <a16:creationId xmlns:a16="http://schemas.microsoft.com/office/drawing/2014/main" id="{00000000-0008-0000-0900-00005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4906" name="Button 90" hidden="1">
              <a:extLst>
                <a:ext uri="{63B3BB69-23CF-44E3-9099-C40C66FF867C}">
                  <a14:compatExt spid="_x0000_s34906"/>
                </a:ext>
                <a:ext uri="{FF2B5EF4-FFF2-40B4-BE49-F238E27FC236}">
                  <a16:creationId xmlns:a16="http://schemas.microsoft.com/office/drawing/2014/main" id="{00000000-0008-0000-0900-00005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4907" name="Button 91" hidden="1">
              <a:extLst>
                <a:ext uri="{63B3BB69-23CF-44E3-9099-C40C66FF867C}">
                  <a14:compatExt spid="_x0000_s34907"/>
                </a:ext>
                <a:ext uri="{FF2B5EF4-FFF2-40B4-BE49-F238E27FC236}">
                  <a16:creationId xmlns:a16="http://schemas.microsoft.com/office/drawing/2014/main" id="{00000000-0008-0000-0900-00005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4908" name="Button 92" hidden="1">
              <a:extLst>
                <a:ext uri="{63B3BB69-23CF-44E3-9099-C40C66FF867C}">
                  <a14:compatExt spid="_x0000_s34908"/>
                </a:ext>
                <a:ext uri="{FF2B5EF4-FFF2-40B4-BE49-F238E27FC236}">
                  <a16:creationId xmlns:a16="http://schemas.microsoft.com/office/drawing/2014/main" id="{00000000-0008-0000-0900-00005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4909" name="Button 93" hidden="1">
              <a:extLst>
                <a:ext uri="{63B3BB69-23CF-44E3-9099-C40C66FF867C}">
                  <a14:compatExt spid="_x0000_s34909"/>
                </a:ext>
                <a:ext uri="{FF2B5EF4-FFF2-40B4-BE49-F238E27FC236}">
                  <a16:creationId xmlns:a16="http://schemas.microsoft.com/office/drawing/2014/main" id="{00000000-0008-0000-0900-00005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4910" name="Button 94" hidden="1">
              <a:extLst>
                <a:ext uri="{63B3BB69-23CF-44E3-9099-C40C66FF867C}">
                  <a14:compatExt spid="_x0000_s34910"/>
                </a:ext>
                <a:ext uri="{FF2B5EF4-FFF2-40B4-BE49-F238E27FC236}">
                  <a16:creationId xmlns:a16="http://schemas.microsoft.com/office/drawing/2014/main" id="{00000000-0008-0000-0900-00005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4911" name="Button 95" hidden="1">
              <a:extLst>
                <a:ext uri="{63B3BB69-23CF-44E3-9099-C40C66FF867C}">
                  <a14:compatExt spid="_x0000_s34911"/>
                </a:ext>
                <a:ext uri="{FF2B5EF4-FFF2-40B4-BE49-F238E27FC236}">
                  <a16:creationId xmlns:a16="http://schemas.microsoft.com/office/drawing/2014/main" id="{00000000-0008-0000-0900-00005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4912" name="Button 96" hidden="1">
              <a:extLst>
                <a:ext uri="{63B3BB69-23CF-44E3-9099-C40C66FF867C}">
                  <a14:compatExt spid="_x0000_s34912"/>
                </a:ext>
                <a:ext uri="{FF2B5EF4-FFF2-40B4-BE49-F238E27FC236}">
                  <a16:creationId xmlns:a16="http://schemas.microsoft.com/office/drawing/2014/main" id="{00000000-0008-0000-0900-00006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4913" name="Button 97" hidden="1">
              <a:extLst>
                <a:ext uri="{63B3BB69-23CF-44E3-9099-C40C66FF867C}">
                  <a14:compatExt spid="_x0000_s34913"/>
                </a:ext>
                <a:ext uri="{FF2B5EF4-FFF2-40B4-BE49-F238E27FC236}">
                  <a16:creationId xmlns:a16="http://schemas.microsoft.com/office/drawing/2014/main" id="{00000000-0008-0000-0900-00006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4914" name="Button 98" hidden="1">
              <a:extLst>
                <a:ext uri="{63B3BB69-23CF-44E3-9099-C40C66FF867C}">
                  <a14:compatExt spid="_x0000_s34914"/>
                </a:ext>
                <a:ext uri="{FF2B5EF4-FFF2-40B4-BE49-F238E27FC236}">
                  <a16:creationId xmlns:a16="http://schemas.microsoft.com/office/drawing/2014/main" id="{00000000-0008-0000-0900-00006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4915" name="Button 99" hidden="1">
              <a:extLst>
                <a:ext uri="{63B3BB69-23CF-44E3-9099-C40C66FF867C}">
                  <a14:compatExt spid="_x0000_s34915"/>
                </a:ext>
                <a:ext uri="{FF2B5EF4-FFF2-40B4-BE49-F238E27FC236}">
                  <a16:creationId xmlns:a16="http://schemas.microsoft.com/office/drawing/2014/main" id="{00000000-0008-0000-0900-00006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4916" name="Button 100" hidden="1">
              <a:extLst>
                <a:ext uri="{63B3BB69-23CF-44E3-9099-C40C66FF867C}">
                  <a14:compatExt spid="_x0000_s34916"/>
                </a:ext>
                <a:ext uri="{FF2B5EF4-FFF2-40B4-BE49-F238E27FC236}">
                  <a16:creationId xmlns:a16="http://schemas.microsoft.com/office/drawing/2014/main" id="{00000000-0008-0000-0900-00006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4917" name="Button 101" hidden="1">
              <a:extLst>
                <a:ext uri="{63B3BB69-23CF-44E3-9099-C40C66FF867C}">
                  <a14:compatExt spid="_x0000_s34917"/>
                </a:ext>
                <a:ext uri="{FF2B5EF4-FFF2-40B4-BE49-F238E27FC236}">
                  <a16:creationId xmlns:a16="http://schemas.microsoft.com/office/drawing/2014/main" id="{00000000-0008-0000-0900-00006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4918" name="Button 102" hidden="1">
              <a:extLst>
                <a:ext uri="{63B3BB69-23CF-44E3-9099-C40C66FF867C}">
                  <a14:compatExt spid="_x0000_s34918"/>
                </a:ext>
                <a:ext uri="{FF2B5EF4-FFF2-40B4-BE49-F238E27FC236}">
                  <a16:creationId xmlns:a16="http://schemas.microsoft.com/office/drawing/2014/main" id="{00000000-0008-0000-0900-00006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4919" name="Button 103" hidden="1">
              <a:extLst>
                <a:ext uri="{63B3BB69-23CF-44E3-9099-C40C66FF867C}">
                  <a14:compatExt spid="_x0000_s34919"/>
                </a:ext>
                <a:ext uri="{FF2B5EF4-FFF2-40B4-BE49-F238E27FC236}">
                  <a16:creationId xmlns:a16="http://schemas.microsoft.com/office/drawing/2014/main" id="{00000000-0008-0000-0900-00006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4920" name="Button 104" hidden="1">
              <a:extLst>
                <a:ext uri="{63B3BB69-23CF-44E3-9099-C40C66FF867C}">
                  <a14:compatExt spid="_x0000_s34920"/>
                </a:ext>
                <a:ext uri="{FF2B5EF4-FFF2-40B4-BE49-F238E27FC236}">
                  <a16:creationId xmlns:a16="http://schemas.microsoft.com/office/drawing/2014/main" id="{00000000-0008-0000-0900-00006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4921" name="Button 105" hidden="1">
              <a:extLst>
                <a:ext uri="{63B3BB69-23CF-44E3-9099-C40C66FF867C}">
                  <a14:compatExt spid="_x0000_s34921"/>
                </a:ext>
                <a:ext uri="{FF2B5EF4-FFF2-40B4-BE49-F238E27FC236}">
                  <a16:creationId xmlns:a16="http://schemas.microsoft.com/office/drawing/2014/main" id="{00000000-0008-0000-0900-00006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4922" name="Button 106" hidden="1">
              <a:extLst>
                <a:ext uri="{63B3BB69-23CF-44E3-9099-C40C66FF867C}">
                  <a14:compatExt spid="_x0000_s34922"/>
                </a:ext>
                <a:ext uri="{FF2B5EF4-FFF2-40B4-BE49-F238E27FC236}">
                  <a16:creationId xmlns:a16="http://schemas.microsoft.com/office/drawing/2014/main" id="{00000000-0008-0000-0900-00006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4923" name="Button 107" hidden="1">
              <a:extLst>
                <a:ext uri="{63B3BB69-23CF-44E3-9099-C40C66FF867C}">
                  <a14:compatExt spid="_x0000_s34923"/>
                </a:ext>
                <a:ext uri="{FF2B5EF4-FFF2-40B4-BE49-F238E27FC236}">
                  <a16:creationId xmlns:a16="http://schemas.microsoft.com/office/drawing/2014/main" id="{00000000-0008-0000-0900-00006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4924" name="Button 108" hidden="1">
              <a:extLst>
                <a:ext uri="{63B3BB69-23CF-44E3-9099-C40C66FF867C}">
                  <a14:compatExt spid="_x0000_s34924"/>
                </a:ext>
                <a:ext uri="{FF2B5EF4-FFF2-40B4-BE49-F238E27FC236}">
                  <a16:creationId xmlns:a16="http://schemas.microsoft.com/office/drawing/2014/main" id="{00000000-0008-0000-0900-00006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4925" name="Button 109" hidden="1">
              <a:extLst>
                <a:ext uri="{63B3BB69-23CF-44E3-9099-C40C66FF867C}">
                  <a14:compatExt spid="_x0000_s34925"/>
                </a:ext>
                <a:ext uri="{FF2B5EF4-FFF2-40B4-BE49-F238E27FC236}">
                  <a16:creationId xmlns:a16="http://schemas.microsoft.com/office/drawing/2014/main" id="{00000000-0008-0000-0900-00006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4926" name="Button 110" hidden="1">
              <a:extLst>
                <a:ext uri="{63B3BB69-23CF-44E3-9099-C40C66FF867C}">
                  <a14:compatExt spid="_x0000_s34926"/>
                </a:ext>
                <a:ext uri="{FF2B5EF4-FFF2-40B4-BE49-F238E27FC236}">
                  <a16:creationId xmlns:a16="http://schemas.microsoft.com/office/drawing/2014/main" id="{00000000-0008-0000-0900-00006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4927" name="Button 111" hidden="1">
              <a:extLst>
                <a:ext uri="{63B3BB69-23CF-44E3-9099-C40C66FF867C}">
                  <a14:compatExt spid="_x0000_s34927"/>
                </a:ext>
                <a:ext uri="{FF2B5EF4-FFF2-40B4-BE49-F238E27FC236}">
                  <a16:creationId xmlns:a16="http://schemas.microsoft.com/office/drawing/2014/main" id="{00000000-0008-0000-0900-00006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4928" name="Button 112" hidden="1">
              <a:extLst>
                <a:ext uri="{63B3BB69-23CF-44E3-9099-C40C66FF867C}">
                  <a14:compatExt spid="_x0000_s34928"/>
                </a:ext>
                <a:ext uri="{FF2B5EF4-FFF2-40B4-BE49-F238E27FC236}">
                  <a16:creationId xmlns:a16="http://schemas.microsoft.com/office/drawing/2014/main" id="{00000000-0008-0000-0900-00007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4929" name="Button 113" hidden="1">
              <a:extLst>
                <a:ext uri="{63B3BB69-23CF-44E3-9099-C40C66FF867C}">
                  <a14:compatExt spid="_x0000_s34929"/>
                </a:ext>
                <a:ext uri="{FF2B5EF4-FFF2-40B4-BE49-F238E27FC236}">
                  <a16:creationId xmlns:a16="http://schemas.microsoft.com/office/drawing/2014/main" id="{00000000-0008-0000-0900-00007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4930" name="Button 114" hidden="1">
              <a:extLst>
                <a:ext uri="{63B3BB69-23CF-44E3-9099-C40C66FF867C}">
                  <a14:compatExt spid="_x0000_s34930"/>
                </a:ext>
                <a:ext uri="{FF2B5EF4-FFF2-40B4-BE49-F238E27FC236}">
                  <a16:creationId xmlns:a16="http://schemas.microsoft.com/office/drawing/2014/main" id="{00000000-0008-0000-0900-00007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4931" name="Button 115" hidden="1">
              <a:extLst>
                <a:ext uri="{63B3BB69-23CF-44E3-9099-C40C66FF867C}">
                  <a14:compatExt spid="_x0000_s34931"/>
                </a:ext>
                <a:ext uri="{FF2B5EF4-FFF2-40B4-BE49-F238E27FC236}">
                  <a16:creationId xmlns:a16="http://schemas.microsoft.com/office/drawing/2014/main" id="{00000000-0008-0000-0900-00007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4932" name="Button 116" hidden="1">
              <a:extLst>
                <a:ext uri="{63B3BB69-23CF-44E3-9099-C40C66FF867C}">
                  <a14:compatExt spid="_x0000_s34932"/>
                </a:ext>
                <a:ext uri="{FF2B5EF4-FFF2-40B4-BE49-F238E27FC236}">
                  <a16:creationId xmlns:a16="http://schemas.microsoft.com/office/drawing/2014/main" id="{00000000-0008-0000-0900-00007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4933" name="Button 117" hidden="1">
              <a:extLst>
                <a:ext uri="{63B3BB69-23CF-44E3-9099-C40C66FF867C}">
                  <a14:compatExt spid="_x0000_s34933"/>
                </a:ext>
                <a:ext uri="{FF2B5EF4-FFF2-40B4-BE49-F238E27FC236}">
                  <a16:creationId xmlns:a16="http://schemas.microsoft.com/office/drawing/2014/main" id="{00000000-0008-0000-0900-00007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4934" name="Button 118" hidden="1">
              <a:extLst>
                <a:ext uri="{63B3BB69-23CF-44E3-9099-C40C66FF867C}">
                  <a14:compatExt spid="_x0000_s34934"/>
                </a:ext>
                <a:ext uri="{FF2B5EF4-FFF2-40B4-BE49-F238E27FC236}">
                  <a16:creationId xmlns:a16="http://schemas.microsoft.com/office/drawing/2014/main" id="{00000000-0008-0000-0900-00007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4935" name="Button 119" hidden="1">
              <a:extLst>
                <a:ext uri="{63B3BB69-23CF-44E3-9099-C40C66FF867C}">
                  <a14:compatExt spid="_x0000_s34935"/>
                </a:ext>
                <a:ext uri="{FF2B5EF4-FFF2-40B4-BE49-F238E27FC236}">
                  <a16:creationId xmlns:a16="http://schemas.microsoft.com/office/drawing/2014/main" id="{00000000-0008-0000-0900-00007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4936" name="Button 120" hidden="1">
              <a:extLst>
                <a:ext uri="{63B3BB69-23CF-44E3-9099-C40C66FF867C}">
                  <a14:compatExt spid="_x0000_s34936"/>
                </a:ext>
                <a:ext uri="{FF2B5EF4-FFF2-40B4-BE49-F238E27FC236}">
                  <a16:creationId xmlns:a16="http://schemas.microsoft.com/office/drawing/2014/main" id="{00000000-0008-0000-0900-00007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4937" name="Button 121" hidden="1">
              <a:extLst>
                <a:ext uri="{63B3BB69-23CF-44E3-9099-C40C66FF867C}">
                  <a14:compatExt spid="_x0000_s34937"/>
                </a:ext>
                <a:ext uri="{FF2B5EF4-FFF2-40B4-BE49-F238E27FC236}">
                  <a16:creationId xmlns:a16="http://schemas.microsoft.com/office/drawing/2014/main" id="{00000000-0008-0000-0900-00007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4938" name="Button 122" hidden="1">
              <a:extLst>
                <a:ext uri="{63B3BB69-23CF-44E3-9099-C40C66FF867C}">
                  <a14:compatExt spid="_x0000_s34938"/>
                </a:ext>
                <a:ext uri="{FF2B5EF4-FFF2-40B4-BE49-F238E27FC236}">
                  <a16:creationId xmlns:a16="http://schemas.microsoft.com/office/drawing/2014/main" id="{00000000-0008-0000-0900-00007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4939" name="Button 123" hidden="1">
              <a:extLst>
                <a:ext uri="{63B3BB69-23CF-44E3-9099-C40C66FF867C}">
                  <a14:compatExt spid="_x0000_s34939"/>
                </a:ext>
                <a:ext uri="{FF2B5EF4-FFF2-40B4-BE49-F238E27FC236}">
                  <a16:creationId xmlns:a16="http://schemas.microsoft.com/office/drawing/2014/main" id="{00000000-0008-0000-0900-00007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4940" name="Button 124" hidden="1">
              <a:extLst>
                <a:ext uri="{63B3BB69-23CF-44E3-9099-C40C66FF867C}">
                  <a14:compatExt spid="_x0000_s34940"/>
                </a:ext>
                <a:ext uri="{FF2B5EF4-FFF2-40B4-BE49-F238E27FC236}">
                  <a16:creationId xmlns:a16="http://schemas.microsoft.com/office/drawing/2014/main" id="{00000000-0008-0000-0900-00007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4941" name="Button 125" hidden="1">
              <a:extLst>
                <a:ext uri="{63B3BB69-23CF-44E3-9099-C40C66FF867C}">
                  <a14:compatExt spid="_x0000_s34941"/>
                </a:ext>
                <a:ext uri="{FF2B5EF4-FFF2-40B4-BE49-F238E27FC236}">
                  <a16:creationId xmlns:a16="http://schemas.microsoft.com/office/drawing/2014/main" id="{00000000-0008-0000-0900-00007D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4942" name="Button 126" hidden="1">
              <a:extLst>
                <a:ext uri="{63B3BB69-23CF-44E3-9099-C40C66FF867C}">
                  <a14:compatExt spid="_x0000_s34942"/>
                </a:ext>
                <a:ext uri="{FF2B5EF4-FFF2-40B4-BE49-F238E27FC236}">
                  <a16:creationId xmlns:a16="http://schemas.microsoft.com/office/drawing/2014/main" id="{00000000-0008-0000-0900-00007E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4943" name="Button 127" hidden="1">
              <a:extLst>
                <a:ext uri="{63B3BB69-23CF-44E3-9099-C40C66FF867C}">
                  <a14:compatExt spid="_x0000_s34943"/>
                </a:ext>
                <a:ext uri="{FF2B5EF4-FFF2-40B4-BE49-F238E27FC236}">
                  <a16:creationId xmlns:a16="http://schemas.microsoft.com/office/drawing/2014/main" id="{00000000-0008-0000-0900-00007F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4944" name="Button 128" hidden="1">
              <a:extLst>
                <a:ext uri="{63B3BB69-23CF-44E3-9099-C40C66FF867C}">
                  <a14:compatExt spid="_x0000_s34944"/>
                </a:ext>
                <a:ext uri="{FF2B5EF4-FFF2-40B4-BE49-F238E27FC236}">
                  <a16:creationId xmlns:a16="http://schemas.microsoft.com/office/drawing/2014/main" id="{00000000-0008-0000-0900-000080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4945" name="Button 129" hidden="1">
              <a:extLst>
                <a:ext uri="{63B3BB69-23CF-44E3-9099-C40C66FF867C}">
                  <a14:compatExt spid="_x0000_s34945"/>
                </a:ext>
                <a:ext uri="{FF2B5EF4-FFF2-40B4-BE49-F238E27FC236}">
                  <a16:creationId xmlns:a16="http://schemas.microsoft.com/office/drawing/2014/main" id="{00000000-0008-0000-0900-00008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4946" name="Button 130" hidden="1">
              <a:extLst>
                <a:ext uri="{63B3BB69-23CF-44E3-9099-C40C66FF867C}">
                  <a14:compatExt spid="_x0000_s34946"/>
                </a:ext>
                <a:ext uri="{FF2B5EF4-FFF2-40B4-BE49-F238E27FC236}">
                  <a16:creationId xmlns:a16="http://schemas.microsoft.com/office/drawing/2014/main" id="{00000000-0008-0000-0900-00008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4947" name="Button 131" hidden="1">
              <a:extLst>
                <a:ext uri="{63B3BB69-23CF-44E3-9099-C40C66FF867C}">
                  <a14:compatExt spid="_x0000_s34947"/>
                </a:ext>
                <a:ext uri="{FF2B5EF4-FFF2-40B4-BE49-F238E27FC236}">
                  <a16:creationId xmlns:a16="http://schemas.microsoft.com/office/drawing/2014/main" id="{00000000-0008-0000-0900-00008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4948" name="Button 132" hidden="1">
              <a:extLst>
                <a:ext uri="{63B3BB69-23CF-44E3-9099-C40C66FF867C}">
                  <a14:compatExt spid="_x0000_s34948"/>
                </a:ext>
                <a:ext uri="{FF2B5EF4-FFF2-40B4-BE49-F238E27FC236}">
                  <a16:creationId xmlns:a16="http://schemas.microsoft.com/office/drawing/2014/main" id="{00000000-0008-0000-0900-00008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4949" name="Button 133" hidden="1">
              <a:extLst>
                <a:ext uri="{63B3BB69-23CF-44E3-9099-C40C66FF867C}">
                  <a14:compatExt spid="_x0000_s34949"/>
                </a:ext>
                <a:ext uri="{FF2B5EF4-FFF2-40B4-BE49-F238E27FC236}">
                  <a16:creationId xmlns:a16="http://schemas.microsoft.com/office/drawing/2014/main" id="{00000000-0008-0000-0900-00008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4950" name="Button 134" hidden="1">
              <a:extLst>
                <a:ext uri="{63B3BB69-23CF-44E3-9099-C40C66FF867C}">
                  <a14:compatExt spid="_x0000_s34950"/>
                </a:ext>
                <a:ext uri="{FF2B5EF4-FFF2-40B4-BE49-F238E27FC236}">
                  <a16:creationId xmlns:a16="http://schemas.microsoft.com/office/drawing/2014/main" id="{00000000-0008-0000-0900-00008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4951" name="Button 135" hidden="1">
              <a:extLst>
                <a:ext uri="{63B3BB69-23CF-44E3-9099-C40C66FF867C}">
                  <a14:compatExt spid="_x0000_s34951"/>
                </a:ext>
                <a:ext uri="{FF2B5EF4-FFF2-40B4-BE49-F238E27FC236}">
                  <a16:creationId xmlns:a16="http://schemas.microsoft.com/office/drawing/2014/main" id="{00000000-0008-0000-0900-00008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4952" name="Button 136" hidden="1">
              <a:extLst>
                <a:ext uri="{63B3BB69-23CF-44E3-9099-C40C66FF867C}">
                  <a14:compatExt spid="_x0000_s34952"/>
                </a:ext>
                <a:ext uri="{FF2B5EF4-FFF2-40B4-BE49-F238E27FC236}">
                  <a16:creationId xmlns:a16="http://schemas.microsoft.com/office/drawing/2014/main" id="{00000000-0008-0000-0900-00008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4953" name="Button 137" hidden="1">
              <a:extLst>
                <a:ext uri="{63B3BB69-23CF-44E3-9099-C40C66FF867C}">
                  <a14:compatExt spid="_x0000_s34953"/>
                </a:ext>
                <a:ext uri="{FF2B5EF4-FFF2-40B4-BE49-F238E27FC236}">
                  <a16:creationId xmlns:a16="http://schemas.microsoft.com/office/drawing/2014/main" id="{00000000-0008-0000-0900-000089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4954" name="Button 138" hidden="1">
              <a:extLst>
                <a:ext uri="{63B3BB69-23CF-44E3-9099-C40C66FF867C}">
                  <a14:compatExt spid="_x0000_s34954"/>
                </a:ext>
                <a:ext uri="{FF2B5EF4-FFF2-40B4-BE49-F238E27FC236}">
                  <a16:creationId xmlns:a16="http://schemas.microsoft.com/office/drawing/2014/main" id="{00000000-0008-0000-0900-00008A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4955" name="Button 139" hidden="1">
              <a:extLst>
                <a:ext uri="{63B3BB69-23CF-44E3-9099-C40C66FF867C}">
                  <a14:compatExt spid="_x0000_s34955"/>
                </a:ext>
                <a:ext uri="{FF2B5EF4-FFF2-40B4-BE49-F238E27FC236}">
                  <a16:creationId xmlns:a16="http://schemas.microsoft.com/office/drawing/2014/main" id="{00000000-0008-0000-0900-00008B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4956" name="Button 140" hidden="1">
              <a:extLst>
                <a:ext uri="{63B3BB69-23CF-44E3-9099-C40C66FF867C}">
                  <a14:compatExt spid="_x0000_s34956"/>
                </a:ext>
                <a:ext uri="{FF2B5EF4-FFF2-40B4-BE49-F238E27FC236}">
                  <a16:creationId xmlns:a16="http://schemas.microsoft.com/office/drawing/2014/main" id="{00000000-0008-0000-0900-00008C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38" Type="http://schemas.openxmlformats.org/officeDocument/2006/relationships/ctrlProp" Target="../ctrlProps/ctrlProp275.xml"/><Relationship Id="rId16" Type="http://schemas.openxmlformats.org/officeDocument/2006/relationships/ctrlProp" Target="../ctrlProps/ctrlProp153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25" Type="http://schemas.openxmlformats.org/officeDocument/2006/relationships/ctrlProp" Target="../ctrlProps/ctrlProp162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46" Type="http://schemas.openxmlformats.org/officeDocument/2006/relationships/ctrlProp" Target="../ctrlProps/ctrlProp183.xml"/><Relationship Id="rId59" Type="http://schemas.openxmlformats.org/officeDocument/2006/relationships/ctrlProp" Target="../ctrlProps/ctrlProp196.xml"/><Relationship Id="rId67" Type="http://schemas.openxmlformats.org/officeDocument/2006/relationships/ctrlProp" Target="../ctrlProps/ctrlProp204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16" Type="http://schemas.openxmlformats.org/officeDocument/2006/relationships/ctrlProp" Target="../ctrlProps/ctrlProp253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7.xml"/><Relationship Id="rId5" Type="http://schemas.openxmlformats.org/officeDocument/2006/relationships/ctrlProp" Target="../ctrlProps/ctrlProp286.xml"/><Relationship Id="rId4" Type="http://schemas.openxmlformats.org/officeDocument/2006/relationships/ctrlProp" Target="../ctrlProps/ctrlProp285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3.xml"/><Relationship Id="rId13" Type="http://schemas.openxmlformats.org/officeDocument/2006/relationships/ctrlProp" Target="../ctrlProps/ctrlProp298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10" Type="http://schemas.openxmlformats.org/officeDocument/2006/relationships/ctrlProp" Target="../ctrlProps/ctrlProp295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23.xml"/><Relationship Id="rId117" Type="http://schemas.openxmlformats.org/officeDocument/2006/relationships/ctrlProp" Target="../ctrlProps/ctrlProp414.xml"/><Relationship Id="rId21" Type="http://schemas.openxmlformats.org/officeDocument/2006/relationships/ctrlProp" Target="../ctrlProps/ctrlProp318.xml"/><Relationship Id="rId42" Type="http://schemas.openxmlformats.org/officeDocument/2006/relationships/ctrlProp" Target="../ctrlProps/ctrlProp339.xml"/><Relationship Id="rId47" Type="http://schemas.openxmlformats.org/officeDocument/2006/relationships/ctrlProp" Target="../ctrlProps/ctrlProp344.xml"/><Relationship Id="rId63" Type="http://schemas.openxmlformats.org/officeDocument/2006/relationships/ctrlProp" Target="../ctrlProps/ctrlProp360.xml"/><Relationship Id="rId68" Type="http://schemas.openxmlformats.org/officeDocument/2006/relationships/ctrlProp" Target="../ctrlProps/ctrlProp365.xml"/><Relationship Id="rId84" Type="http://schemas.openxmlformats.org/officeDocument/2006/relationships/ctrlProp" Target="../ctrlProps/ctrlProp381.xml"/><Relationship Id="rId89" Type="http://schemas.openxmlformats.org/officeDocument/2006/relationships/ctrlProp" Target="../ctrlProps/ctrlProp386.xml"/><Relationship Id="rId112" Type="http://schemas.openxmlformats.org/officeDocument/2006/relationships/ctrlProp" Target="../ctrlProps/ctrlProp409.xml"/><Relationship Id="rId133" Type="http://schemas.openxmlformats.org/officeDocument/2006/relationships/ctrlProp" Target="../ctrlProps/ctrlProp430.xml"/><Relationship Id="rId138" Type="http://schemas.openxmlformats.org/officeDocument/2006/relationships/ctrlProp" Target="../ctrlProps/ctrlProp435.xml"/><Relationship Id="rId16" Type="http://schemas.openxmlformats.org/officeDocument/2006/relationships/ctrlProp" Target="../ctrlProps/ctrlProp313.xml"/><Relationship Id="rId107" Type="http://schemas.openxmlformats.org/officeDocument/2006/relationships/ctrlProp" Target="../ctrlProps/ctrlProp404.xml"/><Relationship Id="rId11" Type="http://schemas.openxmlformats.org/officeDocument/2006/relationships/ctrlProp" Target="../ctrlProps/ctrlProp308.xml"/><Relationship Id="rId32" Type="http://schemas.openxmlformats.org/officeDocument/2006/relationships/ctrlProp" Target="../ctrlProps/ctrlProp329.xml"/><Relationship Id="rId37" Type="http://schemas.openxmlformats.org/officeDocument/2006/relationships/ctrlProp" Target="../ctrlProps/ctrlProp334.xml"/><Relationship Id="rId53" Type="http://schemas.openxmlformats.org/officeDocument/2006/relationships/ctrlProp" Target="../ctrlProps/ctrlProp350.xml"/><Relationship Id="rId58" Type="http://schemas.openxmlformats.org/officeDocument/2006/relationships/ctrlProp" Target="../ctrlProps/ctrlProp355.xml"/><Relationship Id="rId74" Type="http://schemas.openxmlformats.org/officeDocument/2006/relationships/ctrlProp" Target="../ctrlProps/ctrlProp371.xml"/><Relationship Id="rId79" Type="http://schemas.openxmlformats.org/officeDocument/2006/relationships/ctrlProp" Target="../ctrlProps/ctrlProp376.xml"/><Relationship Id="rId102" Type="http://schemas.openxmlformats.org/officeDocument/2006/relationships/ctrlProp" Target="../ctrlProps/ctrlProp399.xml"/><Relationship Id="rId123" Type="http://schemas.openxmlformats.org/officeDocument/2006/relationships/ctrlProp" Target="../ctrlProps/ctrlProp420.xml"/><Relationship Id="rId128" Type="http://schemas.openxmlformats.org/officeDocument/2006/relationships/ctrlProp" Target="../ctrlProps/ctrlProp425.xml"/><Relationship Id="rId5" Type="http://schemas.openxmlformats.org/officeDocument/2006/relationships/ctrlProp" Target="../ctrlProps/ctrlProp302.xml"/><Relationship Id="rId90" Type="http://schemas.openxmlformats.org/officeDocument/2006/relationships/ctrlProp" Target="../ctrlProps/ctrlProp387.xml"/><Relationship Id="rId95" Type="http://schemas.openxmlformats.org/officeDocument/2006/relationships/ctrlProp" Target="../ctrlProps/ctrlProp392.xml"/><Relationship Id="rId22" Type="http://schemas.openxmlformats.org/officeDocument/2006/relationships/ctrlProp" Target="../ctrlProps/ctrlProp319.xml"/><Relationship Id="rId27" Type="http://schemas.openxmlformats.org/officeDocument/2006/relationships/ctrlProp" Target="../ctrlProps/ctrlProp324.xml"/><Relationship Id="rId43" Type="http://schemas.openxmlformats.org/officeDocument/2006/relationships/ctrlProp" Target="../ctrlProps/ctrlProp340.xml"/><Relationship Id="rId48" Type="http://schemas.openxmlformats.org/officeDocument/2006/relationships/ctrlProp" Target="../ctrlProps/ctrlProp345.xml"/><Relationship Id="rId64" Type="http://schemas.openxmlformats.org/officeDocument/2006/relationships/ctrlProp" Target="../ctrlProps/ctrlProp361.xml"/><Relationship Id="rId69" Type="http://schemas.openxmlformats.org/officeDocument/2006/relationships/ctrlProp" Target="../ctrlProps/ctrlProp366.xml"/><Relationship Id="rId113" Type="http://schemas.openxmlformats.org/officeDocument/2006/relationships/ctrlProp" Target="../ctrlProps/ctrlProp410.xml"/><Relationship Id="rId118" Type="http://schemas.openxmlformats.org/officeDocument/2006/relationships/ctrlProp" Target="../ctrlProps/ctrlProp415.xml"/><Relationship Id="rId134" Type="http://schemas.openxmlformats.org/officeDocument/2006/relationships/ctrlProp" Target="../ctrlProps/ctrlProp431.xml"/><Relationship Id="rId139" Type="http://schemas.openxmlformats.org/officeDocument/2006/relationships/ctrlProp" Target="../ctrlProps/ctrlProp436.xml"/><Relationship Id="rId8" Type="http://schemas.openxmlformats.org/officeDocument/2006/relationships/ctrlProp" Target="../ctrlProps/ctrlProp305.xml"/><Relationship Id="rId51" Type="http://schemas.openxmlformats.org/officeDocument/2006/relationships/ctrlProp" Target="../ctrlProps/ctrlProp348.xml"/><Relationship Id="rId72" Type="http://schemas.openxmlformats.org/officeDocument/2006/relationships/ctrlProp" Target="../ctrlProps/ctrlProp369.xml"/><Relationship Id="rId80" Type="http://schemas.openxmlformats.org/officeDocument/2006/relationships/ctrlProp" Target="../ctrlProps/ctrlProp377.xml"/><Relationship Id="rId85" Type="http://schemas.openxmlformats.org/officeDocument/2006/relationships/ctrlProp" Target="../ctrlProps/ctrlProp382.xml"/><Relationship Id="rId93" Type="http://schemas.openxmlformats.org/officeDocument/2006/relationships/ctrlProp" Target="../ctrlProps/ctrlProp390.xml"/><Relationship Id="rId98" Type="http://schemas.openxmlformats.org/officeDocument/2006/relationships/ctrlProp" Target="../ctrlProps/ctrlProp395.xml"/><Relationship Id="rId121" Type="http://schemas.openxmlformats.org/officeDocument/2006/relationships/ctrlProp" Target="../ctrlProps/ctrlProp418.xml"/><Relationship Id="rId142" Type="http://schemas.openxmlformats.org/officeDocument/2006/relationships/ctrlProp" Target="../ctrlProps/ctrlProp439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309.xml"/><Relationship Id="rId17" Type="http://schemas.openxmlformats.org/officeDocument/2006/relationships/ctrlProp" Target="../ctrlProps/ctrlProp314.xml"/><Relationship Id="rId25" Type="http://schemas.openxmlformats.org/officeDocument/2006/relationships/ctrlProp" Target="../ctrlProps/ctrlProp322.xml"/><Relationship Id="rId33" Type="http://schemas.openxmlformats.org/officeDocument/2006/relationships/ctrlProp" Target="../ctrlProps/ctrlProp330.xml"/><Relationship Id="rId38" Type="http://schemas.openxmlformats.org/officeDocument/2006/relationships/ctrlProp" Target="../ctrlProps/ctrlProp335.xml"/><Relationship Id="rId46" Type="http://schemas.openxmlformats.org/officeDocument/2006/relationships/ctrlProp" Target="../ctrlProps/ctrlProp343.xml"/><Relationship Id="rId59" Type="http://schemas.openxmlformats.org/officeDocument/2006/relationships/ctrlProp" Target="../ctrlProps/ctrlProp356.xml"/><Relationship Id="rId67" Type="http://schemas.openxmlformats.org/officeDocument/2006/relationships/ctrlProp" Target="../ctrlProps/ctrlProp364.xml"/><Relationship Id="rId103" Type="http://schemas.openxmlformats.org/officeDocument/2006/relationships/ctrlProp" Target="../ctrlProps/ctrlProp400.xml"/><Relationship Id="rId108" Type="http://schemas.openxmlformats.org/officeDocument/2006/relationships/ctrlProp" Target="../ctrlProps/ctrlProp405.xml"/><Relationship Id="rId116" Type="http://schemas.openxmlformats.org/officeDocument/2006/relationships/ctrlProp" Target="../ctrlProps/ctrlProp413.xml"/><Relationship Id="rId124" Type="http://schemas.openxmlformats.org/officeDocument/2006/relationships/ctrlProp" Target="../ctrlProps/ctrlProp421.xml"/><Relationship Id="rId129" Type="http://schemas.openxmlformats.org/officeDocument/2006/relationships/ctrlProp" Target="../ctrlProps/ctrlProp426.xml"/><Relationship Id="rId137" Type="http://schemas.openxmlformats.org/officeDocument/2006/relationships/ctrlProp" Target="../ctrlProps/ctrlProp434.xml"/><Relationship Id="rId20" Type="http://schemas.openxmlformats.org/officeDocument/2006/relationships/ctrlProp" Target="../ctrlProps/ctrlProp317.xml"/><Relationship Id="rId41" Type="http://schemas.openxmlformats.org/officeDocument/2006/relationships/ctrlProp" Target="../ctrlProps/ctrlProp338.xml"/><Relationship Id="rId54" Type="http://schemas.openxmlformats.org/officeDocument/2006/relationships/ctrlProp" Target="../ctrlProps/ctrlProp351.xml"/><Relationship Id="rId62" Type="http://schemas.openxmlformats.org/officeDocument/2006/relationships/ctrlProp" Target="../ctrlProps/ctrlProp359.xml"/><Relationship Id="rId70" Type="http://schemas.openxmlformats.org/officeDocument/2006/relationships/ctrlProp" Target="../ctrlProps/ctrlProp367.xml"/><Relationship Id="rId75" Type="http://schemas.openxmlformats.org/officeDocument/2006/relationships/ctrlProp" Target="../ctrlProps/ctrlProp372.xml"/><Relationship Id="rId83" Type="http://schemas.openxmlformats.org/officeDocument/2006/relationships/ctrlProp" Target="../ctrlProps/ctrlProp380.xml"/><Relationship Id="rId88" Type="http://schemas.openxmlformats.org/officeDocument/2006/relationships/ctrlProp" Target="../ctrlProps/ctrlProp385.xml"/><Relationship Id="rId91" Type="http://schemas.openxmlformats.org/officeDocument/2006/relationships/ctrlProp" Target="../ctrlProps/ctrlProp388.xml"/><Relationship Id="rId96" Type="http://schemas.openxmlformats.org/officeDocument/2006/relationships/ctrlProp" Target="../ctrlProps/ctrlProp393.xml"/><Relationship Id="rId111" Type="http://schemas.openxmlformats.org/officeDocument/2006/relationships/ctrlProp" Target="../ctrlProps/ctrlProp408.xml"/><Relationship Id="rId132" Type="http://schemas.openxmlformats.org/officeDocument/2006/relationships/ctrlProp" Target="../ctrlProps/ctrlProp429.xml"/><Relationship Id="rId140" Type="http://schemas.openxmlformats.org/officeDocument/2006/relationships/ctrlProp" Target="../ctrlProps/ctrlProp43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03.xml"/><Relationship Id="rId15" Type="http://schemas.openxmlformats.org/officeDocument/2006/relationships/ctrlProp" Target="../ctrlProps/ctrlProp312.xml"/><Relationship Id="rId23" Type="http://schemas.openxmlformats.org/officeDocument/2006/relationships/ctrlProp" Target="../ctrlProps/ctrlProp320.xml"/><Relationship Id="rId28" Type="http://schemas.openxmlformats.org/officeDocument/2006/relationships/ctrlProp" Target="../ctrlProps/ctrlProp325.xml"/><Relationship Id="rId36" Type="http://schemas.openxmlformats.org/officeDocument/2006/relationships/ctrlProp" Target="../ctrlProps/ctrlProp333.xml"/><Relationship Id="rId49" Type="http://schemas.openxmlformats.org/officeDocument/2006/relationships/ctrlProp" Target="../ctrlProps/ctrlProp346.xml"/><Relationship Id="rId57" Type="http://schemas.openxmlformats.org/officeDocument/2006/relationships/ctrlProp" Target="../ctrlProps/ctrlProp354.xml"/><Relationship Id="rId106" Type="http://schemas.openxmlformats.org/officeDocument/2006/relationships/ctrlProp" Target="../ctrlProps/ctrlProp403.xml"/><Relationship Id="rId114" Type="http://schemas.openxmlformats.org/officeDocument/2006/relationships/ctrlProp" Target="../ctrlProps/ctrlProp411.xml"/><Relationship Id="rId119" Type="http://schemas.openxmlformats.org/officeDocument/2006/relationships/ctrlProp" Target="../ctrlProps/ctrlProp416.xml"/><Relationship Id="rId127" Type="http://schemas.openxmlformats.org/officeDocument/2006/relationships/ctrlProp" Target="../ctrlProps/ctrlProp424.xml"/><Relationship Id="rId10" Type="http://schemas.openxmlformats.org/officeDocument/2006/relationships/ctrlProp" Target="../ctrlProps/ctrlProp307.xml"/><Relationship Id="rId31" Type="http://schemas.openxmlformats.org/officeDocument/2006/relationships/ctrlProp" Target="../ctrlProps/ctrlProp328.xml"/><Relationship Id="rId44" Type="http://schemas.openxmlformats.org/officeDocument/2006/relationships/ctrlProp" Target="../ctrlProps/ctrlProp341.xml"/><Relationship Id="rId52" Type="http://schemas.openxmlformats.org/officeDocument/2006/relationships/ctrlProp" Target="../ctrlProps/ctrlProp349.xml"/><Relationship Id="rId60" Type="http://schemas.openxmlformats.org/officeDocument/2006/relationships/ctrlProp" Target="../ctrlProps/ctrlProp357.xml"/><Relationship Id="rId65" Type="http://schemas.openxmlformats.org/officeDocument/2006/relationships/ctrlProp" Target="../ctrlProps/ctrlProp362.xml"/><Relationship Id="rId73" Type="http://schemas.openxmlformats.org/officeDocument/2006/relationships/ctrlProp" Target="../ctrlProps/ctrlProp370.xml"/><Relationship Id="rId78" Type="http://schemas.openxmlformats.org/officeDocument/2006/relationships/ctrlProp" Target="../ctrlProps/ctrlProp375.xml"/><Relationship Id="rId81" Type="http://schemas.openxmlformats.org/officeDocument/2006/relationships/ctrlProp" Target="../ctrlProps/ctrlProp378.xml"/><Relationship Id="rId86" Type="http://schemas.openxmlformats.org/officeDocument/2006/relationships/ctrlProp" Target="../ctrlProps/ctrlProp383.xml"/><Relationship Id="rId94" Type="http://schemas.openxmlformats.org/officeDocument/2006/relationships/ctrlProp" Target="../ctrlProps/ctrlProp391.xml"/><Relationship Id="rId99" Type="http://schemas.openxmlformats.org/officeDocument/2006/relationships/ctrlProp" Target="../ctrlProps/ctrlProp396.xml"/><Relationship Id="rId101" Type="http://schemas.openxmlformats.org/officeDocument/2006/relationships/ctrlProp" Target="../ctrlProps/ctrlProp398.xml"/><Relationship Id="rId122" Type="http://schemas.openxmlformats.org/officeDocument/2006/relationships/ctrlProp" Target="../ctrlProps/ctrlProp419.xml"/><Relationship Id="rId130" Type="http://schemas.openxmlformats.org/officeDocument/2006/relationships/ctrlProp" Target="../ctrlProps/ctrlProp427.xml"/><Relationship Id="rId135" Type="http://schemas.openxmlformats.org/officeDocument/2006/relationships/ctrlProp" Target="../ctrlProps/ctrlProp432.xml"/><Relationship Id="rId143" Type="http://schemas.openxmlformats.org/officeDocument/2006/relationships/ctrlProp" Target="../ctrlProps/ctrlProp440.xml"/><Relationship Id="rId4" Type="http://schemas.openxmlformats.org/officeDocument/2006/relationships/ctrlProp" Target="../ctrlProps/ctrlProp301.xml"/><Relationship Id="rId9" Type="http://schemas.openxmlformats.org/officeDocument/2006/relationships/ctrlProp" Target="../ctrlProps/ctrlProp306.xml"/><Relationship Id="rId13" Type="http://schemas.openxmlformats.org/officeDocument/2006/relationships/ctrlProp" Target="../ctrlProps/ctrlProp310.xml"/><Relationship Id="rId18" Type="http://schemas.openxmlformats.org/officeDocument/2006/relationships/ctrlProp" Target="../ctrlProps/ctrlProp315.xml"/><Relationship Id="rId39" Type="http://schemas.openxmlformats.org/officeDocument/2006/relationships/ctrlProp" Target="../ctrlProps/ctrlProp336.xml"/><Relationship Id="rId109" Type="http://schemas.openxmlformats.org/officeDocument/2006/relationships/ctrlProp" Target="../ctrlProps/ctrlProp406.xml"/><Relationship Id="rId34" Type="http://schemas.openxmlformats.org/officeDocument/2006/relationships/ctrlProp" Target="../ctrlProps/ctrlProp331.xml"/><Relationship Id="rId50" Type="http://schemas.openxmlformats.org/officeDocument/2006/relationships/ctrlProp" Target="../ctrlProps/ctrlProp347.xml"/><Relationship Id="rId55" Type="http://schemas.openxmlformats.org/officeDocument/2006/relationships/ctrlProp" Target="../ctrlProps/ctrlProp352.xml"/><Relationship Id="rId76" Type="http://schemas.openxmlformats.org/officeDocument/2006/relationships/ctrlProp" Target="../ctrlProps/ctrlProp373.xml"/><Relationship Id="rId97" Type="http://schemas.openxmlformats.org/officeDocument/2006/relationships/ctrlProp" Target="../ctrlProps/ctrlProp394.xml"/><Relationship Id="rId104" Type="http://schemas.openxmlformats.org/officeDocument/2006/relationships/ctrlProp" Target="../ctrlProps/ctrlProp401.xml"/><Relationship Id="rId120" Type="http://schemas.openxmlformats.org/officeDocument/2006/relationships/ctrlProp" Target="../ctrlProps/ctrlProp417.xml"/><Relationship Id="rId125" Type="http://schemas.openxmlformats.org/officeDocument/2006/relationships/ctrlProp" Target="../ctrlProps/ctrlProp422.xml"/><Relationship Id="rId141" Type="http://schemas.openxmlformats.org/officeDocument/2006/relationships/ctrlProp" Target="../ctrlProps/ctrlProp438.xml"/><Relationship Id="rId7" Type="http://schemas.openxmlformats.org/officeDocument/2006/relationships/ctrlProp" Target="../ctrlProps/ctrlProp304.xml"/><Relationship Id="rId71" Type="http://schemas.openxmlformats.org/officeDocument/2006/relationships/ctrlProp" Target="../ctrlProps/ctrlProp368.xml"/><Relationship Id="rId92" Type="http://schemas.openxmlformats.org/officeDocument/2006/relationships/ctrlProp" Target="../ctrlProps/ctrlProp389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326.xml"/><Relationship Id="rId24" Type="http://schemas.openxmlformats.org/officeDocument/2006/relationships/ctrlProp" Target="../ctrlProps/ctrlProp321.xml"/><Relationship Id="rId40" Type="http://schemas.openxmlformats.org/officeDocument/2006/relationships/ctrlProp" Target="../ctrlProps/ctrlProp337.xml"/><Relationship Id="rId45" Type="http://schemas.openxmlformats.org/officeDocument/2006/relationships/ctrlProp" Target="../ctrlProps/ctrlProp342.xml"/><Relationship Id="rId66" Type="http://schemas.openxmlformats.org/officeDocument/2006/relationships/ctrlProp" Target="../ctrlProps/ctrlProp363.xml"/><Relationship Id="rId87" Type="http://schemas.openxmlformats.org/officeDocument/2006/relationships/ctrlProp" Target="../ctrlProps/ctrlProp384.xml"/><Relationship Id="rId110" Type="http://schemas.openxmlformats.org/officeDocument/2006/relationships/ctrlProp" Target="../ctrlProps/ctrlProp407.xml"/><Relationship Id="rId115" Type="http://schemas.openxmlformats.org/officeDocument/2006/relationships/ctrlProp" Target="../ctrlProps/ctrlProp412.xml"/><Relationship Id="rId131" Type="http://schemas.openxmlformats.org/officeDocument/2006/relationships/ctrlProp" Target="../ctrlProps/ctrlProp428.xml"/><Relationship Id="rId136" Type="http://schemas.openxmlformats.org/officeDocument/2006/relationships/ctrlProp" Target="../ctrlProps/ctrlProp433.xml"/><Relationship Id="rId61" Type="http://schemas.openxmlformats.org/officeDocument/2006/relationships/ctrlProp" Target="../ctrlProps/ctrlProp358.xml"/><Relationship Id="rId82" Type="http://schemas.openxmlformats.org/officeDocument/2006/relationships/ctrlProp" Target="../ctrlProps/ctrlProp379.xml"/><Relationship Id="rId19" Type="http://schemas.openxmlformats.org/officeDocument/2006/relationships/ctrlProp" Target="../ctrlProps/ctrlProp316.xml"/><Relationship Id="rId14" Type="http://schemas.openxmlformats.org/officeDocument/2006/relationships/ctrlProp" Target="../ctrlProps/ctrlProp311.xml"/><Relationship Id="rId30" Type="http://schemas.openxmlformats.org/officeDocument/2006/relationships/ctrlProp" Target="../ctrlProps/ctrlProp327.xml"/><Relationship Id="rId35" Type="http://schemas.openxmlformats.org/officeDocument/2006/relationships/ctrlProp" Target="../ctrlProps/ctrlProp332.xml"/><Relationship Id="rId56" Type="http://schemas.openxmlformats.org/officeDocument/2006/relationships/ctrlProp" Target="../ctrlProps/ctrlProp353.xml"/><Relationship Id="rId77" Type="http://schemas.openxmlformats.org/officeDocument/2006/relationships/ctrlProp" Target="../ctrlProps/ctrlProp374.xml"/><Relationship Id="rId100" Type="http://schemas.openxmlformats.org/officeDocument/2006/relationships/ctrlProp" Target="../ctrlProps/ctrlProp397.xml"/><Relationship Id="rId105" Type="http://schemas.openxmlformats.org/officeDocument/2006/relationships/ctrlProp" Target="../ctrlProps/ctrlProp402.xml"/><Relationship Id="rId126" Type="http://schemas.openxmlformats.org/officeDocument/2006/relationships/ctrlProp" Target="../ctrlProps/ctrlProp423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63.xml"/><Relationship Id="rId117" Type="http://schemas.openxmlformats.org/officeDocument/2006/relationships/ctrlProp" Target="../ctrlProps/ctrlProp554.xml"/><Relationship Id="rId21" Type="http://schemas.openxmlformats.org/officeDocument/2006/relationships/ctrlProp" Target="../ctrlProps/ctrlProp458.xml"/><Relationship Id="rId42" Type="http://schemas.openxmlformats.org/officeDocument/2006/relationships/ctrlProp" Target="../ctrlProps/ctrlProp479.xml"/><Relationship Id="rId47" Type="http://schemas.openxmlformats.org/officeDocument/2006/relationships/ctrlProp" Target="../ctrlProps/ctrlProp484.xml"/><Relationship Id="rId63" Type="http://schemas.openxmlformats.org/officeDocument/2006/relationships/ctrlProp" Target="../ctrlProps/ctrlProp500.xml"/><Relationship Id="rId68" Type="http://schemas.openxmlformats.org/officeDocument/2006/relationships/ctrlProp" Target="../ctrlProps/ctrlProp505.xml"/><Relationship Id="rId84" Type="http://schemas.openxmlformats.org/officeDocument/2006/relationships/ctrlProp" Target="../ctrlProps/ctrlProp521.xml"/><Relationship Id="rId89" Type="http://schemas.openxmlformats.org/officeDocument/2006/relationships/ctrlProp" Target="../ctrlProps/ctrlProp526.xml"/><Relationship Id="rId112" Type="http://schemas.openxmlformats.org/officeDocument/2006/relationships/ctrlProp" Target="../ctrlProps/ctrlProp549.xml"/><Relationship Id="rId133" Type="http://schemas.openxmlformats.org/officeDocument/2006/relationships/ctrlProp" Target="../ctrlProps/ctrlProp570.xml"/><Relationship Id="rId138" Type="http://schemas.openxmlformats.org/officeDocument/2006/relationships/ctrlProp" Target="../ctrlProps/ctrlProp575.xml"/><Relationship Id="rId16" Type="http://schemas.openxmlformats.org/officeDocument/2006/relationships/ctrlProp" Target="../ctrlProps/ctrlProp453.xml"/><Relationship Id="rId107" Type="http://schemas.openxmlformats.org/officeDocument/2006/relationships/ctrlProp" Target="../ctrlProps/ctrlProp544.xml"/><Relationship Id="rId11" Type="http://schemas.openxmlformats.org/officeDocument/2006/relationships/ctrlProp" Target="../ctrlProps/ctrlProp448.xml"/><Relationship Id="rId32" Type="http://schemas.openxmlformats.org/officeDocument/2006/relationships/ctrlProp" Target="../ctrlProps/ctrlProp469.xml"/><Relationship Id="rId37" Type="http://schemas.openxmlformats.org/officeDocument/2006/relationships/ctrlProp" Target="../ctrlProps/ctrlProp474.xml"/><Relationship Id="rId53" Type="http://schemas.openxmlformats.org/officeDocument/2006/relationships/ctrlProp" Target="../ctrlProps/ctrlProp490.xml"/><Relationship Id="rId58" Type="http://schemas.openxmlformats.org/officeDocument/2006/relationships/ctrlProp" Target="../ctrlProps/ctrlProp495.xml"/><Relationship Id="rId74" Type="http://schemas.openxmlformats.org/officeDocument/2006/relationships/ctrlProp" Target="../ctrlProps/ctrlProp511.xml"/><Relationship Id="rId79" Type="http://schemas.openxmlformats.org/officeDocument/2006/relationships/ctrlProp" Target="../ctrlProps/ctrlProp516.xml"/><Relationship Id="rId102" Type="http://schemas.openxmlformats.org/officeDocument/2006/relationships/ctrlProp" Target="../ctrlProps/ctrlProp539.xml"/><Relationship Id="rId123" Type="http://schemas.openxmlformats.org/officeDocument/2006/relationships/ctrlProp" Target="../ctrlProps/ctrlProp560.xml"/><Relationship Id="rId128" Type="http://schemas.openxmlformats.org/officeDocument/2006/relationships/ctrlProp" Target="../ctrlProps/ctrlProp565.xml"/><Relationship Id="rId5" Type="http://schemas.openxmlformats.org/officeDocument/2006/relationships/ctrlProp" Target="../ctrlProps/ctrlProp442.xml"/><Relationship Id="rId90" Type="http://schemas.openxmlformats.org/officeDocument/2006/relationships/ctrlProp" Target="../ctrlProps/ctrlProp527.xml"/><Relationship Id="rId95" Type="http://schemas.openxmlformats.org/officeDocument/2006/relationships/ctrlProp" Target="../ctrlProps/ctrlProp532.xml"/><Relationship Id="rId22" Type="http://schemas.openxmlformats.org/officeDocument/2006/relationships/ctrlProp" Target="../ctrlProps/ctrlProp459.xml"/><Relationship Id="rId27" Type="http://schemas.openxmlformats.org/officeDocument/2006/relationships/ctrlProp" Target="../ctrlProps/ctrlProp464.xml"/><Relationship Id="rId43" Type="http://schemas.openxmlformats.org/officeDocument/2006/relationships/ctrlProp" Target="../ctrlProps/ctrlProp480.xml"/><Relationship Id="rId48" Type="http://schemas.openxmlformats.org/officeDocument/2006/relationships/ctrlProp" Target="../ctrlProps/ctrlProp485.xml"/><Relationship Id="rId64" Type="http://schemas.openxmlformats.org/officeDocument/2006/relationships/ctrlProp" Target="../ctrlProps/ctrlProp501.xml"/><Relationship Id="rId69" Type="http://schemas.openxmlformats.org/officeDocument/2006/relationships/ctrlProp" Target="../ctrlProps/ctrlProp506.xml"/><Relationship Id="rId113" Type="http://schemas.openxmlformats.org/officeDocument/2006/relationships/ctrlProp" Target="../ctrlProps/ctrlProp550.xml"/><Relationship Id="rId118" Type="http://schemas.openxmlformats.org/officeDocument/2006/relationships/ctrlProp" Target="../ctrlProps/ctrlProp555.xml"/><Relationship Id="rId134" Type="http://schemas.openxmlformats.org/officeDocument/2006/relationships/ctrlProp" Target="../ctrlProps/ctrlProp571.xml"/><Relationship Id="rId139" Type="http://schemas.openxmlformats.org/officeDocument/2006/relationships/ctrlProp" Target="../ctrlProps/ctrlProp576.xml"/><Relationship Id="rId8" Type="http://schemas.openxmlformats.org/officeDocument/2006/relationships/ctrlProp" Target="../ctrlProps/ctrlProp445.xml"/><Relationship Id="rId51" Type="http://schemas.openxmlformats.org/officeDocument/2006/relationships/ctrlProp" Target="../ctrlProps/ctrlProp488.xml"/><Relationship Id="rId72" Type="http://schemas.openxmlformats.org/officeDocument/2006/relationships/ctrlProp" Target="../ctrlProps/ctrlProp509.xml"/><Relationship Id="rId80" Type="http://schemas.openxmlformats.org/officeDocument/2006/relationships/ctrlProp" Target="../ctrlProps/ctrlProp517.xml"/><Relationship Id="rId85" Type="http://schemas.openxmlformats.org/officeDocument/2006/relationships/ctrlProp" Target="../ctrlProps/ctrlProp522.xml"/><Relationship Id="rId93" Type="http://schemas.openxmlformats.org/officeDocument/2006/relationships/ctrlProp" Target="../ctrlProps/ctrlProp530.xml"/><Relationship Id="rId98" Type="http://schemas.openxmlformats.org/officeDocument/2006/relationships/ctrlProp" Target="../ctrlProps/ctrlProp535.xml"/><Relationship Id="rId121" Type="http://schemas.openxmlformats.org/officeDocument/2006/relationships/ctrlProp" Target="../ctrlProps/ctrlProp558.xml"/><Relationship Id="rId142" Type="http://schemas.openxmlformats.org/officeDocument/2006/relationships/ctrlProp" Target="../ctrlProps/ctrlProp57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449.xml"/><Relationship Id="rId17" Type="http://schemas.openxmlformats.org/officeDocument/2006/relationships/ctrlProp" Target="../ctrlProps/ctrlProp454.xml"/><Relationship Id="rId25" Type="http://schemas.openxmlformats.org/officeDocument/2006/relationships/ctrlProp" Target="../ctrlProps/ctrlProp462.xml"/><Relationship Id="rId33" Type="http://schemas.openxmlformats.org/officeDocument/2006/relationships/ctrlProp" Target="../ctrlProps/ctrlProp470.xml"/><Relationship Id="rId38" Type="http://schemas.openxmlformats.org/officeDocument/2006/relationships/ctrlProp" Target="../ctrlProps/ctrlProp475.xml"/><Relationship Id="rId46" Type="http://schemas.openxmlformats.org/officeDocument/2006/relationships/ctrlProp" Target="../ctrlProps/ctrlProp483.xml"/><Relationship Id="rId59" Type="http://schemas.openxmlformats.org/officeDocument/2006/relationships/ctrlProp" Target="../ctrlProps/ctrlProp496.xml"/><Relationship Id="rId67" Type="http://schemas.openxmlformats.org/officeDocument/2006/relationships/ctrlProp" Target="../ctrlProps/ctrlProp504.xml"/><Relationship Id="rId103" Type="http://schemas.openxmlformats.org/officeDocument/2006/relationships/ctrlProp" Target="../ctrlProps/ctrlProp540.xml"/><Relationship Id="rId108" Type="http://schemas.openxmlformats.org/officeDocument/2006/relationships/ctrlProp" Target="../ctrlProps/ctrlProp545.xml"/><Relationship Id="rId116" Type="http://schemas.openxmlformats.org/officeDocument/2006/relationships/ctrlProp" Target="../ctrlProps/ctrlProp553.xml"/><Relationship Id="rId124" Type="http://schemas.openxmlformats.org/officeDocument/2006/relationships/ctrlProp" Target="../ctrlProps/ctrlProp561.xml"/><Relationship Id="rId129" Type="http://schemas.openxmlformats.org/officeDocument/2006/relationships/ctrlProp" Target="../ctrlProps/ctrlProp566.xml"/><Relationship Id="rId137" Type="http://schemas.openxmlformats.org/officeDocument/2006/relationships/ctrlProp" Target="../ctrlProps/ctrlProp574.xml"/><Relationship Id="rId20" Type="http://schemas.openxmlformats.org/officeDocument/2006/relationships/ctrlProp" Target="../ctrlProps/ctrlProp457.xml"/><Relationship Id="rId41" Type="http://schemas.openxmlformats.org/officeDocument/2006/relationships/ctrlProp" Target="../ctrlProps/ctrlProp478.xml"/><Relationship Id="rId54" Type="http://schemas.openxmlformats.org/officeDocument/2006/relationships/ctrlProp" Target="../ctrlProps/ctrlProp491.xml"/><Relationship Id="rId62" Type="http://schemas.openxmlformats.org/officeDocument/2006/relationships/ctrlProp" Target="../ctrlProps/ctrlProp499.xml"/><Relationship Id="rId70" Type="http://schemas.openxmlformats.org/officeDocument/2006/relationships/ctrlProp" Target="../ctrlProps/ctrlProp507.xml"/><Relationship Id="rId75" Type="http://schemas.openxmlformats.org/officeDocument/2006/relationships/ctrlProp" Target="../ctrlProps/ctrlProp512.xml"/><Relationship Id="rId83" Type="http://schemas.openxmlformats.org/officeDocument/2006/relationships/ctrlProp" Target="../ctrlProps/ctrlProp520.xml"/><Relationship Id="rId88" Type="http://schemas.openxmlformats.org/officeDocument/2006/relationships/ctrlProp" Target="../ctrlProps/ctrlProp525.xml"/><Relationship Id="rId91" Type="http://schemas.openxmlformats.org/officeDocument/2006/relationships/ctrlProp" Target="../ctrlProps/ctrlProp528.xml"/><Relationship Id="rId96" Type="http://schemas.openxmlformats.org/officeDocument/2006/relationships/ctrlProp" Target="../ctrlProps/ctrlProp533.xml"/><Relationship Id="rId111" Type="http://schemas.openxmlformats.org/officeDocument/2006/relationships/ctrlProp" Target="../ctrlProps/ctrlProp548.xml"/><Relationship Id="rId132" Type="http://schemas.openxmlformats.org/officeDocument/2006/relationships/ctrlProp" Target="../ctrlProps/ctrlProp569.xml"/><Relationship Id="rId140" Type="http://schemas.openxmlformats.org/officeDocument/2006/relationships/ctrlProp" Target="../ctrlProps/ctrlProp57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443.xml"/><Relationship Id="rId15" Type="http://schemas.openxmlformats.org/officeDocument/2006/relationships/ctrlProp" Target="../ctrlProps/ctrlProp452.xml"/><Relationship Id="rId23" Type="http://schemas.openxmlformats.org/officeDocument/2006/relationships/ctrlProp" Target="../ctrlProps/ctrlProp460.xml"/><Relationship Id="rId28" Type="http://schemas.openxmlformats.org/officeDocument/2006/relationships/ctrlProp" Target="../ctrlProps/ctrlProp465.xml"/><Relationship Id="rId36" Type="http://schemas.openxmlformats.org/officeDocument/2006/relationships/ctrlProp" Target="../ctrlProps/ctrlProp473.xml"/><Relationship Id="rId49" Type="http://schemas.openxmlformats.org/officeDocument/2006/relationships/ctrlProp" Target="../ctrlProps/ctrlProp486.xml"/><Relationship Id="rId57" Type="http://schemas.openxmlformats.org/officeDocument/2006/relationships/ctrlProp" Target="../ctrlProps/ctrlProp494.xml"/><Relationship Id="rId106" Type="http://schemas.openxmlformats.org/officeDocument/2006/relationships/ctrlProp" Target="../ctrlProps/ctrlProp543.xml"/><Relationship Id="rId114" Type="http://schemas.openxmlformats.org/officeDocument/2006/relationships/ctrlProp" Target="../ctrlProps/ctrlProp551.xml"/><Relationship Id="rId119" Type="http://schemas.openxmlformats.org/officeDocument/2006/relationships/ctrlProp" Target="../ctrlProps/ctrlProp556.xml"/><Relationship Id="rId127" Type="http://schemas.openxmlformats.org/officeDocument/2006/relationships/ctrlProp" Target="../ctrlProps/ctrlProp564.xml"/><Relationship Id="rId10" Type="http://schemas.openxmlformats.org/officeDocument/2006/relationships/ctrlProp" Target="../ctrlProps/ctrlProp447.xml"/><Relationship Id="rId31" Type="http://schemas.openxmlformats.org/officeDocument/2006/relationships/ctrlProp" Target="../ctrlProps/ctrlProp468.xml"/><Relationship Id="rId44" Type="http://schemas.openxmlformats.org/officeDocument/2006/relationships/ctrlProp" Target="../ctrlProps/ctrlProp481.xml"/><Relationship Id="rId52" Type="http://schemas.openxmlformats.org/officeDocument/2006/relationships/ctrlProp" Target="../ctrlProps/ctrlProp489.xml"/><Relationship Id="rId60" Type="http://schemas.openxmlformats.org/officeDocument/2006/relationships/ctrlProp" Target="../ctrlProps/ctrlProp497.xml"/><Relationship Id="rId65" Type="http://schemas.openxmlformats.org/officeDocument/2006/relationships/ctrlProp" Target="../ctrlProps/ctrlProp502.xml"/><Relationship Id="rId73" Type="http://schemas.openxmlformats.org/officeDocument/2006/relationships/ctrlProp" Target="../ctrlProps/ctrlProp510.xml"/><Relationship Id="rId78" Type="http://schemas.openxmlformats.org/officeDocument/2006/relationships/ctrlProp" Target="../ctrlProps/ctrlProp515.xml"/><Relationship Id="rId81" Type="http://schemas.openxmlformats.org/officeDocument/2006/relationships/ctrlProp" Target="../ctrlProps/ctrlProp518.xml"/><Relationship Id="rId86" Type="http://schemas.openxmlformats.org/officeDocument/2006/relationships/ctrlProp" Target="../ctrlProps/ctrlProp523.xml"/><Relationship Id="rId94" Type="http://schemas.openxmlformats.org/officeDocument/2006/relationships/ctrlProp" Target="../ctrlProps/ctrlProp531.xml"/><Relationship Id="rId99" Type="http://schemas.openxmlformats.org/officeDocument/2006/relationships/ctrlProp" Target="../ctrlProps/ctrlProp536.xml"/><Relationship Id="rId101" Type="http://schemas.openxmlformats.org/officeDocument/2006/relationships/ctrlProp" Target="../ctrlProps/ctrlProp538.xml"/><Relationship Id="rId122" Type="http://schemas.openxmlformats.org/officeDocument/2006/relationships/ctrlProp" Target="../ctrlProps/ctrlProp559.xml"/><Relationship Id="rId130" Type="http://schemas.openxmlformats.org/officeDocument/2006/relationships/ctrlProp" Target="../ctrlProps/ctrlProp567.xml"/><Relationship Id="rId135" Type="http://schemas.openxmlformats.org/officeDocument/2006/relationships/ctrlProp" Target="../ctrlProps/ctrlProp572.xml"/><Relationship Id="rId143" Type="http://schemas.openxmlformats.org/officeDocument/2006/relationships/ctrlProp" Target="../ctrlProps/ctrlProp580.xml"/><Relationship Id="rId4" Type="http://schemas.openxmlformats.org/officeDocument/2006/relationships/ctrlProp" Target="../ctrlProps/ctrlProp441.xml"/><Relationship Id="rId9" Type="http://schemas.openxmlformats.org/officeDocument/2006/relationships/ctrlProp" Target="../ctrlProps/ctrlProp446.xml"/><Relationship Id="rId13" Type="http://schemas.openxmlformats.org/officeDocument/2006/relationships/ctrlProp" Target="../ctrlProps/ctrlProp450.xml"/><Relationship Id="rId18" Type="http://schemas.openxmlformats.org/officeDocument/2006/relationships/ctrlProp" Target="../ctrlProps/ctrlProp455.xml"/><Relationship Id="rId39" Type="http://schemas.openxmlformats.org/officeDocument/2006/relationships/ctrlProp" Target="../ctrlProps/ctrlProp476.xml"/><Relationship Id="rId109" Type="http://schemas.openxmlformats.org/officeDocument/2006/relationships/ctrlProp" Target="../ctrlProps/ctrlProp546.xml"/><Relationship Id="rId34" Type="http://schemas.openxmlformats.org/officeDocument/2006/relationships/ctrlProp" Target="../ctrlProps/ctrlProp471.xml"/><Relationship Id="rId50" Type="http://schemas.openxmlformats.org/officeDocument/2006/relationships/ctrlProp" Target="../ctrlProps/ctrlProp487.xml"/><Relationship Id="rId55" Type="http://schemas.openxmlformats.org/officeDocument/2006/relationships/ctrlProp" Target="../ctrlProps/ctrlProp492.xml"/><Relationship Id="rId76" Type="http://schemas.openxmlformats.org/officeDocument/2006/relationships/ctrlProp" Target="../ctrlProps/ctrlProp513.xml"/><Relationship Id="rId97" Type="http://schemas.openxmlformats.org/officeDocument/2006/relationships/ctrlProp" Target="../ctrlProps/ctrlProp534.xml"/><Relationship Id="rId104" Type="http://schemas.openxmlformats.org/officeDocument/2006/relationships/ctrlProp" Target="../ctrlProps/ctrlProp541.xml"/><Relationship Id="rId120" Type="http://schemas.openxmlformats.org/officeDocument/2006/relationships/ctrlProp" Target="../ctrlProps/ctrlProp557.xml"/><Relationship Id="rId125" Type="http://schemas.openxmlformats.org/officeDocument/2006/relationships/ctrlProp" Target="../ctrlProps/ctrlProp562.xml"/><Relationship Id="rId141" Type="http://schemas.openxmlformats.org/officeDocument/2006/relationships/ctrlProp" Target="../ctrlProps/ctrlProp578.xml"/><Relationship Id="rId7" Type="http://schemas.openxmlformats.org/officeDocument/2006/relationships/ctrlProp" Target="../ctrlProps/ctrlProp444.xml"/><Relationship Id="rId71" Type="http://schemas.openxmlformats.org/officeDocument/2006/relationships/ctrlProp" Target="../ctrlProps/ctrlProp508.xml"/><Relationship Id="rId92" Type="http://schemas.openxmlformats.org/officeDocument/2006/relationships/ctrlProp" Target="../ctrlProps/ctrlProp5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466.xml"/><Relationship Id="rId24" Type="http://schemas.openxmlformats.org/officeDocument/2006/relationships/ctrlProp" Target="../ctrlProps/ctrlProp461.xml"/><Relationship Id="rId40" Type="http://schemas.openxmlformats.org/officeDocument/2006/relationships/ctrlProp" Target="../ctrlProps/ctrlProp477.xml"/><Relationship Id="rId45" Type="http://schemas.openxmlformats.org/officeDocument/2006/relationships/ctrlProp" Target="../ctrlProps/ctrlProp482.xml"/><Relationship Id="rId66" Type="http://schemas.openxmlformats.org/officeDocument/2006/relationships/ctrlProp" Target="../ctrlProps/ctrlProp503.xml"/><Relationship Id="rId87" Type="http://schemas.openxmlformats.org/officeDocument/2006/relationships/ctrlProp" Target="../ctrlProps/ctrlProp524.xml"/><Relationship Id="rId110" Type="http://schemas.openxmlformats.org/officeDocument/2006/relationships/ctrlProp" Target="../ctrlProps/ctrlProp547.xml"/><Relationship Id="rId115" Type="http://schemas.openxmlformats.org/officeDocument/2006/relationships/ctrlProp" Target="../ctrlProps/ctrlProp552.xml"/><Relationship Id="rId131" Type="http://schemas.openxmlformats.org/officeDocument/2006/relationships/ctrlProp" Target="../ctrlProps/ctrlProp568.xml"/><Relationship Id="rId136" Type="http://schemas.openxmlformats.org/officeDocument/2006/relationships/ctrlProp" Target="../ctrlProps/ctrlProp573.xml"/><Relationship Id="rId61" Type="http://schemas.openxmlformats.org/officeDocument/2006/relationships/ctrlProp" Target="../ctrlProps/ctrlProp498.xml"/><Relationship Id="rId82" Type="http://schemas.openxmlformats.org/officeDocument/2006/relationships/ctrlProp" Target="../ctrlProps/ctrlProp519.xml"/><Relationship Id="rId19" Type="http://schemas.openxmlformats.org/officeDocument/2006/relationships/ctrlProp" Target="../ctrlProps/ctrlProp456.xml"/><Relationship Id="rId14" Type="http://schemas.openxmlformats.org/officeDocument/2006/relationships/ctrlProp" Target="../ctrlProps/ctrlProp451.xml"/><Relationship Id="rId30" Type="http://schemas.openxmlformats.org/officeDocument/2006/relationships/ctrlProp" Target="../ctrlProps/ctrlProp467.xml"/><Relationship Id="rId35" Type="http://schemas.openxmlformats.org/officeDocument/2006/relationships/ctrlProp" Target="../ctrlProps/ctrlProp472.xml"/><Relationship Id="rId56" Type="http://schemas.openxmlformats.org/officeDocument/2006/relationships/ctrlProp" Target="../ctrlProps/ctrlProp493.xml"/><Relationship Id="rId77" Type="http://schemas.openxmlformats.org/officeDocument/2006/relationships/ctrlProp" Target="../ctrlProps/ctrlProp514.xml"/><Relationship Id="rId100" Type="http://schemas.openxmlformats.org/officeDocument/2006/relationships/ctrlProp" Target="../ctrlProps/ctrlProp537.xml"/><Relationship Id="rId105" Type="http://schemas.openxmlformats.org/officeDocument/2006/relationships/ctrlProp" Target="../ctrlProps/ctrlProp542.xml"/><Relationship Id="rId126" Type="http://schemas.openxmlformats.org/officeDocument/2006/relationships/ctrlProp" Target="../ctrlProps/ctrlProp563.xml"/></Relationships>
</file>

<file path=xl/worksheets/_rels/sheet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03.xml"/><Relationship Id="rId117" Type="http://schemas.openxmlformats.org/officeDocument/2006/relationships/ctrlProp" Target="../ctrlProps/ctrlProp694.xml"/><Relationship Id="rId21" Type="http://schemas.openxmlformats.org/officeDocument/2006/relationships/ctrlProp" Target="../ctrlProps/ctrlProp598.xml"/><Relationship Id="rId42" Type="http://schemas.openxmlformats.org/officeDocument/2006/relationships/ctrlProp" Target="../ctrlProps/ctrlProp619.xml"/><Relationship Id="rId47" Type="http://schemas.openxmlformats.org/officeDocument/2006/relationships/ctrlProp" Target="../ctrlProps/ctrlProp624.xml"/><Relationship Id="rId63" Type="http://schemas.openxmlformats.org/officeDocument/2006/relationships/ctrlProp" Target="../ctrlProps/ctrlProp640.xml"/><Relationship Id="rId68" Type="http://schemas.openxmlformats.org/officeDocument/2006/relationships/ctrlProp" Target="../ctrlProps/ctrlProp645.xml"/><Relationship Id="rId84" Type="http://schemas.openxmlformats.org/officeDocument/2006/relationships/ctrlProp" Target="../ctrlProps/ctrlProp661.xml"/><Relationship Id="rId89" Type="http://schemas.openxmlformats.org/officeDocument/2006/relationships/ctrlProp" Target="../ctrlProps/ctrlProp666.xml"/><Relationship Id="rId112" Type="http://schemas.openxmlformats.org/officeDocument/2006/relationships/ctrlProp" Target="../ctrlProps/ctrlProp689.xml"/><Relationship Id="rId133" Type="http://schemas.openxmlformats.org/officeDocument/2006/relationships/ctrlProp" Target="../ctrlProps/ctrlProp710.xml"/><Relationship Id="rId138" Type="http://schemas.openxmlformats.org/officeDocument/2006/relationships/ctrlProp" Target="../ctrlProps/ctrlProp715.xml"/><Relationship Id="rId16" Type="http://schemas.openxmlformats.org/officeDocument/2006/relationships/ctrlProp" Target="../ctrlProps/ctrlProp593.xml"/><Relationship Id="rId107" Type="http://schemas.openxmlformats.org/officeDocument/2006/relationships/ctrlProp" Target="../ctrlProps/ctrlProp684.xml"/><Relationship Id="rId11" Type="http://schemas.openxmlformats.org/officeDocument/2006/relationships/ctrlProp" Target="../ctrlProps/ctrlProp588.xml"/><Relationship Id="rId32" Type="http://schemas.openxmlformats.org/officeDocument/2006/relationships/ctrlProp" Target="../ctrlProps/ctrlProp609.xml"/><Relationship Id="rId37" Type="http://schemas.openxmlformats.org/officeDocument/2006/relationships/ctrlProp" Target="../ctrlProps/ctrlProp614.xml"/><Relationship Id="rId53" Type="http://schemas.openxmlformats.org/officeDocument/2006/relationships/ctrlProp" Target="../ctrlProps/ctrlProp630.xml"/><Relationship Id="rId58" Type="http://schemas.openxmlformats.org/officeDocument/2006/relationships/ctrlProp" Target="../ctrlProps/ctrlProp635.xml"/><Relationship Id="rId74" Type="http://schemas.openxmlformats.org/officeDocument/2006/relationships/ctrlProp" Target="../ctrlProps/ctrlProp651.xml"/><Relationship Id="rId79" Type="http://schemas.openxmlformats.org/officeDocument/2006/relationships/ctrlProp" Target="../ctrlProps/ctrlProp656.xml"/><Relationship Id="rId102" Type="http://schemas.openxmlformats.org/officeDocument/2006/relationships/ctrlProp" Target="../ctrlProps/ctrlProp679.xml"/><Relationship Id="rId123" Type="http://schemas.openxmlformats.org/officeDocument/2006/relationships/ctrlProp" Target="../ctrlProps/ctrlProp700.xml"/><Relationship Id="rId128" Type="http://schemas.openxmlformats.org/officeDocument/2006/relationships/ctrlProp" Target="../ctrlProps/ctrlProp705.xml"/><Relationship Id="rId5" Type="http://schemas.openxmlformats.org/officeDocument/2006/relationships/ctrlProp" Target="../ctrlProps/ctrlProp582.xml"/><Relationship Id="rId90" Type="http://schemas.openxmlformats.org/officeDocument/2006/relationships/ctrlProp" Target="../ctrlProps/ctrlProp667.xml"/><Relationship Id="rId95" Type="http://schemas.openxmlformats.org/officeDocument/2006/relationships/ctrlProp" Target="../ctrlProps/ctrlProp672.xml"/><Relationship Id="rId22" Type="http://schemas.openxmlformats.org/officeDocument/2006/relationships/ctrlProp" Target="../ctrlProps/ctrlProp599.xml"/><Relationship Id="rId27" Type="http://schemas.openxmlformats.org/officeDocument/2006/relationships/ctrlProp" Target="../ctrlProps/ctrlProp604.xml"/><Relationship Id="rId43" Type="http://schemas.openxmlformats.org/officeDocument/2006/relationships/ctrlProp" Target="../ctrlProps/ctrlProp620.xml"/><Relationship Id="rId48" Type="http://schemas.openxmlformats.org/officeDocument/2006/relationships/ctrlProp" Target="../ctrlProps/ctrlProp625.xml"/><Relationship Id="rId64" Type="http://schemas.openxmlformats.org/officeDocument/2006/relationships/ctrlProp" Target="../ctrlProps/ctrlProp641.xml"/><Relationship Id="rId69" Type="http://schemas.openxmlformats.org/officeDocument/2006/relationships/ctrlProp" Target="../ctrlProps/ctrlProp646.xml"/><Relationship Id="rId113" Type="http://schemas.openxmlformats.org/officeDocument/2006/relationships/ctrlProp" Target="../ctrlProps/ctrlProp690.xml"/><Relationship Id="rId118" Type="http://schemas.openxmlformats.org/officeDocument/2006/relationships/ctrlProp" Target="../ctrlProps/ctrlProp695.xml"/><Relationship Id="rId134" Type="http://schemas.openxmlformats.org/officeDocument/2006/relationships/ctrlProp" Target="../ctrlProps/ctrlProp711.xml"/><Relationship Id="rId139" Type="http://schemas.openxmlformats.org/officeDocument/2006/relationships/ctrlProp" Target="../ctrlProps/ctrlProp716.xml"/><Relationship Id="rId8" Type="http://schemas.openxmlformats.org/officeDocument/2006/relationships/ctrlProp" Target="../ctrlProps/ctrlProp585.xml"/><Relationship Id="rId51" Type="http://schemas.openxmlformats.org/officeDocument/2006/relationships/ctrlProp" Target="../ctrlProps/ctrlProp628.xml"/><Relationship Id="rId72" Type="http://schemas.openxmlformats.org/officeDocument/2006/relationships/ctrlProp" Target="../ctrlProps/ctrlProp649.xml"/><Relationship Id="rId80" Type="http://schemas.openxmlformats.org/officeDocument/2006/relationships/ctrlProp" Target="../ctrlProps/ctrlProp657.xml"/><Relationship Id="rId85" Type="http://schemas.openxmlformats.org/officeDocument/2006/relationships/ctrlProp" Target="../ctrlProps/ctrlProp662.xml"/><Relationship Id="rId93" Type="http://schemas.openxmlformats.org/officeDocument/2006/relationships/ctrlProp" Target="../ctrlProps/ctrlProp670.xml"/><Relationship Id="rId98" Type="http://schemas.openxmlformats.org/officeDocument/2006/relationships/ctrlProp" Target="../ctrlProps/ctrlProp675.xml"/><Relationship Id="rId121" Type="http://schemas.openxmlformats.org/officeDocument/2006/relationships/ctrlProp" Target="../ctrlProps/ctrlProp698.xml"/><Relationship Id="rId142" Type="http://schemas.openxmlformats.org/officeDocument/2006/relationships/ctrlProp" Target="../ctrlProps/ctrlProp719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589.xml"/><Relationship Id="rId17" Type="http://schemas.openxmlformats.org/officeDocument/2006/relationships/ctrlProp" Target="../ctrlProps/ctrlProp594.xml"/><Relationship Id="rId25" Type="http://schemas.openxmlformats.org/officeDocument/2006/relationships/ctrlProp" Target="../ctrlProps/ctrlProp602.xml"/><Relationship Id="rId33" Type="http://schemas.openxmlformats.org/officeDocument/2006/relationships/ctrlProp" Target="../ctrlProps/ctrlProp610.xml"/><Relationship Id="rId38" Type="http://schemas.openxmlformats.org/officeDocument/2006/relationships/ctrlProp" Target="../ctrlProps/ctrlProp615.xml"/><Relationship Id="rId46" Type="http://schemas.openxmlformats.org/officeDocument/2006/relationships/ctrlProp" Target="../ctrlProps/ctrlProp623.xml"/><Relationship Id="rId59" Type="http://schemas.openxmlformats.org/officeDocument/2006/relationships/ctrlProp" Target="../ctrlProps/ctrlProp636.xml"/><Relationship Id="rId67" Type="http://schemas.openxmlformats.org/officeDocument/2006/relationships/ctrlProp" Target="../ctrlProps/ctrlProp644.xml"/><Relationship Id="rId103" Type="http://schemas.openxmlformats.org/officeDocument/2006/relationships/ctrlProp" Target="../ctrlProps/ctrlProp680.xml"/><Relationship Id="rId108" Type="http://schemas.openxmlformats.org/officeDocument/2006/relationships/ctrlProp" Target="../ctrlProps/ctrlProp685.xml"/><Relationship Id="rId116" Type="http://schemas.openxmlformats.org/officeDocument/2006/relationships/ctrlProp" Target="../ctrlProps/ctrlProp693.xml"/><Relationship Id="rId124" Type="http://schemas.openxmlformats.org/officeDocument/2006/relationships/ctrlProp" Target="../ctrlProps/ctrlProp701.xml"/><Relationship Id="rId129" Type="http://schemas.openxmlformats.org/officeDocument/2006/relationships/ctrlProp" Target="../ctrlProps/ctrlProp706.xml"/><Relationship Id="rId137" Type="http://schemas.openxmlformats.org/officeDocument/2006/relationships/ctrlProp" Target="../ctrlProps/ctrlProp714.xml"/><Relationship Id="rId20" Type="http://schemas.openxmlformats.org/officeDocument/2006/relationships/ctrlProp" Target="../ctrlProps/ctrlProp597.xml"/><Relationship Id="rId41" Type="http://schemas.openxmlformats.org/officeDocument/2006/relationships/ctrlProp" Target="../ctrlProps/ctrlProp618.xml"/><Relationship Id="rId54" Type="http://schemas.openxmlformats.org/officeDocument/2006/relationships/ctrlProp" Target="../ctrlProps/ctrlProp631.xml"/><Relationship Id="rId62" Type="http://schemas.openxmlformats.org/officeDocument/2006/relationships/ctrlProp" Target="../ctrlProps/ctrlProp639.xml"/><Relationship Id="rId70" Type="http://schemas.openxmlformats.org/officeDocument/2006/relationships/ctrlProp" Target="../ctrlProps/ctrlProp647.xml"/><Relationship Id="rId75" Type="http://schemas.openxmlformats.org/officeDocument/2006/relationships/ctrlProp" Target="../ctrlProps/ctrlProp652.xml"/><Relationship Id="rId83" Type="http://schemas.openxmlformats.org/officeDocument/2006/relationships/ctrlProp" Target="../ctrlProps/ctrlProp660.xml"/><Relationship Id="rId88" Type="http://schemas.openxmlformats.org/officeDocument/2006/relationships/ctrlProp" Target="../ctrlProps/ctrlProp665.xml"/><Relationship Id="rId91" Type="http://schemas.openxmlformats.org/officeDocument/2006/relationships/ctrlProp" Target="../ctrlProps/ctrlProp668.xml"/><Relationship Id="rId96" Type="http://schemas.openxmlformats.org/officeDocument/2006/relationships/ctrlProp" Target="../ctrlProps/ctrlProp673.xml"/><Relationship Id="rId111" Type="http://schemas.openxmlformats.org/officeDocument/2006/relationships/ctrlProp" Target="../ctrlProps/ctrlProp688.xml"/><Relationship Id="rId132" Type="http://schemas.openxmlformats.org/officeDocument/2006/relationships/ctrlProp" Target="../ctrlProps/ctrlProp709.xml"/><Relationship Id="rId140" Type="http://schemas.openxmlformats.org/officeDocument/2006/relationships/ctrlProp" Target="../ctrlProps/ctrlProp7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83.xml"/><Relationship Id="rId15" Type="http://schemas.openxmlformats.org/officeDocument/2006/relationships/ctrlProp" Target="../ctrlProps/ctrlProp592.xml"/><Relationship Id="rId23" Type="http://schemas.openxmlformats.org/officeDocument/2006/relationships/ctrlProp" Target="../ctrlProps/ctrlProp600.xml"/><Relationship Id="rId28" Type="http://schemas.openxmlformats.org/officeDocument/2006/relationships/ctrlProp" Target="../ctrlProps/ctrlProp605.xml"/><Relationship Id="rId36" Type="http://schemas.openxmlformats.org/officeDocument/2006/relationships/ctrlProp" Target="../ctrlProps/ctrlProp613.xml"/><Relationship Id="rId49" Type="http://schemas.openxmlformats.org/officeDocument/2006/relationships/ctrlProp" Target="../ctrlProps/ctrlProp626.xml"/><Relationship Id="rId57" Type="http://schemas.openxmlformats.org/officeDocument/2006/relationships/ctrlProp" Target="../ctrlProps/ctrlProp634.xml"/><Relationship Id="rId106" Type="http://schemas.openxmlformats.org/officeDocument/2006/relationships/ctrlProp" Target="../ctrlProps/ctrlProp683.xml"/><Relationship Id="rId114" Type="http://schemas.openxmlformats.org/officeDocument/2006/relationships/ctrlProp" Target="../ctrlProps/ctrlProp691.xml"/><Relationship Id="rId119" Type="http://schemas.openxmlformats.org/officeDocument/2006/relationships/ctrlProp" Target="../ctrlProps/ctrlProp696.xml"/><Relationship Id="rId127" Type="http://schemas.openxmlformats.org/officeDocument/2006/relationships/ctrlProp" Target="../ctrlProps/ctrlProp704.xml"/><Relationship Id="rId10" Type="http://schemas.openxmlformats.org/officeDocument/2006/relationships/ctrlProp" Target="../ctrlProps/ctrlProp587.xml"/><Relationship Id="rId31" Type="http://schemas.openxmlformats.org/officeDocument/2006/relationships/ctrlProp" Target="../ctrlProps/ctrlProp608.xml"/><Relationship Id="rId44" Type="http://schemas.openxmlformats.org/officeDocument/2006/relationships/ctrlProp" Target="../ctrlProps/ctrlProp621.xml"/><Relationship Id="rId52" Type="http://schemas.openxmlformats.org/officeDocument/2006/relationships/ctrlProp" Target="../ctrlProps/ctrlProp629.xml"/><Relationship Id="rId60" Type="http://schemas.openxmlformats.org/officeDocument/2006/relationships/ctrlProp" Target="../ctrlProps/ctrlProp637.xml"/><Relationship Id="rId65" Type="http://schemas.openxmlformats.org/officeDocument/2006/relationships/ctrlProp" Target="../ctrlProps/ctrlProp642.xml"/><Relationship Id="rId73" Type="http://schemas.openxmlformats.org/officeDocument/2006/relationships/ctrlProp" Target="../ctrlProps/ctrlProp650.xml"/><Relationship Id="rId78" Type="http://schemas.openxmlformats.org/officeDocument/2006/relationships/ctrlProp" Target="../ctrlProps/ctrlProp655.xml"/><Relationship Id="rId81" Type="http://schemas.openxmlformats.org/officeDocument/2006/relationships/ctrlProp" Target="../ctrlProps/ctrlProp658.xml"/><Relationship Id="rId86" Type="http://schemas.openxmlformats.org/officeDocument/2006/relationships/ctrlProp" Target="../ctrlProps/ctrlProp663.xml"/><Relationship Id="rId94" Type="http://schemas.openxmlformats.org/officeDocument/2006/relationships/ctrlProp" Target="../ctrlProps/ctrlProp671.xml"/><Relationship Id="rId99" Type="http://schemas.openxmlformats.org/officeDocument/2006/relationships/ctrlProp" Target="../ctrlProps/ctrlProp676.xml"/><Relationship Id="rId101" Type="http://schemas.openxmlformats.org/officeDocument/2006/relationships/ctrlProp" Target="../ctrlProps/ctrlProp678.xml"/><Relationship Id="rId122" Type="http://schemas.openxmlformats.org/officeDocument/2006/relationships/ctrlProp" Target="../ctrlProps/ctrlProp699.xml"/><Relationship Id="rId130" Type="http://schemas.openxmlformats.org/officeDocument/2006/relationships/ctrlProp" Target="../ctrlProps/ctrlProp707.xml"/><Relationship Id="rId135" Type="http://schemas.openxmlformats.org/officeDocument/2006/relationships/ctrlProp" Target="../ctrlProps/ctrlProp712.xml"/><Relationship Id="rId143" Type="http://schemas.openxmlformats.org/officeDocument/2006/relationships/ctrlProp" Target="../ctrlProps/ctrlProp720.xml"/><Relationship Id="rId4" Type="http://schemas.openxmlformats.org/officeDocument/2006/relationships/ctrlProp" Target="../ctrlProps/ctrlProp581.xml"/><Relationship Id="rId9" Type="http://schemas.openxmlformats.org/officeDocument/2006/relationships/ctrlProp" Target="../ctrlProps/ctrlProp586.xml"/><Relationship Id="rId13" Type="http://schemas.openxmlformats.org/officeDocument/2006/relationships/ctrlProp" Target="../ctrlProps/ctrlProp590.xml"/><Relationship Id="rId18" Type="http://schemas.openxmlformats.org/officeDocument/2006/relationships/ctrlProp" Target="../ctrlProps/ctrlProp595.xml"/><Relationship Id="rId39" Type="http://schemas.openxmlformats.org/officeDocument/2006/relationships/ctrlProp" Target="../ctrlProps/ctrlProp616.xml"/><Relationship Id="rId109" Type="http://schemas.openxmlformats.org/officeDocument/2006/relationships/ctrlProp" Target="../ctrlProps/ctrlProp686.xml"/><Relationship Id="rId34" Type="http://schemas.openxmlformats.org/officeDocument/2006/relationships/ctrlProp" Target="../ctrlProps/ctrlProp611.xml"/><Relationship Id="rId50" Type="http://schemas.openxmlformats.org/officeDocument/2006/relationships/ctrlProp" Target="../ctrlProps/ctrlProp627.xml"/><Relationship Id="rId55" Type="http://schemas.openxmlformats.org/officeDocument/2006/relationships/ctrlProp" Target="../ctrlProps/ctrlProp632.xml"/><Relationship Id="rId76" Type="http://schemas.openxmlformats.org/officeDocument/2006/relationships/ctrlProp" Target="../ctrlProps/ctrlProp653.xml"/><Relationship Id="rId97" Type="http://schemas.openxmlformats.org/officeDocument/2006/relationships/ctrlProp" Target="../ctrlProps/ctrlProp674.xml"/><Relationship Id="rId104" Type="http://schemas.openxmlformats.org/officeDocument/2006/relationships/ctrlProp" Target="../ctrlProps/ctrlProp681.xml"/><Relationship Id="rId120" Type="http://schemas.openxmlformats.org/officeDocument/2006/relationships/ctrlProp" Target="../ctrlProps/ctrlProp697.xml"/><Relationship Id="rId125" Type="http://schemas.openxmlformats.org/officeDocument/2006/relationships/ctrlProp" Target="../ctrlProps/ctrlProp702.xml"/><Relationship Id="rId141" Type="http://schemas.openxmlformats.org/officeDocument/2006/relationships/ctrlProp" Target="../ctrlProps/ctrlProp718.xml"/><Relationship Id="rId7" Type="http://schemas.openxmlformats.org/officeDocument/2006/relationships/ctrlProp" Target="../ctrlProps/ctrlProp584.xml"/><Relationship Id="rId71" Type="http://schemas.openxmlformats.org/officeDocument/2006/relationships/ctrlProp" Target="../ctrlProps/ctrlProp648.xml"/><Relationship Id="rId92" Type="http://schemas.openxmlformats.org/officeDocument/2006/relationships/ctrlProp" Target="../ctrlProps/ctrlProp669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06.xml"/><Relationship Id="rId24" Type="http://schemas.openxmlformats.org/officeDocument/2006/relationships/ctrlProp" Target="../ctrlProps/ctrlProp601.xml"/><Relationship Id="rId40" Type="http://schemas.openxmlformats.org/officeDocument/2006/relationships/ctrlProp" Target="../ctrlProps/ctrlProp617.xml"/><Relationship Id="rId45" Type="http://schemas.openxmlformats.org/officeDocument/2006/relationships/ctrlProp" Target="../ctrlProps/ctrlProp622.xml"/><Relationship Id="rId66" Type="http://schemas.openxmlformats.org/officeDocument/2006/relationships/ctrlProp" Target="../ctrlProps/ctrlProp643.xml"/><Relationship Id="rId87" Type="http://schemas.openxmlformats.org/officeDocument/2006/relationships/ctrlProp" Target="../ctrlProps/ctrlProp664.xml"/><Relationship Id="rId110" Type="http://schemas.openxmlformats.org/officeDocument/2006/relationships/ctrlProp" Target="../ctrlProps/ctrlProp687.xml"/><Relationship Id="rId115" Type="http://schemas.openxmlformats.org/officeDocument/2006/relationships/ctrlProp" Target="../ctrlProps/ctrlProp692.xml"/><Relationship Id="rId131" Type="http://schemas.openxmlformats.org/officeDocument/2006/relationships/ctrlProp" Target="../ctrlProps/ctrlProp708.xml"/><Relationship Id="rId136" Type="http://schemas.openxmlformats.org/officeDocument/2006/relationships/ctrlProp" Target="../ctrlProps/ctrlProp713.xml"/><Relationship Id="rId61" Type="http://schemas.openxmlformats.org/officeDocument/2006/relationships/ctrlProp" Target="../ctrlProps/ctrlProp638.xml"/><Relationship Id="rId82" Type="http://schemas.openxmlformats.org/officeDocument/2006/relationships/ctrlProp" Target="../ctrlProps/ctrlProp659.xml"/><Relationship Id="rId19" Type="http://schemas.openxmlformats.org/officeDocument/2006/relationships/ctrlProp" Target="../ctrlProps/ctrlProp596.xml"/><Relationship Id="rId14" Type="http://schemas.openxmlformats.org/officeDocument/2006/relationships/ctrlProp" Target="../ctrlProps/ctrlProp591.xml"/><Relationship Id="rId30" Type="http://schemas.openxmlformats.org/officeDocument/2006/relationships/ctrlProp" Target="../ctrlProps/ctrlProp607.xml"/><Relationship Id="rId35" Type="http://schemas.openxmlformats.org/officeDocument/2006/relationships/ctrlProp" Target="../ctrlProps/ctrlProp612.xml"/><Relationship Id="rId56" Type="http://schemas.openxmlformats.org/officeDocument/2006/relationships/ctrlProp" Target="../ctrlProps/ctrlProp633.xml"/><Relationship Id="rId77" Type="http://schemas.openxmlformats.org/officeDocument/2006/relationships/ctrlProp" Target="../ctrlProps/ctrlProp654.xml"/><Relationship Id="rId100" Type="http://schemas.openxmlformats.org/officeDocument/2006/relationships/ctrlProp" Target="../ctrlProps/ctrlProp677.xml"/><Relationship Id="rId105" Type="http://schemas.openxmlformats.org/officeDocument/2006/relationships/ctrlProp" Target="../ctrlProps/ctrlProp682.xml"/><Relationship Id="rId126" Type="http://schemas.openxmlformats.org/officeDocument/2006/relationships/ctrlProp" Target="../ctrlProps/ctrlProp703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43.xml"/><Relationship Id="rId117" Type="http://schemas.openxmlformats.org/officeDocument/2006/relationships/ctrlProp" Target="../ctrlProps/ctrlProp834.xml"/><Relationship Id="rId21" Type="http://schemas.openxmlformats.org/officeDocument/2006/relationships/ctrlProp" Target="../ctrlProps/ctrlProp738.xml"/><Relationship Id="rId42" Type="http://schemas.openxmlformats.org/officeDocument/2006/relationships/ctrlProp" Target="../ctrlProps/ctrlProp759.xml"/><Relationship Id="rId47" Type="http://schemas.openxmlformats.org/officeDocument/2006/relationships/ctrlProp" Target="../ctrlProps/ctrlProp764.xml"/><Relationship Id="rId63" Type="http://schemas.openxmlformats.org/officeDocument/2006/relationships/ctrlProp" Target="../ctrlProps/ctrlProp780.xml"/><Relationship Id="rId68" Type="http://schemas.openxmlformats.org/officeDocument/2006/relationships/ctrlProp" Target="../ctrlProps/ctrlProp785.xml"/><Relationship Id="rId84" Type="http://schemas.openxmlformats.org/officeDocument/2006/relationships/ctrlProp" Target="../ctrlProps/ctrlProp801.xml"/><Relationship Id="rId89" Type="http://schemas.openxmlformats.org/officeDocument/2006/relationships/ctrlProp" Target="../ctrlProps/ctrlProp806.xml"/><Relationship Id="rId112" Type="http://schemas.openxmlformats.org/officeDocument/2006/relationships/ctrlProp" Target="../ctrlProps/ctrlProp829.xml"/><Relationship Id="rId133" Type="http://schemas.openxmlformats.org/officeDocument/2006/relationships/ctrlProp" Target="../ctrlProps/ctrlProp850.xml"/><Relationship Id="rId138" Type="http://schemas.openxmlformats.org/officeDocument/2006/relationships/ctrlProp" Target="../ctrlProps/ctrlProp855.xml"/><Relationship Id="rId16" Type="http://schemas.openxmlformats.org/officeDocument/2006/relationships/ctrlProp" Target="../ctrlProps/ctrlProp733.xml"/><Relationship Id="rId107" Type="http://schemas.openxmlformats.org/officeDocument/2006/relationships/ctrlProp" Target="../ctrlProps/ctrlProp824.xml"/><Relationship Id="rId11" Type="http://schemas.openxmlformats.org/officeDocument/2006/relationships/ctrlProp" Target="../ctrlProps/ctrlProp728.xml"/><Relationship Id="rId32" Type="http://schemas.openxmlformats.org/officeDocument/2006/relationships/ctrlProp" Target="../ctrlProps/ctrlProp749.xml"/><Relationship Id="rId37" Type="http://schemas.openxmlformats.org/officeDocument/2006/relationships/ctrlProp" Target="../ctrlProps/ctrlProp754.xml"/><Relationship Id="rId53" Type="http://schemas.openxmlformats.org/officeDocument/2006/relationships/ctrlProp" Target="../ctrlProps/ctrlProp770.xml"/><Relationship Id="rId58" Type="http://schemas.openxmlformats.org/officeDocument/2006/relationships/ctrlProp" Target="../ctrlProps/ctrlProp775.xml"/><Relationship Id="rId74" Type="http://schemas.openxmlformats.org/officeDocument/2006/relationships/ctrlProp" Target="../ctrlProps/ctrlProp791.xml"/><Relationship Id="rId79" Type="http://schemas.openxmlformats.org/officeDocument/2006/relationships/ctrlProp" Target="../ctrlProps/ctrlProp796.xml"/><Relationship Id="rId102" Type="http://schemas.openxmlformats.org/officeDocument/2006/relationships/ctrlProp" Target="../ctrlProps/ctrlProp819.xml"/><Relationship Id="rId123" Type="http://schemas.openxmlformats.org/officeDocument/2006/relationships/ctrlProp" Target="../ctrlProps/ctrlProp840.xml"/><Relationship Id="rId128" Type="http://schemas.openxmlformats.org/officeDocument/2006/relationships/ctrlProp" Target="../ctrlProps/ctrlProp845.xml"/><Relationship Id="rId5" Type="http://schemas.openxmlformats.org/officeDocument/2006/relationships/ctrlProp" Target="../ctrlProps/ctrlProp722.xml"/><Relationship Id="rId90" Type="http://schemas.openxmlformats.org/officeDocument/2006/relationships/ctrlProp" Target="../ctrlProps/ctrlProp807.xml"/><Relationship Id="rId95" Type="http://schemas.openxmlformats.org/officeDocument/2006/relationships/ctrlProp" Target="../ctrlProps/ctrlProp812.xml"/><Relationship Id="rId22" Type="http://schemas.openxmlformats.org/officeDocument/2006/relationships/ctrlProp" Target="../ctrlProps/ctrlProp739.xml"/><Relationship Id="rId27" Type="http://schemas.openxmlformats.org/officeDocument/2006/relationships/ctrlProp" Target="../ctrlProps/ctrlProp744.xml"/><Relationship Id="rId43" Type="http://schemas.openxmlformats.org/officeDocument/2006/relationships/ctrlProp" Target="../ctrlProps/ctrlProp760.xml"/><Relationship Id="rId48" Type="http://schemas.openxmlformats.org/officeDocument/2006/relationships/ctrlProp" Target="../ctrlProps/ctrlProp765.xml"/><Relationship Id="rId64" Type="http://schemas.openxmlformats.org/officeDocument/2006/relationships/ctrlProp" Target="../ctrlProps/ctrlProp781.xml"/><Relationship Id="rId69" Type="http://schemas.openxmlformats.org/officeDocument/2006/relationships/ctrlProp" Target="../ctrlProps/ctrlProp786.xml"/><Relationship Id="rId113" Type="http://schemas.openxmlformats.org/officeDocument/2006/relationships/ctrlProp" Target="../ctrlProps/ctrlProp830.xml"/><Relationship Id="rId118" Type="http://schemas.openxmlformats.org/officeDocument/2006/relationships/ctrlProp" Target="../ctrlProps/ctrlProp835.xml"/><Relationship Id="rId134" Type="http://schemas.openxmlformats.org/officeDocument/2006/relationships/ctrlProp" Target="../ctrlProps/ctrlProp851.xml"/><Relationship Id="rId139" Type="http://schemas.openxmlformats.org/officeDocument/2006/relationships/ctrlProp" Target="../ctrlProps/ctrlProp856.xml"/><Relationship Id="rId8" Type="http://schemas.openxmlformats.org/officeDocument/2006/relationships/ctrlProp" Target="../ctrlProps/ctrlProp725.xml"/><Relationship Id="rId51" Type="http://schemas.openxmlformats.org/officeDocument/2006/relationships/ctrlProp" Target="../ctrlProps/ctrlProp768.xml"/><Relationship Id="rId72" Type="http://schemas.openxmlformats.org/officeDocument/2006/relationships/ctrlProp" Target="../ctrlProps/ctrlProp789.xml"/><Relationship Id="rId80" Type="http://schemas.openxmlformats.org/officeDocument/2006/relationships/ctrlProp" Target="../ctrlProps/ctrlProp797.xml"/><Relationship Id="rId85" Type="http://schemas.openxmlformats.org/officeDocument/2006/relationships/ctrlProp" Target="../ctrlProps/ctrlProp802.xml"/><Relationship Id="rId93" Type="http://schemas.openxmlformats.org/officeDocument/2006/relationships/ctrlProp" Target="../ctrlProps/ctrlProp810.xml"/><Relationship Id="rId98" Type="http://schemas.openxmlformats.org/officeDocument/2006/relationships/ctrlProp" Target="../ctrlProps/ctrlProp815.xml"/><Relationship Id="rId121" Type="http://schemas.openxmlformats.org/officeDocument/2006/relationships/ctrlProp" Target="../ctrlProps/ctrlProp838.xml"/><Relationship Id="rId142" Type="http://schemas.openxmlformats.org/officeDocument/2006/relationships/ctrlProp" Target="../ctrlProps/ctrlProp859.xml"/><Relationship Id="rId3" Type="http://schemas.openxmlformats.org/officeDocument/2006/relationships/vmlDrawing" Target="../drawings/vmlDrawing9.vml"/><Relationship Id="rId12" Type="http://schemas.openxmlformats.org/officeDocument/2006/relationships/ctrlProp" Target="../ctrlProps/ctrlProp729.xml"/><Relationship Id="rId17" Type="http://schemas.openxmlformats.org/officeDocument/2006/relationships/ctrlProp" Target="../ctrlProps/ctrlProp734.xml"/><Relationship Id="rId25" Type="http://schemas.openxmlformats.org/officeDocument/2006/relationships/ctrlProp" Target="../ctrlProps/ctrlProp742.xml"/><Relationship Id="rId33" Type="http://schemas.openxmlformats.org/officeDocument/2006/relationships/ctrlProp" Target="../ctrlProps/ctrlProp750.xml"/><Relationship Id="rId38" Type="http://schemas.openxmlformats.org/officeDocument/2006/relationships/ctrlProp" Target="../ctrlProps/ctrlProp755.xml"/><Relationship Id="rId46" Type="http://schemas.openxmlformats.org/officeDocument/2006/relationships/ctrlProp" Target="../ctrlProps/ctrlProp763.xml"/><Relationship Id="rId59" Type="http://schemas.openxmlformats.org/officeDocument/2006/relationships/ctrlProp" Target="../ctrlProps/ctrlProp776.xml"/><Relationship Id="rId67" Type="http://schemas.openxmlformats.org/officeDocument/2006/relationships/ctrlProp" Target="../ctrlProps/ctrlProp784.xml"/><Relationship Id="rId103" Type="http://schemas.openxmlformats.org/officeDocument/2006/relationships/ctrlProp" Target="../ctrlProps/ctrlProp820.xml"/><Relationship Id="rId108" Type="http://schemas.openxmlformats.org/officeDocument/2006/relationships/ctrlProp" Target="../ctrlProps/ctrlProp825.xml"/><Relationship Id="rId116" Type="http://schemas.openxmlformats.org/officeDocument/2006/relationships/ctrlProp" Target="../ctrlProps/ctrlProp833.xml"/><Relationship Id="rId124" Type="http://schemas.openxmlformats.org/officeDocument/2006/relationships/ctrlProp" Target="../ctrlProps/ctrlProp841.xml"/><Relationship Id="rId129" Type="http://schemas.openxmlformats.org/officeDocument/2006/relationships/ctrlProp" Target="../ctrlProps/ctrlProp846.xml"/><Relationship Id="rId137" Type="http://schemas.openxmlformats.org/officeDocument/2006/relationships/ctrlProp" Target="../ctrlProps/ctrlProp854.xml"/><Relationship Id="rId20" Type="http://schemas.openxmlformats.org/officeDocument/2006/relationships/ctrlProp" Target="../ctrlProps/ctrlProp737.xml"/><Relationship Id="rId41" Type="http://schemas.openxmlformats.org/officeDocument/2006/relationships/ctrlProp" Target="../ctrlProps/ctrlProp758.xml"/><Relationship Id="rId54" Type="http://schemas.openxmlformats.org/officeDocument/2006/relationships/ctrlProp" Target="../ctrlProps/ctrlProp771.xml"/><Relationship Id="rId62" Type="http://schemas.openxmlformats.org/officeDocument/2006/relationships/ctrlProp" Target="../ctrlProps/ctrlProp779.xml"/><Relationship Id="rId70" Type="http://schemas.openxmlformats.org/officeDocument/2006/relationships/ctrlProp" Target="../ctrlProps/ctrlProp787.xml"/><Relationship Id="rId75" Type="http://schemas.openxmlformats.org/officeDocument/2006/relationships/ctrlProp" Target="../ctrlProps/ctrlProp792.xml"/><Relationship Id="rId83" Type="http://schemas.openxmlformats.org/officeDocument/2006/relationships/ctrlProp" Target="../ctrlProps/ctrlProp800.xml"/><Relationship Id="rId88" Type="http://schemas.openxmlformats.org/officeDocument/2006/relationships/ctrlProp" Target="../ctrlProps/ctrlProp805.xml"/><Relationship Id="rId91" Type="http://schemas.openxmlformats.org/officeDocument/2006/relationships/ctrlProp" Target="../ctrlProps/ctrlProp808.xml"/><Relationship Id="rId96" Type="http://schemas.openxmlformats.org/officeDocument/2006/relationships/ctrlProp" Target="../ctrlProps/ctrlProp813.xml"/><Relationship Id="rId111" Type="http://schemas.openxmlformats.org/officeDocument/2006/relationships/ctrlProp" Target="../ctrlProps/ctrlProp828.xml"/><Relationship Id="rId132" Type="http://schemas.openxmlformats.org/officeDocument/2006/relationships/ctrlProp" Target="../ctrlProps/ctrlProp849.xml"/><Relationship Id="rId140" Type="http://schemas.openxmlformats.org/officeDocument/2006/relationships/ctrlProp" Target="../ctrlProps/ctrlProp85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723.xml"/><Relationship Id="rId15" Type="http://schemas.openxmlformats.org/officeDocument/2006/relationships/ctrlProp" Target="../ctrlProps/ctrlProp732.xml"/><Relationship Id="rId23" Type="http://schemas.openxmlformats.org/officeDocument/2006/relationships/ctrlProp" Target="../ctrlProps/ctrlProp740.xml"/><Relationship Id="rId28" Type="http://schemas.openxmlformats.org/officeDocument/2006/relationships/ctrlProp" Target="../ctrlProps/ctrlProp745.xml"/><Relationship Id="rId36" Type="http://schemas.openxmlformats.org/officeDocument/2006/relationships/ctrlProp" Target="../ctrlProps/ctrlProp753.xml"/><Relationship Id="rId49" Type="http://schemas.openxmlformats.org/officeDocument/2006/relationships/ctrlProp" Target="../ctrlProps/ctrlProp766.xml"/><Relationship Id="rId57" Type="http://schemas.openxmlformats.org/officeDocument/2006/relationships/ctrlProp" Target="../ctrlProps/ctrlProp774.xml"/><Relationship Id="rId106" Type="http://schemas.openxmlformats.org/officeDocument/2006/relationships/ctrlProp" Target="../ctrlProps/ctrlProp823.xml"/><Relationship Id="rId114" Type="http://schemas.openxmlformats.org/officeDocument/2006/relationships/ctrlProp" Target="../ctrlProps/ctrlProp831.xml"/><Relationship Id="rId119" Type="http://schemas.openxmlformats.org/officeDocument/2006/relationships/ctrlProp" Target="../ctrlProps/ctrlProp836.xml"/><Relationship Id="rId127" Type="http://schemas.openxmlformats.org/officeDocument/2006/relationships/ctrlProp" Target="../ctrlProps/ctrlProp844.xml"/><Relationship Id="rId10" Type="http://schemas.openxmlformats.org/officeDocument/2006/relationships/ctrlProp" Target="../ctrlProps/ctrlProp727.xml"/><Relationship Id="rId31" Type="http://schemas.openxmlformats.org/officeDocument/2006/relationships/ctrlProp" Target="../ctrlProps/ctrlProp748.xml"/><Relationship Id="rId44" Type="http://schemas.openxmlformats.org/officeDocument/2006/relationships/ctrlProp" Target="../ctrlProps/ctrlProp761.xml"/><Relationship Id="rId52" Type="http://schemas.openxmlformats.org/officeDocument/2006/relationships/ctrlProp" Target="../ctrlProps/ctrlProp769.xml"/><Relationship Id="rId60" Type="http://schemas.openxmlformats.org/officeDocument/2006/relationships/ctrlProp" Target="../ctrlProps/ctrlProp777.xml"/><Relationship Id="rId65" Type="http://schemas.openxmlformats.org/officeDocument/2006/relationships/ctrlProp" Target="../ctrlProps/ctrlProp782.xml"/><Relationship Id="rId73" Type="http://schemas.openxmlformats.org/officeDocument/2006/relationships/ctrlProp" Target="../ctrlProps/ctrlProp790.xml"/><Relationship Id="rId78" Type="http://schemas.openxmlformats.org/officeDocument/2006/relationships/ctrlProp" Target="../ctrlProps/ctrlProp795.xml"/><Relationship Id="rId81" Type="http://schemas.openxmlformats.org/officeDocument/2006/relationships/ctrlProp" Target="../ctrlProps/ctrlProp798.xml"/><Relationship Id="rId86" Type="http://schemas.openxmlformats.org/officeDocument/2006/relationships/ctrlProp" Target="../ctrlProps/ctrlProp803.xml"/><Relationship Id="rId94" Type="http://schemas.openxmlformats.org/officeDocument/2006/relationships/ctrlProp" Target="../ctrlProps/ctrlProp811.xml"/><Relationship Id="rId99" Type="http://schemas.openxmlformats.org/officeDocument/2006/relationships/ctrlProp" Target="../ctrlProps/ctrlProp816.xml"/><Relationship Id="rId101" Type="http://schemas.openxmlformats.org/officeDocument/2006/relationships/ctrlProp" Target="../ctrlProps/ctrlProp818.xml"/><Relationship Id="rId122" Type="http://schemas.openxmlformats.org/officeDocument/2006/relationships/ctrlProp" Target="../ctrlProps/ctrlProp839.xml"/><Relationship Id="rId130" Type="http://schemas.openxmlformats.org/officeDocument/2006/relationships/ctrlProp" Target="../ctrlProps/ctrlProp847.xml"/><Relationship Id="rId135" Type="http://schemas.openxmlformats.org/officeDocument/2006/relationships/ctrlProp" Target="../ctrlProps/ctrlProp852.xml"/><Relationship Id="rId143" Type="http://schemas.openxmlformats.org/officeDocument/2006/relationships/ctrlProp" Target="../ctrlProps/ctrlProp860.xml"/><Relationship Id="rId4" Type="http://schemas.openxmlformats.org/officeDocument/2006/relationships/ctrlProp" Target="../ctrlProps/ctrlProp721.xml"/><Relationship Id="rId9" Type="http://schemas.openxmlformats.org/officeDocument/2006/relationships/ctrlProp" Target="../ctrlProps/ctrlProp726.xml"/><Relationship Id="rId13" Type="http://schemas.openxmlformats.org/officeDocument/2006/relationships/ctrlProp" Target="../ctrlProps/ctrlProp730.xml"/><Relationship Id="rId18" Type="http://schemas.openxmlformats.org/officeDocument/2006/relationships/ctrlProp" Target="../ctrlProps/ctrlProp735.xml"/><Relationship Id="rId39" Type="http://schemas.openxmlformats.org/officeDocument/2006/relationships/ctrlProp" Target="../ctrlProps/ctrlProp756.xml"/><Relationship Id="rId109" Type="http://schemas.openxmlformats.org/officeDocument/2006/relationships/ctrlProp" Target="../ctrlProps/ctrlProp826.xml"/><Relationship Id="rId34" Type="http://schemas.openxmlformats.org/officeDocument/2006/relationships/ctrlProp" Target="../ctrlProps/ctrlProp751.xml"/><Relationship Id="rId50" Type="http://schemas.openxmlformats.org/officeDocument/2006/relationships/ctrlProp" Target="../ctrlProps/ctrlProp767.xml"/><Relationship Id="rId55" Type="http://schemas.openxmlformats.org/officeDocument/2006/relationships/ctrlProp" Target="../ctrlProps/ctrlProp772.xml"/><Relationship Id="rId76" Type="http://schemas.openxmlformats.org/officeDocument/2006/relationships/ctrlProp" Target="../ctrlProps/ctrlProp793.xml"/><Relationship Id="rId97" Type="http://schemas.openxmlformats.org/officeDocument/2006/relationships/ctrlProp" Target="../ctrlProps/ctrlProp814.xml"/><Relationship Id="rId104" Type="http://schemas.openxmlformats.org/officeDocument/2006/relationships/ctrlProp" Target="../ctrlProps/ctrlProp821.xml"/><Relationship Id="rId120" Type="http://schemas.openxmlformats.org/officeDocument/2006/relationships/ctrlProp" Target="../ctrlProps/ctrlProp837.xml"/><Relationship Id="rId125" Type="http://schemas.openxmlformats.org/officeDocument/2006/relationships/ctrlProp" Target="../ctrlProps/ctrlProp842.xml"/><Relationship Id="rId141" Type="http://schemas.openxmlformats.org/officeDocument/2006/relationships/ctrlProp" Target="../ctrlProps/ctrlProp858.xml"/><Relationship Id="rId7" Type="http://schemas.openxmlformats.org/officeDocument/2006/relationships/ctrlProp" Target="../ctrlProps/ctrlProp724.xml"/><Relationship Id="rId71" Type="http://schemas.openxmlformats.org/officeDocument/2006/relationships/ctrlProp" Target="../ctrlProps/ctrlProp788.xml"/><Relationship Id="rId92" Type="http://schemas.openxmlformats.org/officeDocument/2006/relationships/ctrlProp" Target="../ctrlProps/ctrlProp80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746.xml"/><Relationship Id="rId24" Type="http://schemas.openxmlformats.org/officeDocument/2006/relationships/ctrlProp" Target="../ctrlProps/ctrlProp741.xml"/><Relationship Id="rId40" Type="http://schemas.openxmlformats.org/officeDocument/2006/relationships/ctrlProp" Target="../ctrlProps/ctrlProp757.xml"/><Relationship Id="rId45" Type="http://schemas.openxmlformats.org/officeDocument/2006/relationships/ctrlProp" Target="../ctrlProps/ctrlProp762.xml"/><Relationship Id="rId66" Type="http://schemas.openxmlformats.org/officeDocument/2006/relationships/ctrlProp" Target="../ctrlProps/ctrlProp783.xml"/><Relationship Id="rId87" Type="http://schemas.openxmlformats.org/officeDocument/2006/relationships/ctrlProp" Target="../ctrlProps/ctrlProp804.xml"/><Relationship Id="rId110" Type="http://schemas.openxmlformats.org/officeDocument/2006/relationships/ctrlProp" Target="../ctrlProps/ctrlProp827.xml"/><Relationship Id="rId115" Type="http://schemas.openxmlformats.org/officeDocument/2006/relationships/ctrlProp" Target="../ctrlProps/ctrlProp832.xml"/><Relationship Id="rId131" Type="http://schemas.openxmlformats.org/officeDocument/2006/relationships/ctrlProp" Target="../ctrlProps/ctrlProp848.xml"/><Relationship Id="rId136" Type="http://schemas.openxmlformats.org/officeDocument/2006/relationships/ctrlProp" Target="../ctrlProps/ctrlProp853.xml"/><Relationship Id="rId61" Type="http://schemas.openxmlformats.org/officeDocument/2006/relationships/ctrlProp" Target="../ctrlProps/ctrlProp778.xml"/><Relationship Id="rId82" Type="http://schemas.openxmlformats.org/officeDocument/2006/relationships/ctrlProp" Target="../ctrlProps/ctrlProp799.xml"/><Relationship Id="rId19" Type="http://schemas.openxmlformats.org/officeDocument/2006/relationships/ctrlProp" Target="../ctrlProps/ctrlProp736.xml"/><Relationship Id="rId14" Type="http://schemas.openxmlformats.org/officeDocument/2006/relationships/ctrlProp" Target="../ctrlProps/ctrlProp731.xml"/><Relationship Id="rId30" Type="http://schemas.openxmlformats.org/officeDocument/2006/relationships/ctrlProp" Target="../ctrlProps/ctrlProp747.xml"/><Relationship Id="rId35" Type="http://schemas.openxmlformats.org/officeDocument/2006/relationships/ctrlProp" Target="../ctrlProps/ctrlProp752.xml"/><Relationship Id="rId56" Type="http://schemas.openxmlformats.org/officeDocument/2006/relationships/ctrlProp" Target="../ctrlProps/ctrlProp773.xml"/><Relationship Id="rId77" Type="http://schemas.openxmlformats.org/officeDocument/2006/relationships/ctrlProp" Target="../ctrlProps/ctrlProp794.xml"/><Relationship Id="rId100" Type="http://schemas.openxmlformats.org/officeDocument/2006/relationships/ctrlProp" Target="../ctrlProps/ctrlProp817.xml"/><Relationship Id="rId105" Type="http://schemas.openxmlformats.org/officeDocument/2006/relationships/ctrlProp" Target="../ctrlProps/ctrlProp822.xml"/><Relationship Id="rId126" Type="http://schemas.openxmlformats.org/officeDocument/2006/relationships/ctrlProp" Target="../ctrlProps/ctrlProp843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83.xml"/><Relationship Id="rId117" Type="http://schemas.openxmlformats.org/officeDocument/2006/relationships/ctrlProp" Target="../ctrlProps/ctrlProp974.xml"/><Relationship Id="rId21" Type="http://schemas.openxmlformats.org/officeDocument/2006/relationships/ctrlProp" Target="../ctrlProps/ctrlProp878.xml"/><Relationship Id="rId42" Type="http://schemas.openxmlformats.org/officeDocument/2006/relationships/ctrlProp" Target="../ctrlProps/ctrlProp899.xml"/><Relationship Id="rId47" Type="http://schemas.openxmlformats.org/officeDocument/2006/relationships/ctrlProp" Target="../ctrlProps/ctrlProp904.xml"/><Relationship Id="rId63" Type="http://schemas.openxmlformats.org/officeDocument/2006/relationships/ctrlProp" Target="../ctrlProps/ctrlProp920.xml"/><Relationship Id="rId68" Type="http://schemas.openxmlformats.org/officeDocument/2006/relationships/ctrlProp" Target="../ctrlProps/ctrlProp925.xml"/><Relationship Id="rId84" Type="http://schemas.openxmlformats.org/officeDocument/2006/relationships/ctrlProp" Target="../ctrlProps/ctrlProp941.xml"/><Relationship Id="rId89" Type="http://schemas.openxmlformats.org/officeDocument/2006/relationships/ctrlProp" Target="../ctrlProps/ctrlProp946.xml"/><Relationship Id="rId112" Type="http://schemas.openxmlformats.org/officeDocument/2006/relationships/ctrlProp" Target="../ctrlProps/ctrlProp969.xml"/><Relationship Id="rId133" Type="http://schemas.openxmlformats.org/officeDocument/2006/relationships/ctrlProp" Target="../ctrlProps/ctrlProp990.xml"/><Relationship Id="rId138" Type="http://schemas.openxmlformats.org/officeDocument/2006/relationships/ctrlProp" Target="../ctrlProps/ctrlProp995.xml"/><Relationship Id="rId16" Type="http://schemas.openxmlformats.org/officeDocument/2006/relationships/ctrlProp" Target="../ctrlProps/ctrlProp873.xml"/><Relationship Id="rId107" Type="http://schemas.openxmlformats.org/officeDocument/2006/relationships/ctrlProp" Target="../ctrlProps/ctrlProp964.xml"/><Relationship Id="rId11" Type="http://schemas.openxmlformats.org/officeDocument/2006/relationships/ctrlProp" Target="../ctrlProps/ctrlProp868.xml"/><Relationship Id="rId32" Type="http://schemas.openxmlformats.org/officeDocument/2006/relationships/ctrlProp" Target="../ctrlProps/ctrlProp889.xml"/><Relationship Id="rId37" Type="http://schemas.openxmlformats.org/officeDocument/2006/relationships/ctrlProp" Target="../ctrlProps/ctrlProp894.xml"/><Relationship Id="rId53" Type="http://schemas.openxmlformats.org/officeDocument/2006/relationships/ctrlProp" Target="../ctrlProps/ctrlProp910.xml"/><Relationship Id="rId58" Type="http://schemas.openxmlformats.org/officeDocument/2006/relationships/ctrlProp" Target="../ctrlProps/ctrlProp915.xml"/><Relationship Id="rId74" Type="http://schemas.openxmlformats.org/officeDocument/2006/relationships/ctrlProp" Target="../ctrlProps/ctrlProp931.xml"/><Relationship Id="rId79" Type="http://schemas.openxmlformats.org/officeDocument/2006/relationships/ctrlProp" Target="../ctrlProps/ctrlProp936.xml"/><Relationship Id="rId102" Type="http://schemas.openxmlformats.org/officeDocument/2006/relationships/ctrlProp" Target="../ctrlProps/ctrlProp959.xml"/><Relationship Id="rId123" Type="http://schemas.openxmlformats.org/officeDocument/2006/relationships/ctrlProp" Target="../ctrlProps/ctrlProp980.xml"/><Relationship Id="rId128" Type="http://schemas.openxmlformats.org/officeDocument/2006/relationships/ctrlProp" Target="../ctrlProps/ctrlProp985.xml"/><Relationship Id="rId5" Type="http://schemas.openxmlformats.org/officeDocument/2006/relationships/ctrlProp" Target="../ctrlProps/ctrlProp862.xml"/><Relationship Id="rId90" Type="http://schemas.openxmlformats.org/officeDocument/2006/relationships/ctrlProp" Target="../ctrlProps/ctrlProp947.xml"/><Relationship Id="rId95" Type="http://schemas.openxmlformats.org/officeDocument/2006/relationships/ctrlProp" Target="../ctrlProps/ctrlProp952.xml"/><Relationship Id="rId22" Type="http://schemas.openxmlformats.org/officeDocument/2006/relationships/ctrlProp" Target="../ctrlProps/ctrlProp879.xml"/><Relationship Id="rId27" Type="http://schemas.openxmlformats.org/officeDocument/2006/relationships/ctrlProp" Target="../ctrlProps/ctrlProp884.xml"/><Relationship Id="rId43" Type="http://schemas.openxmlformats.org/officeDocument/2006/relationships/ctrlProp" Target="../ctrlProps/ctrlProp900.xml"/><Relationship Id="rId48" Type="http://schemas.openxmlformats.org/officeDocument/2006/relationships/ctrlProp" Target="../ctrlProps/ctrlProp905.xml"/><Relationship Id="rId64" Type="http://schemas.openxmlformats.org/officeDocument/2006/relationships/ctrlProp" Target="../ctrlProps/ctrlProp921.xml"/><Relationship Id="rId69" Type="http://schemas.openxmlformats.org/officeDocument/2006/relationships/ctrlProp" Target="../ctrlProps/ctrlProp926.xml"/><Relationship Id="rId113" Type="http://schemas.openxmlformats.org/officeDocument/2006/relationships/ctrlProp" Target="../ctrlProps/ctrlProp970.xml"/><Relationship Id="rId118" Type="http://schemas.openxmlformats.org/officeDocument/2006/relationships/ctrlProp" Target="../ctrlProps/ctrlProp975.xml"/><Relationship Id="rId134" Type="http://schemas.openxmlformats.org/officeDocument/2006/relationships/ctrlProp" Target="../ctrlProps/ctrlProp991.xml"/><Relationship Id="rId139" Type="http://schemas.openxmlformats.org/officeDocument/2006/relationships/ctrlProp" Target="../ctrlProps/ctrlProp996.xml"/><Relationship Id="rId8" Type="http://schemas.openxmlformats.org/officeDocument/2006/relationships/ctrlProp" Target="../ctrlProps/ctrlProp865.xml"/><Relationship Id="rId51" Type="http://schemas.openxmlformats.org/officeDocument/2006/relationships/ctrlProp" Target="../ctrlProps/ctrlProp908.xml"/><Relationship Id="rId72" Type="http://schemas.openxmlformats.org/officeDocument/2006/relationships/ctrlProp" Target="../ctrlProps/ctrlProp929.xml"/><Relationship Id="rId80" Type="http://schemas.openxmlformats.org/officeDocument/2006/relationships/ctrlProp" Target="../ctrlProps/ctrlProp937.xml"/><Relationship Id="rId85" Type="http://schemas.openxmlformats.org/officeDocument/2006/relationships/ctrlProp" Target="../ctrlProps/ctrlProp942.xml"/><Relationship Id="rId93" Type="http://schemas.openxmlformats.org/officeDocument/2006/relationships/ctrlProp" Target="../ctrlProps/ctrlProp950.xml"/><Relationship Id="rId98" Type="http://schemas.openxmlformats.org/officeDocument/2006/relationships/ctrlProp" Target="../ctrlProps/ctrlProp955.xml"/><Relationship Id="rId121" Type="http://schemas.openxmlformats.org/officeDocument/2006/relationships/ctrlProp" Target="../ctrlProps/ctrlProp978.xml"/><Relationship Id="rId142" Type="http://schemas.openxmlformats.org/officeDocument/2006/relationships/ctrlProp" Target="../ctrlProps/ctrlProp999.xml"/><Relationship Id="rId3" Type="http://schemas.openxmlformats.org/officeDocument/2006/relationships/vmlDrawing" Target="../drawings/vmlDrawing10.vml"/><Relationship Id="rId12" Type="http://schemas.openxmlformats.org/officeDocument/2006/relationships/ctrlProp" Target="../ctrlProps/ctrlProp869.xml"/><Relationship Id="rId17" Type="http://schemas.openxmlformats.org/officeDocument/2006/relationships/ctrlProp" Target="../ctrlProps/ctrlProp874.xml"/><Relationship Id="rId25" Type="http://schemas.openxmlformats.org/officeDocument/2006/relationships/ctrlProp" Target="../ctrlProps/ctrlProp882.xml"/><Relationship Id="rId33" Type="http://schemas.openxmlformats.org/officeDocument/2006/relationships/ctrlProp" Target="../ctrlProps/ctrlProp890.xml"/><Relationship Id="rId38" Type="http://schemas.openxmlformats.org/officeDocument/2006/relationships/ctrlProp" Target="../ctrlProps/ctrlProp895.xml"/><Relationship Id="rId46" Type="http://schemas.openxmlformats.org/officeDocument/2006/relationships/ctrlProp" Target="../ctrlProps/ctrlProp903.xml"/><Relationship Id="rId59" Type="http://schemas.openxmlformats.org/officeDocument/2006/relationships/ctrlProp" Target="../ctrlProps/ctrlProp916.xml"/><Relationship Id="rId67" Type="http://schemas.openxmlformats.org/officeDocument/2006/relationships/ctrlProp" Target="../ctrlProps/ctrlProp924.xml"/><Relationship Id="rId103" Type="http://schemas.openxmlformats.org/officeDocument/2006/relationships/ctrlProp" Target="../ctrlProps/ctrlProp960.xml"/><Relationship Id="rId108" Type="http://schemas.openxmlformats.org/officeDocument/2006/relationships/ctrlProp" Target="../ctrlProps/ctrlProp965.xml"/><Relationship Id="rId116" Type="http://schemas.openxmlformats.org/officeDocument/2006/relationships/ctrlProp" Target="../ctrlProps/ctrlProp973.xml"/><Relationship Id="rId124" Type="http://schemas.openxmlformats.org/officeDocument/2006/relationships/ctrlProp" Target="../ctrlProps/ctrlProp981.xml"/><Relationship Id="rId129" Type="http://schemas.openxmlformats.org/officeDocument/2006/relationships/ctrlProp" Target="../ctrlProps/ctrlProp986.xml"/><Relationship Id="rId137" Type="http://schemas.openxmlformats.org/officeDocument/2006/relationships/ctrlProp" Target="../ctrlProps/ctrlProp994.xml"/><Relationship Id="rId20" Type="http://schemas.openxmlformats.org/officeDocument/2006/relationships/ctrlProp" Target="../ctrlProps/ctrlProp877.xml"/><Relationship Id="rId41" Type="http://schemas.openxmlformats.org/officeDocument/2006/relationships/ctrlProp" Target="../ctrlProps/ctrlProp898.xml"/><Relationship Id="rId54" Type="http://schemas.openxmlformats.org/officeDocument/2006/relationships/ctrlProp" Target="../ctrlProps/ctrlProp911.xml"/><Relationship Id="rId62" Type="http://schemas.openxmlformats.org/officeDocument/2006/relationships/ctrlProp" Target="../ctrlProps/ctrlProp919.xml"/><Relationship Id="rId70" Type="http://schemas.openxmlformats.org/officeDocument/2006/relationships/ctrlProp" Target="../ctrlProps/ctrlProp927.xml"/><Relationship Id="rId75" Type="http://schemas.openxmlformats.org/officeDocument/2006/relationships/ctrlProp" Target="../ctrlProps/ctrlProp932.xml"/><Relationship Id="rId83" Type="http://schemas.openxmlformats.org/officeDocument/2006/relationships/ctrlProp" Target="../ctrlProps/ctrlProp940.xml"/><Relationship Id="rId88" Type="http://schemas.openxmlformats.org/officeDocument/2006/relationships/ctrlProp" Target="../ctrlProps/ctrlProp945.xml"/><Relationship Id="rId91" Type="http://schemas.openxmlformats.org/officeDocument/2006/relationships/ctrlProp" Target="../ctrlProps/ctrlProp948.xml"/><Relationship Id="rId96" Type="http://schemas.openxmlformats.org/officeDocument/2006/relationships/ctrlProp" Target="../ctrlProps/ctrlProp953.xml"/><Relationship Id="rId111" Type="http://schemas.openxmlformats.org/officeDocument/2006/relationships/ctrlProp" Target="../ctrlProps/ctrlProp968.xml"/><Relationship Id="rId132" Type="http://schemas.openxmlformats.org/officeDocument/2006/relationships/ctrlProp" Target="../ctrlProps/ctrlProp989.xml"/><Relationship Id="rId140" Type="http://schemas.openxmlformats.org/officeDocument/2006/relationships/ctrlProp" Target="../ctrlProps/ctrlProp99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863.xml"/><Relationship Id="rId15" Type="http://schemas.openxmlformats.org/officeDocument/2006/relationships/ctrlProp" Target="../ctrlProps/ctrlProp872.xml"/><Relationship Id="rId23" Type="http://schemas.openxmlformats.org/officeDocument/2006/relationships/ctrlProp" Target="../ctrlProps/ctrlProp880.xml"/><Relationship Id="rId28" Type="http://schemas.openxmlformats.org/officeDocument/2006/relationships/ctrlProp" Target="../ctrlProps/ctrlProp885.xml"/><Relationship Id="rId36" Type="http://schemas.openxmlformats.org/officeDocument/2006/relationships/ctrlProp" Target="../ctrlProps/ctrlProp893.xml"/><Relationship Id="rId49" Type="http://schemas.openxmlformats.org/officeDocument/2006/relationships/ctrlProp" Target="../ctrlProps/ctrlProp906.xml"/><Relationship Id="rId57" Type="http://schemas.openxmlformats.org/officeDocument/2006/relationships/ctrlProp" Target="../ctrlProps/ctrlProp914.xml"/><Relationship Id="rId106" Type="http://schemas.openxmlformats.org/officeDocument/2006/relationships/ctrlProp" Target="../ctrlProps/ctrlProp963.xml"/><Relationship Id="rId114" Type="http://schemas.openxmlformats.org/officeDocument/2006/relationships/ctrlProp" Target="../ctrlProps/ctrlProp971.xml"/><Relationship Id="rId119" Type="http://schemas.openxmlformats.org/officeDocument/2006/relationships/ctrlProp" Target="../ctrlProps/ctrlProp976.xml"/><Relationship Id="rId127" Type="http://schemas.openxmlformats.org/officeDocument/2006/relationships/ctrlProp" Target="../ctrlProps/ctrlProp984.xml"/><Relationship Id="rId10" Type="http://schemas.openxmlformats.org/officeDocument/2006/relationships/ctrlProp" Target="../ctrlProps/ctrlProp867.xml"/><Relationship Id="rId31" Type="http://schemas.openxmlformats.org/officeDocument/2006/relationships/ctrlProp" Target="../ctrlProps/ctrlProp888.xml"/><Relationship Id="rId44" Type="http://schemas.openxmlformats.org/officeDocument/2006/relationships/ctrlProp" Target="../ctrlProps/ctrlProp901.xml"/><Relationship Id="rId52" Type="http://schemas.openxmlformats.org/officeDocument/2006/relationships/ctrlProp" Target="../ctrlProps/ctrlProp909.xml"/><Relationship Id="rId60" Type="http://schemas.openxmlformats.org/officeDocument/2006/relationships/ctrlProp" Target="../ctrlProps/ctrlProp917.xml"/><Relationship Id="rId65" Type="http://schemas.openxmlformats.org/officeDocument/2006/relationships/ctrlProp" Target="../ctrlProps/ctrlProp922.xml"/><Relationship Id="rId73" Type="http://schemas.openxmlformats.org/officeDocument/2006/relationships/ctrlProp" Target="../ctrlProps/ctrlProp930.xml"/><Relationship Id="rId78" Type="http://schemas.openxmlformats.org/officeDocument/2006/relationships/ctrlProp" Target="../ctrlProps/ctrlProp935.xml"/><Relationship Id="rId81" Type="http://schemas.openxmlformats.org/officeDocument/2006/relationships/ctrlProp" Target="../ctrlProps/ctrlProp938.xml"/><Relationship Id="rId86" Type="http://schemas.openxmlformats.org/officeDocument/2006/relationships/ctrlProp" Target="../ctrlProps/ctrlProp943.xml"/><Relationship Id="rId94" Type="http://schemas.openxmlformats.org/officeDocument/2006/relationships/ctrlProp" Target="../ctrlProps/ctrlProp951.xml"/><Relationship Id="rId99" Type="http://schemas.openxmlformats.org/officeDocument/2006/relationships/ctrlProp" Target="../ctrlProps/ctrlProp956.xml"/><Relationship Id="rId101" Type="http://schemas.openxmlformats.org/officeDocument/2006/relationships/ctrlProp" Target="../ctrlProps/ctrlProp958.xml"/><Relationship Id="rId122" Type="http://schemas.openxmlformats.org/officeDocument/2006/relationships/ctrlProp" Target="../ctrlProps/ctrlProp979.xml"/><Relationship Id="rId130" Type="http://schemas.openxmlformats.org/officeDocument/2006/relationships/ctrlProp" Target="../ctrlProps/ctrlProp987.xml"/><Relationship Id="rId135" Type="http://schemas.openxmlformats.org/officeDocument/2006/relationships/ctrlProp" Target="../ctrlProps/ctrlProp992.xml"/><Relationship Id="rId143" Type="http://schemas.openxmlformats.org/officeDocument/2006/relationships/ctrlProp" Target="../ctrlProps/ctrlProp1000.xml"/><Relationship Id="rId4" Type="http://schemas.openxmlformats.org/officeDocument/2006/relationships/ctrlProp" Target="../ctrlProps/ctrlProp861.xml"/><Relationship Id="rId9" Type="http://schemas.openxmlformats.org/officeDocument/2006/relationships/ctrlProp" Target="../ctrlProps/ctrlProp866.xml"/><Relationship Id="rId13" Type="http://schemas.openxmlformats.org/officeDocument/2006/relationships/ctrlProp" Target="../ctrlProps/ctrlProp870.xml"/><Relationship Id="rId18" Type="http://schemas.openxmlformats.org/officeDocument/2006/relationships/ctrlProp" Target="../ctrlProps/ctrlProp875.xml"/><Relationship Id="rId39" Type="http://schemas.openxmlformats.org/officeDocument/2006/relationships/ctrlProp" Target="../ctrlProps/ctrlProp896.xml"/><Relationship Id="rId109" Type="http://schemas.openxmlformats.org/officeDocument/2006/relationships/ctrlProp" Target="../ctrlProps/ctrlProp966.xml"/><Relationship Id="rId34" Type="http://schemas.openxmlformats.org/officeDocument/2006/relationships/ctrlProp" Target="../ctrlProps/ctrlProp891.xml"/><Relationship Id="rId50" Type="http://schemas.openxmlformats.org/officeDocument/2006/relationships/ctrlProp" Target="../ctrlProps/ctrlProp907.xml"/><Relationship Id="rId55" Type="http://schemas.openxmlformats.org/officeDocument/2006/relationships/ctrlProp" Target="../ctrlProps/ctrlProp912.xml"/><Relationship Id="rId76" Type="http://schemas.openxmlformats.org/officeDocument/2006/relationships/ctrlProp" Target="../ctrlProps/ctrlProp933.xml"/><Relationship Id="rId97" Type="http://schemas.openxmlformats.org/officeDocument/2006/relationships/ctrlProp" Target="../ctrlProps/ctrlProp954.xml"/><Relationship Id="rId104" Type="http://schemas.openxmlformats.org/officeDocument/2006/relationships/ctrlProp" Target="../ctrlProps/ctrlProp961.xml"/><Relationship Id="rId120" Type="http://schemas.openxmlformats.org/officeDocument/2006/relationships/ctrlProp" Target="../ctrlProps/ctrlProp977.xml"/><Relationship Id="rId125" Type="http://schemas.openxmlformats.org/officeDocument/2006/relationships/ctrlProp" Target="../ctrlProps/ctrlProp982.xml"/><Relationship Id="rId141" Type="http://schemas.openxmlformats.org/officeDocument/2006/relationships/ctrlProp" Target="../ctrlProps/ctrlProp998.xml"/><Relationship Id="rId7" Type="http://schemas.openxmlformats.org/officeDocument/2006/relationships/ctrlProp" Target="../ctrlProps/ctrlProp864.xml"/><Relationship Id="rId71" Type="http://schemas.openxmlformats.org/officeDocument/2006/relationships/ctrlProp" Target="../ctrlProps/ctrlProp928.xml"/><Relationship Id="rId92" Type="http://schemas.openxmlformats.org/officeDocument/2006/relationships/ctrlProp" Target="../ctrlProps/ctrlProp949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886.xml"/><Relationship Id="rId24" Type="http://schemas.openxmlformats.org/officeDocument/2006/relationships/ctrlProp" Target="../ctrlProps/ctrlProp881.xml"/><Relationship Id="rId40" Type="http://schemas.openxmlformats.org/officeDocument/2006/relationships/ctrlProp" Target="../ctrlProps/ctrlProp897.xml"/><Relationship Id="rId45" Type="http://schemas.openxmlformats.org/officeDocument/2006/relationships/ctrlProp" Target="../ctrlProps/ctrlProp902.xml"/><Relationship Id="rId66" Type="http://schemas.openxmlformats.org/officeDocument/2006/relationships/ctrlProp" Target="../ctrlProps/ctrlProp923.xml"/><Relationship Id="rId87" Type="http://schemas.openxmlformats.org/officeDocument/2006/relationships/ctrlProp" Target="../ctrlProps/ctrlProp944.xml"/><Relationship Id="rId110" Type="http://schemas.openxmlformats.org/officeDocument/2006/relationships/ctrlProp" Target="../ctrlProps/ctrlProp967.xml"/><Relationship Id="rId115" Type="http://schemas.openxmlformats.org/officeDocument/2006/relationships/ctrlProp" Target="../ctrlProps/ctrlProp972.xml"/><Relationship Id="rId131" Type="http://schemas.openxmlformats.org/officeDocument/2006/relationships/ctrlProp" Target="../ctrlProps/ctrlProp988.xml"/><Relationship Id="rId136" Type="http://schemas.openxmlformats.org/officeDocument/2006/relationships/ctrlProp" Target="../ctrlProps/ctrlProp993.xml"/><Relationship Id="rId61" Type="http://schemas.openxmlformats.org/officeDocument/2006/relationships/ctrlProp" Target="../ctrlProps/ctrlProp918.xml"/><Relationship Id="rId82" Type="http://schemas.openxmlformats.org/officeDocument/2006/relationships/ctrlProp" Target="../ctrlProps/ctrlProp939.xml"/><Relationship Id="rId19" Type="http://schemas.openxmlformats.org/officeDocument/2006/relationships/ctrlProp" Target="../ctrlProps/ctrlProp876.xml"/><Relationship Id="rId14" Type="http://schemas.openxmlformats.org/officeDocument/2006/relationships/ctrlProp" Target="../ctrlProps/ctrlProp871.xml"/><Relationship Id="rId30" Type="http://schemas.openxmlformats.org/officeDocument/2006/relationships/ctrlProp" Target="../ctrlProps/ctrlProp887.xml"/><Relationship Id="rId35" Type="http://schemas.openxmlformats.org/officeDocument/2006/relationships/ctrlProp" Target="../ctrlProps/ctrlProp892.xml"/><Relationship Id="rId56" Type="http://schemas.openxmlformats.org/officeDocument/2006/relationships/ctrlProp" Target="../ctrlProps/ctrlProp913.xml"/><Relationship Id="rId77" Type="http://schemas.openxmlformats.org/officeDocument/2006/relationships/ctrlProp" Target="../ctrlProps/ctrlProp934.xml"/><Relationship Id="rId100" Type="http://schemas.openxmlformats.org/officeDocument/2006/relationships/ctrlProp" Target="../ctrlProps/ctrlProp957.xml"/><Relationship Id="rId105" Type="http://schemas.openxmlformats.org/officeDocument/2006/relationships/ctrlProp" Target="../ctrlProps/ctrlProp962.xml"/><Relationship Id="rId126" Type="http://schemas.openxmlformats.org/officeDocument/2006/relationships/ctrlProp" Target="../ctrlProps/ctrlProp9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44287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2021-04-01(목) 오전 00:00</v>
      </c>
      <c r="C15" s="202"/>
      <c r="D15" s="198" t="str">
        <f>TEXT($G$1, "[$-ko-KR]yyyy-mm-dd(ddd) ") &amp; "오후 14:00"</f>
        <v>2021-04-01(목) 오후 14:00</v>
      </c>
      <c r="E15" s="199"/>
      <c r="F15" s="200"/>
      <c r="G15" s="198" t="str">
        <f>TEXT($G$1, "[$-ko-KR]yyyy-mm-dd(ddd) ") &amp; "오후 19:00"</f>
        <v>2021-04-01(목) 오후 19:00</v>
      </c>
      <c r="H15" s="199"/>
      <c r="I15" s="200"/>
      <c r="J15" s="198" t="str">
        <f>TEXT($G$1, "[$-ko-KR]yyyy-mm-dd(ddd) ") &amp; "오후 21:00"</f>
        <v>2021-04-01(목) 오후 21:00</v>
      </c>
      <c r="K15" s="199"/>
      <c r="L15" s="200"/>
      <c r="M15" s="198" t="str">
        <f>TEXT($G$1+1, "[$-ko-KR]yyyy-mm-dd(ddd) ") &amp; "오전 00:00"</f>
        <v>2021-04-02(금)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2021-04-01(목) 오전 00:00</v>
      </c>
      <c r="C42" s="197"/>
      <c r="D42" s="198" t="str">
        <f>TEXT($G$1, "[$-ko-KR]yyyy-mm-dd(ddd) ") &amp; "오후 14:00"</f>
        <v>2021-04-01(목) 오후 14:00</v>
      </c>
      <c r="E42" s="199"/>
      <c r="F42" s="200"/>
      <c r="G42" s="198" t="str">
        <f>TEXT($G$1, "[$-ko-KR]yyyy-mm-dd(ddd) ") &amp; "오후 19:00"</f>
        <v>2021-04-01(목) 오후 19:00</v>
      </c>
      <c r="H42" s="199"/>
      <c r="I42" s="200"/>
      <c r="J42" s="198" t="str">
        <f>TEXT($G$1, "[$-ko-KR]yyyy-mm-dd(ddd) ") &amp; "오후 21:00"</f>
        <v>2021-04-01(목) 오후 21:00</v>
      </c>
      <c r="K42" s="199"/>
      <c r="L42" s="200"/>
      <c r="M42" s="198" t="str">
        <f>TEXT($G$1+1, "[$-ko-KR]yyyy-mm-dd(ddd) ") &amp; "오전 00:00"</f>
        <v>2021-04-02(금)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2021-04-01(목) 오전 00:00</v>
      </c>
      <c r="C69" s="197"/>
      <c r="D69" s="198" t="str">
        <f>TEXT($G$1, "[$-ko-KR]yyyy-mm-dd(ddd) ") &amp; "오후 14:00"</f>
        <v>2021-04-01(목) 오후 14:00</v>
      </c>
      <c r="E69" s="199"/>
      <c r="F69" s="200"/>
      <c r="G69" s="198" t="str">
        <f>TEXT($G$1, "[$-ko-KR]yyyy-mm-dd(ddd) ") &amp; "오후 19:00"</f>
        <v>2021-04-01(목) 오후 19:00</v>
      </c>
      <c r="H69" s="199"/>
      <c r="I69" s="200"/>
      <c r="J69" s="198" t="str">
        <f>TEXT($G$1, "[$-ko-KR]yyyy-mm-dd(ddd) ") &amp; "오후 21:00"</f>
        <v>2021-04-01(목) 오후 21:00</v>
      </c>
      <c r="K69" s="199"/>
      <c r="L69" s="200"/>
      <c r="M69" s="198" t="str">
        <f>TEXT($G$1+1, "[$-ko-KR]yyyy-mm-dd(ddd) ") &amp; "오전 00:00"</f>
        <v>2021-04-02(금)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2021-04-01(목) 오전 00:00</v>
      </c>
      <c r="C96" s="197"/>
      <c r="D96" s="198" t="str">
        <f>TEXT($G$1, "[$-ko-KR]yyyy-mm-dd(ddd) ") &amp; "오후 14:00"</f>
        <v>2021-04-01(목) 오후 14:00</v>
      </c>
      <c r="E96" s="199"/>
      <c r="F96" s="200"/>
      <c r="G96" s="198" t="str">
        <f>TEXT($G$1, "[$-ko-KR]yyyy-mm-dd(ddd) ") &amp; "오후 19:00"</f>
        <v>2021-04-01(목) 오후 19:00</v>
      </c>
      <c r="H96" s="199"/>
      <c r="I96" s="200"/>
      <c r="J96" s="198" t="str">
        <f>TEXT($G$1, "[$-ko-KR]yyyy-mm-dd(ddd) ") &amp; "오후 21:00"</f>
        <v>2021-04-01(목) 오후 21:00</v>
      </c>
      <c r="K96" s="199"/>
      <c r="L96" s="200"/>
      <c r="M96" s="198" t="str">
        <f>TEXT($G$1+1, "[$-ko-KR]yyyy-mm-dd(ddd) ") &amp; "오전 00:00"</f>
        <v>2021-04-02(금)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2021-04-01(목) 오전 00:00</v>
      </c>
      <c r="C123" s="197"/>
      <c r="D123" s="198" t="str">
        <f>TEXT($G$1, "[$-ko-KR]yyyy-mm-dd(ddd) ") &amp; "오후 14:00"</f>
        <v>2021-04-01(목) 오후 14:00</v>
      </c>
      <c r="E123" s="199"/>
      <c r="F123" s="200"/>
      <c r="G123" s="198" t="str">
        <f>TEXT($G$1, "[$-ko-KR]yyyy-mm-dd(ddd) ") &amp; "오후 19:00"</f>
        <v>2021-04-01(목) 오후 19:00</v>
      </c>
      <c r="H123" s="199"/>
      <c r="I123" s="200"/>
      <c r="J123" s="198" t="str">
        <f>TEXT($G$1, "[$-ko-KR]yyyy-mm-dd(ddd) ") &amp; "오후 21:00"</f>
        <v>2021-04-01(목) 오후 21:00</v>
      </c>
      <c r="K123" s="199"/>
      <c r="L123" s="200"/>
      <c r="M123" s="198" t="str">
        <f>TEXT($G$1+1, "[$-ko-KR]yyyy-mm-dd(ddd) ") &amp; "오전 00:00"</f>
        <v>2021-04-02(금)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2021-04-01(목) 오전 00:00</v>
      </c>
      <c r="C150" s="197"/>
      <c r="D150" s="198" t="str">
        <f>TEXT($G$1, "[$-ko-KR]yyyy-mm-dd(ddd) ") &amp; "오후 14:00"</f>
        <v>2021-04-01(목) 오후 14:00</v>
      </c>
      <c r="E150" s="199"/>
      <c r="F150" s="200"/>
      <c r="G150" s="198" t="str">
        <f>TEXT($G$1, "[$-ko-KR]yyyy-mm-dd(ddd) ") &amp; "오후 19:00"</f>
        <v>2021-04-01(목) 오후 19:00</v>
      </c>
      <c r="H150" s="199"/>
      <c r="I150" s="200"/>
      <c r="J150" s="198" t="str">
        <f>TEXT($G$1, "[$-ko-KR]yyyy-mm-dd(ddd) ") &amp; "오후 21:00"</f>
        <v>2021-04-01(목) 오후 21:00</v>
      </c>
      <c r="K150" s="199"/>
      <c r="L150" s="200"/>
      <c r="M150" s="198" t="str">
        <f>TEXT($G$1+1, "[$-ko-KR]yyyy-mm-dd(ddd) ") &amp; "오전 00:00"</f>
        <v>2021-04-02(금)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2021-04-01(목) 오전 00:00</v>
      </c>
      <c r="C177" s="197"/>
      <c r="D177" s="198" t="str">
        <f>TEXT($G$1, "[$-ko-KR]yyyy-mm-dd(ddd) ") &amp; "오후 14:00"</f>
        <v>2021-04-01(목) 오후 14:00</v>
      </c>
      <c r="E177" s="199"/>
      <c r="F177" s="200"/>
      <c r="G177" s="198" t="str">
        <f>TEXT($G$1, "[$-ko-KR]yyyy-mm-dd(ddd) ") &amp; "오후 19:00"</f>
        <v>2021-04-01(목) 오후 19:00</v>
      </c>
      <c r="H177" s="199"/>
      <c r="I177" s="200"/>
      <c r="J177" s="198" t="str">
        <f>TEXT($G$1, "[$-ko-KR]yyyy-mm-dd(ddd) ") &amp; "오후 21:00"</f>
        <v>2021-04-01(목) 오후 21:00</v>
      </c>
      <c r="K177" s="199"/>
      <c r="L177" s="200"/>
      <c r="M177" s="198" t="str">
        <f>TEXT($G$1+1, "[$-ko-KR]yyyy-mm-dd(ddd) ") &amp; "오전 00:00"</f>
        <v>2021-04-02(금)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5" priority="157">
      <formula>AND($N17 &gt; 0, ISNUMBER($N17))</formula>
    </cfRule>
    <cfRule type="expression" dxfId="1414" priority="158">
      <formula>AND($N17 = 0 * ISNUMBER($N17))</formula>
    </cfRule>
    <cfRule type="expression" dxfId="1413" priority="159">
      <formula>AND($N17 &lt; 0, ISNUMBER($N17))</formula>
    </cfRule>
  </conditionalFormatting>
  <conditionalFormatting sqref="A17:F36">
    <cfRule type="expression" dxfId="1412" priority="166">
      <formula>AND($E17 &gt; 0, ISNUMBER($E17))</formula>
    </cfRule>
    <cfRule type="expression" dxfId="1411" priority="167">
      <formula>AND($E17 = 0 * ISNUMBER($E17))</formula>
    </cfRule>
    <cfRule type="expression" dxfId="1410" priority="168">
      <formula>AND($E17 &lt; 0, ISNUMBER($E17))</formula>
    </cfRule>
  </conditionalFormatting>
  <conditionalFormatting sqref="A17:C36 G17:I36">
    <cfRule type="expression" dxfId="1409" priority="163">
      <formula>AND($H17 &gt; 0, ISNUMBER($H17))</formula>
    </cfRule>
    <cfRule type="expression" dxfId="1408" priority="164">
      <formula>AND($H17 = 0 * ISNUMBER($H17))</formula>
    </cfRule>
    <cfRule type="expression" dxfId="1407" priority="165">
      <formula>AND($H17 &lt; 0, ISNUMBER($H17))</formula>
    </cfRule>
  </conditionalFormatting>
  <conditionalFormatting sqref="A17:C36 J17:L36">
    <cfRule type="expression" dxfId="1406" priority="160">
      <formula>AND($K17 &gt; 0, ISNUMBER($K17))</formula>
    </cfRule>
    <cfRule type="expression" dxfId="1405" priority="161">
      <formula>AND($K17 = 0 * ISNUMBER($K17))</formula>
    </cfRule>
    <cfRule type="expression" dxfId="1404" priority="162">
      <formula>AND($K17 &lt; 0, ISNUMBER($K17))</formula>
    </cfRule>
  </conditionalFormatting>
  <conditionalFormatting sqref="D15:F16 E37:F37">
    <cfRule type="expression" dxfId="1403" priority="154">
      <formula>$E$37 &gt; 0</formula>
    </cfRule>
    <cfRule type="expression" dxfId="1402" priority="155">
      <formula>$E$37 = 0</formula>
    </cfRule>
    <cfRule type="expression" dxfId="1401" priority="156">
      <formula>$E$37 &lt; 0</formula>
    </cfRule>
  </conditionalFormatting>
  <conditionalFormatting sqref="G15:I16 H37:I37">
    <cfRule type="expression" dxfId="1400" priority="151">
      <formula>$H$37 &gt; 0</formula>
    </cfRule>
    <cfRule type="expression" dxfId="1399" priority="152">
      <formula>$H$37 = 0</formula>
    </cfRule>
    <cfRule type="expression" dxfId="1398" priority="153">
      <formula>$H$37 &lt; 0</formula>
    </cfRule>
  </conditionalFormatting>
  <conditionalFormatting sqref="J15:L16 K37:L37">
    <cfRule type="expression" dxfId="1397" priority="148">
      <formula>$K$37 &gt; 0</formula>
    </cfRule>
    <cfRule type="expression" dxfId="1396" priority="149">
      <formula>$K$37 = 0</formula>
    </cfRule>
    <cfRule type="expression" dxfId="1395" priority="150">
      <formula>$K$37 &lt; 0</formula>
    </cfRule>
  </conditionalFormatting>
  <conditionalFormatting sqref="M15:O16 N37:O37">
    <cfRule type="expression" dxfId="1394" priority="145">
      <formula>$N$37 &gt; 0</formula>
    </cfRule>
    <cfRule type="expression" dxfId="1393" priority="146">
      <formula>$N$37 = 0</formula>
    </cfRule>
    <cfRule type="expression" dxfId="1392" priority="147">
      <formula>$N$37 &lt; 0</formula>
    </cfRule>
  </conditionalFormatting>
  <conditionalFormatting sqref="A44:C63 M44:O63">
    <cfRule type="expression" dxfId="1391" priority="133">
      <formula>AND($N44 &gt; 0, ISNUMBER($N44))</formula>
    </cfRule>
    <cfRule type="expression" dxfId="1390" priority="134">
      <formula>AND($N44 = 0 * ISNUMBER($N44))</formula>
    </cfRule>
    <cfRule type="expression" dxfId="1389" priority="135">
      <formula>AND($N44 &lt; 0, ISNUMBER($N44))</formula>
    </cfRule>
  </conditionalFormatting>
  <conditionalFormatting sqref="A44:F63">
    <cfRule type="expression" dxfId="1388" priority="142">
      <formula>AND($E44 &gt; 0, ISNUMBER($E44))</formula>
    </cfRule>
    <cfRule type="expression" dxfId="1387" priority="143">
      <formula>AND($E44 = 0 * ISNUMBER($E44))</formula>
    </cfRule>
    <cfRule type="expression" dxfId="1386" priority="144">
      <formula>AND($E44 &lt; 0, ISNUMBER($E44))</formula>
    </cfRule>
  </conditionalFormatting>
  <conditionalFormatting sqref="A44:C63 G44:I63">
    <cfRule type="expression" dxfId="1385" priority="139">
      <formula>AND($H44 &gt; 0, ISNUMBER($H44))</formula>
    </cfRule>
    <cfRule type="expression" dxfId="1384" priority="140">
      <formula>AND($H44 = 0 * ISNUMBER($H44))</formula>
    </cfRule>
    <cfRule type="expression" dxfId="1383" priority="141">
      <formula>AND($H44 &lt; 0, ISNUMBER($H44))</formula>
    </cfRule>
  </conditionalFormatting>
  <conditionalFormatting sqref="A44:C63 J44:L63">
    <cfRule type="expression" dxfId="1382" priority="136">
      <formula>AND($K44 &gt; 0, ISNUMBER($K44))</formula>
    </cfRule>
    <cfRule type="expression" dxfId="1381" priority="137">
      <formula>AND($K44 = 0 * ISNUMBER($K44))</formula>
    </cfRule>
    <cfRule type="expression" dxfId="1380" priority="138">
      <formula>AND($K44 &lt; 0, ISNUMBER($K44))</formula>
    </cfRule>
  </conditionalFormatting>
  <conditionalFormatting sqref="D42:F43 E64:F64">
    <cfRule type="expression" dxfId="1379" priority="130">
      <formula>$E$64 &gt; 0</formula>
    </cfRule>
    <cfRule type="expression" dxfId="1378" priority="131">
      <formula>$E$64 = 0</formula>
    </cfRule>
    <cfRule type="expression" dxfId="1377" priority="132">
      <formula>$E$64 &lt; 0</formula>
    </cfRule>
  </conditionalFormatting>
  <conditionalFormatting sqref="G42:I43 H64:I64">
    <cfRule type="expression" dxfId="1376" priority="127">
      <formula>$H$64 &gt; 0</formula>
    </cfRule>
    <cfRule type="expression" dxfId="1375" priority="128">
      <formula>$H$64 = 0</formula>
    </cfRule>
    <cfRule type="expression" dxfId="1374" priority="129">
      <formula>$H$64 &lt; 0</formula>
    </cfRule>
  </conditionalFormatting>
  <conditionalFormatting sqref="J42:L43 K64:L64">
    <cfRule type="expression" dxfId="1373" priority="124">
      <formula>$K$64 &gt; 0</formula>
    </cfRule>
    <cfRule type="expression" dxfId="1372" priority="125">
      <formula>$K$64 = 0</formula>
    </cfRule>
    <cfRule type="expression" dxfId="1371" priority="126">
      <formula>$K$64 &lt; 0</formula>
    </cfRule>
  </conditionalFormatting>
  <conditionalFormatting sqref="M42:O43 N64:O64">
    <cfRule type="expression" dxfId="1370" priority="121">
      <formula>$N$64 &gt; 0</formula>
    </cfRule>
    <cfRule type="expression" dxfId="1369" priority="122">
      <formula>$N$64 = 0</formula>
    </cfRule>
    <cfRule type="expression" dxfId="1368" priority="123">
      <formula>$N$64 &lt; 0</formula>
    </cfRule>
  </conditionalFormatting>
  <conditionalFormatting sqref="A71:C90 M71:O90">
    <cfRule type="expression" dxfId="1367" priority="109">
      <formula>AND($N71 &gt; 0, ISNUMBER($N71))</formula>
    </cfRule>
    <cfRule type="expression" dxfId="1366" priority="110">
      <formula>AND($N71 = 0 * ISNUMBER($N71))</formula>
    </cfRule>
    <cfRule type="expression" dxfId="1365" priority="111">
      <formula>AND($N71 &lt; 0, ISNUMBER($N71))</formula>
    </cfRule>
  </conditionalFormatting>
  <conditionalFormatting sqref="A71:F90">
    <cfRule type="expression" dxfId="1364" priority="118">
      <formula>AND($E71 &gt; 0, ISNUMBER($E71))</formula>
    </cfRule>
    <cfRule type="expression" dxfId="1363" priority="119">
      <formula>AND($E71 = 0 * ISNUMBER($E71))</formula>
    </cfRule>
    <cfRule type="expression" dxfId="1362" priority="120">
      <formula>AND($E71 &lt; 0, ISNUMBER($E71))</formula>
    </cfRule>
  </conditionalFormatting>
  <conditionalFormatting sqref="A71:C90 G71:I90">
    <cfRule type="expression" dxfId="1361" priority="115">
      <formula>AND($H71 &gt; 0, ISNUMBER($H71))</formula>
    </cfRule>
    <cfRule type="expression" dxfId="1360" priority="116">
      <formula>AND($H71 = 0 * ISNUMBER($H71))</formula>
    </cfRule>
    <cfRule type="expression" dxfId="1359" priority="117">
      <formula>AND($H71 &lt; 0, ISNUMBER($H71))</formula>
    </cfRule>
  </conditionalFormatting>
  <conditionalFormatting sqref="A71:C90 J71:L90">
    <cfRule type="expression" dxfId="1358" priority="112">
      <formula>AND($K71 &gt; 0, ISNUMBER($K71))</formula>
    </cfRule>
    <cfRule type="expression" dxfId="1357" priority="113">
      <formula>AND($K71 = 0 * ISNUMBER($K71))</formula>
    </cfRule>
    <cfRule type="expression" dxfId="1356" priority="114">
      <formula>AND($K71 &lt; 0, ISNUMBER($K71))</formula>
    </cfRule>
  </conditionalFormatting>
  <conditionalFormatting sqref="D69:F70 E91:F91">
    <cfRule type="expression" dxfId="1355" priority="106">
      <formula>$E$91 &gt; 0</formula>
    </cfRule>
    <cfRule type="expression" dxfId="1354" priority="107">
      <formula>$E$91 = 0</formula>
    </cfRule>
    <cfRule type="expression" dxfId="1353" priority="108">
      <formula>$E$91 &lt; 0</formula>
    </cfRule>
  </conditionalFormatting>
  <conditionalFormatting sqref="G69:I70 H91:I91">
    <cfRule type="expression" dxfId="1352" priority="103">
      <formula>$H$91 &gt; 0</formula>
    </cfRule>
    <cfRule type="expression" dxfId="1351" priority="104">
      <formula>$H$91 = 0</formula>
    </cfRule>
    <cfRule type="expression" dxfId="1350" priority="105">
      <formula>$H$91 &lt; 0</formula>
    </cfRule>
  </conditionalFormatting>
  <conditionalFormatting sqref="J69:L70 K91:L91">
    <cfRule type="expression" dxfId="1349" priority="100">
      <formula>$K$91 &gt; 0</formula>
    </cfRule>
    <cfRule type="expression" dxfId="1348" priority="101">
      <formula>$K$91 = 0</formula>
    </cfRule>
    <cfRule type="expression" dxfId="1347" priority="102">
      <formula>$K$91 &lt; 0</formula>
    </cfRule>
  </conditionalFormatting>
  <conditionalFormatting sqref="M69:O70 N91:O91">
    <cfRule type="expression" dxfId="1346" priority="97">
      <formula>$N$91 &gt; 0</formula>
    </cfRule>
    <cfRule type="expression" dxfId="1345" priority="98">
      <formula>$N$91 = 0</formula>
    </cfRule>
    <cfRule type="expression" dxfId="1344" priority="99">
      <formula>$N$91 &lt; 0</formula>
    </cfRule>
  </conditionalFormatting>
  <conditionalFormatting sqref="A98:C117 M98:O117">
    <cfRule type="expression" dxfId="1343" priority="85">
      <formula>AND($N98 &gt; 0, ISNUMBER($N98))</formula>
    </cfRule>
    <cfRule type="expression" dxfId="1342" priority="86">
      <formula>AND($N98 = 0 * ISNUMBER($N98))</formula>
    </cfRule>
    <cfRule type="expression" dxfId="1341" priority="87">
      <formula>AND($N98 &lt; 0, ISNUMBER($N98))</formula>
    </cfRule>
  </conditionalFormatting>
  <conditionalFormatting sqref="A98:F117">
    <cfRule type="expression" dxfId="1340" priority="94">
      <formula>AND($E98 &gt; 0, ISNUMBER($E98))</formula>
    </cfRule>
    <cfRule type="expression" dxfId="1339" priority="95">
      <formula>AND($E98 = 0 * ISNUMBER($E98))</formula>
    </cfRule>
    <cfRule type="expression" dxfId="1338" priority="96">
      <formula>AND($E98 &lt; 0, ISNUMBER($E98))</formula>
    </cfRule>
  </conditionalFormatting>
  <conditionalFormatting sqref="A98:C117 G98:I117">
    <cfRule type="expression" dxfId="1337" priority="91">
      <formula>AND($H98 &gt; 0, ISNUMBER($H98))</formula>
    </cfRule>
    <cfRule type="expression" dxfId="1336" priority="92">
      <formula>AND($H98 = 0 * ISNUMBER($H98))</formula>
    </cfRule>
    <cfRule type="expression" dxfId="1335" priority="93">
      <formula>AND($H98 &lt; 0, ISNUMBER($H98))</formula>
    </cfRule>
  </conditionalFormatting>
  <conditionalFormatting sqref="A98:C117 J98:L117">
    <cfRule type="expression" dxfId="1334" priority="88">
      <formula>AND($K98 &gt; 0, ISNUMBER($K98))</formula>
    </cfRule>
    <cfRule type="expression" dxfId="1333" priority="89">
      <formula>AND($K98 = 0 * ISNUMBER($K98))</formula>
    </cfRule>
    <cfRule type="expression" dxfId="1332" priority="90">
      <formula>AND($K98 &lt; 0, ISNUMBER($K98))</formula>
    </cfRule>
  </conditionalFormatting>
  <conditionalFormatting sqref="D96:F97 E118:F118">
    <cfRule type="expression" dxfId="1331" priority="82">
      <formula>$E$118 &gt; 0</formula>
    </cfRule>
    <cfRule type="expression" dxfId="1330" priority="83">
      <formula>$E$118 = 0</formula>
    </cfRule>
    <cfRule type="expression" dxfId="1329" priority="84">
      <formula>$E$118 &lt; 0</formula>
    </cfRule>
  </conditionalFormatting>
  <conditionalFormatting sqref="G96:I97 H118:I118">
    <cfRule type="expression" dxfId="1328" priority="79">
      <formula>$H$118 &gt; 0</formula>
    </cfRule>
    <cfRule type="expression" dxfId="1327" priority="80">
      <formula>$H$118 = 0</formula>
    </cfRule>
    <cfRule type="expression" dxfId="1326" priority="81">
      <formula>$H$118 &lt; 0</formula>
    </cfRule>
  </conditionalFormatting>
  <conditionalFormatting sqref="J96:L97 K118:L118">
    <cfRule type="expression" dxfId="1325" priority="76">
      <formula>$K$118 &gt; 0</formula>
    </cfRule>
    <cfRule type="expression" dxfId="1324" priority="77">
      <formula>$K$118 = 0</formula>
    </cfRule>
    <cfRule type="expression" dxfId="1323" priority="78">
      <formula>$K$118 &lt; 0</formula>
    </cfRule>
  </conditionalFormatting>
  <conditionalFormatting sqref="M96:O97 N118:O118">
    <cfRule type="expression" dxfId="1322" priority="73">
      <formula>$N$118 &gt; 0</formula>
    </cfRule>
    <cfRule type="expression" dxfId="1321" priority="74">
      <formula>$N$118 = 0</formula>
    </cfRule>
    <cfRule type="expression" dxfId="1320" priority="75">
      <formula>$N$118 &lt; 0</formula>
    </cfRule>
  </conditionalFormatting>
  <conditionalFormatting sqref="A125:C144 M125:O144">
    <cfRule type="expression" dxfId="1319" priority="61">
      <formula>AND($N125 &gt; 0, ISNUMBER($N125))</formula>
    </cfRule>
    <cfRule type="expression" dxfId="1318" priority="62">
      <formula>AND($N125 = 0 * ISNUMBER($N125))</formula>
    </cfRule>
    <cfRule type="expression" dxfId="1317" priority="63">
      <formula>AND($N125 &lt; 0, ISNUMBER($N125))</formula>
    </cfRule>
  </conditionalFormatting>
  <conditionalFormatting sqref="A125:F144">
    <cfRule type="expression" dxfId="1316" priority="70">
      <formula>AND($E125 &gt; 0, ISNUMBER($E125))</formula>
    </cfRule>
    <cfRule type="expression" dxfId="1315" priority="71">
      <formula>AND($E125 = 0 * ISNUMBER($E125))</formula>
    </cfRule>
    <cfRule type="expression" dxfId="1314" priority="72">
      <formula>AND($E125 &lt; 0, ISNUMBER($E125))</formula>
    </cfRule>
  </conditionalFormatting>
  <conditionalFormatting sqref="A125:C144 G125:I144">
    <cfRule type="expression" dxfId="1313" priority="67">
      <formula>AND($H125 &gt; 0, ISNUMBER($H125))</formula>
    </cfRule>
    <cfRule type="expression" dxfId="1312" priority="68">
      <formula>AND($H125 = 0 * ISNUMBER($H125))</formula>
    </cfRule>
    <cfRule type="expression" dxfId="1311" priority="69">
      <formula>AND($H125 &lt; 0, ISNUMBER($H125))</formula>
    </cfRule>
  </conditionalFormatting>
  <conditionalFormatting sqref="A125:C144 J125:L144">
    <cfRule type="expression" dxfId="1310" priority="64">
      <formula>AND($K125 &gt; 0, ISNUMBER($K125))</formula>
    </cfRule>
    <cfRule type="expression" dxfId="1309" priority="65">
      <formula>AND($K125 = 0 * ISNUMBER($K125))</formula>
    </cfRule>
    <cfRule type="expression" dxfId="1308" priority="66">
      <formula>AND($K125 &lt; 0, ISNUMBER($K125))</formula>
    </cfRule>
  </conditionalFormatting>
  <conditionalFormatting sqref="D123:F124 E145:F145">
    <cfRule type="expression" dxfId="1307" priority="58">
      <formula>$E$145 &gt; 0</formula>
    </cfRule>
    <cfRule type="expression" dxfId="1306" priority="59">
      <formula>$E$145 = 0</formula>
    </cfRule>
    <cfRule type="expression" dxfId="1305" priority="60">
      <formula>$E$145 &lt; 0</formula>
    </cfRule>
  </conditionalFormatting>
  <conditionalFormatting sqref="G123:I124 H145:I145">
    <cfRule type="expression" dxfId="1304" priority="55">
      <formula>$H$145 &gt; 0</formula>
    </cfRule>
    <cfRule type="expression" dxfId="1303" priority="56">
      <formula>$H$145 = 0</formula>
    </cfRule>
    <cfRule type="expression" dxfId="1302" priority="57">
      <formula>$H$145 &lt; 0</formula>
    </cfRule>
  </conditionalFormatting>
  <conditionalFormatting sqref="J123:L124 K145:L145">
    <cfRule type="expression" dxfId="1301" priority="52">
      <formula>$K$145 &gt; 0</formula>
    </cfRule>
    <cfRule type="expression" dxfId="1300" priority="53">
      <formula>$K$145 = 0</formula>
    </cfRule>
    <cfRule type="expression" dxfId="1299" priority="54">
      <formula>$K$145 &lt; 0</formula>
    </cfRule>
  </conditionalFormatting>
  <conditionalFormatting sqref="M123:O124 N145:O145">
    <cfRule type="expression" dxfId="1298" priority="49">
      <formula>$N$145 &gt; 0</formula>
    </cfRule>
    <cfRule type="expression" dxfId="1297" priority="50">
      <formula>$N$145 = 0</formula>
    </cfRule>
    <cfRule type="expression" dxfId="1296" priority="51">
      <formula>$N$145 &lt; 0</formula>
    </cfRule>
  </conditionalFormatting>
  <conditionalFormatting sqref="A152:C171 M152:O171">
    <cfRule type="expression" dxfId="1295" priority="37">
      <formula>AND($N152 &gt; 0, ISNUMBER($N152))</formula>
    </cfRule>
    <cfRule type="expression" dxfId="1294" priority="38">
      <formula>AND($N152 = 0 * ISNUMBER($N152))</formula>
    </cfRule>
    <cfRule type="expression" dxfId="1293" priority="39">
      <formula>AND($N152 &lt; 0, ISNUMBER($N152))</formula>
    </cfRule>
  </conditionalFormatting>
  <conditionalFormatting sqref="A152:F171">
    <cfRule type="expression" dxfId="1292" priority="46">
      <formula>AND($E152 &gt; 0, ISNUMBER($E152))</formula>
    </cfRule>
    <cfRule type="expression" dxfId="1291" priority="47">
      <formula>AND($E152 = 0 * ISNUMBER($E152))</formula>
    </cfRule>
    <cfRule type="expression" dxfId="1290" priority="48">
      <formula>AND($E152 &lt; 0, ISNUMBER($E152))</formula>
    </cfRule>
  </conditionalFormatting>
  <conditionalFormatting sqref="A152:C171 G152:I171">
    <cfRule type="expression" dxfId="1289" priority="43">
      <formula>AND($H152 &gt; 0, ISNUMBER($H152))</formula>
    </cfRule>
    <cfRule type="expression" dxfId="1288" priority="44">
      <formula>AND($H152 = 0 * ISNUMBER($H152))</formula>
    </cfRule>
    <cfRule type="expression" dxfId="1287" priority="45">
      <formula>AND($H152 &lt; 0, ISNUMBER($H152))</formula>
    </cfRule>
  </conditionalFormatting>
  <conditionalFormatting sqref="A152:C171 J152:L171">
    <cfRule type="expression" dxfId="1286" priority="40">
      <formula>AND($K152 &gt; 0, ISNUMBER($K152))</formula>
    </cfRule>
    <cfRule type="expression" dxfId="1285" priority="41">
      <formula>AND($K152 = 0 * ISNUMBER($K152))</formula>
    </cfRule>
    <cfRule type="expression" dxfId="1284" priority="42">
      <formula>AND($K152 &lt; 0, ISNUMBER($K152))</formula>
    </cfRule>
  </conditionalFormatting>
  <conditionalFormatting sqref="D150:F151 E172:F172">
    <cfRule type="expression" dxfId="1283" priority="34">
      <formula>$E$172 &gt; 0</formula>
    </cfRule>
    <cfRule type="expression" dxfId="1282" priority="35">
      <formula>$E$172 = 0</formula>
    </cfRule>
    <cfRule type="expression" dxfId="1281" priority="36">
      <formula>$E$172 &lt; 0</formula>
    </cfRule>
  </conditionalFormatting>
  <conditionalFormatting sqref="G150:I151 H172:I172">
    <cfRule type="expression" dxfId="1280" priority="31">
      <formula>$H$172 &gt; 0</formula>
    </cfRule>
    <cfRule type="expression" dxfId="1279" priority="32">
      <formula>$H$172 = 0</formula>
    </cfRule>
    <cfRule type="expression" dxfId="1278" priority="33">
      <formula>$H$172 &lt; 0</formula>
    </cfRule>
  </conditionalFormatting>
  <conditionalFormatting sqref="J150:L151 K172:L172">
    <cfRule type="expression" dxfId="1277" priority="28">
      <formula>$K$172 &gt; 0</formula>
    </cfRule>
    <cfRule type="expression" dxfId="1276" priority="29">
      <formula>$K$172 = 0</formula>
    </cfRule>
    <cfRule type="expression" dxfId="1275" priority="30">
      <formula>$K$172 &lt; 0</formula>
    </cfRule>
  </conditionalFormatting>
  <conditionalFormatting sqref="M150:O151 N172:O172">
    <cfRule type="expression" dxfId="1274" priority="25">
      <formula>$N$172 &gt; 0</formula>
    </cfRule>
    <cfRule type="expression" dxfId="1273" priority="26">
      <formula>$N$172 = 0</formula>
    </cfRule>
    <cfRule type="expression" dxfId="1272" priority="27">
      <formula>$N$172 &lt; 0</formula>
    </cfRule>
  </conditionalFormatting>
  <conditionalFormatting sqref="A179:C198 M179:O198">
    <cfRule type="expression" dxfId="1271" priority="13">
      <formula>AND($N179 &gt; 0, ISNUMBER($N179))</formula>
    </cfRule>
    <cfRule type="expression" dxfId="1270" priority="14">
      <formula>AND($N179 = 0 * ISNUMBER($N179))</formula>
    </cfRule>
    <cfRule type="expression" dxfId="1269" priority="15">
      <formula>AND($N179 &lt; 0, ISNUMBER($N179))</formula>
    </cfRule>
  </conditionalFormatting>
  <conditionalFormatting sqref="A179:F198">
    <cfRule type="expression" dxfId="1268" priority="22">
      <formula>AND($E179 &gt; 0, ISNUMBER($E179))</formula>
    </cfRule>
    <cfRule type="expression" dxfId="1267" priority="23">
      <formula>AND($E179 = 0 * ISNUMBER($E179))</formula>
    </cfRule>
    <cfRule type="expression" dxfId="1266" priority="24">
      <formula>AND($E179 &lt; 0, ISNUMBER($E179))</formula>
    </cfRule>
  </conditionalFormatting>
  <conditionalFormatting sqref="A179:C198 G179:I198">
    <cfRule type="expression" dxfId="1265" priority="19">
      <formula>AND($H179 &gt; 0, ISNUMBER($H179))</formula>
    </cfRule>
    <cfRule type="expression" dxfId="1264" priority="20">
      <formula>AND($H179 = 0 * ISNUMBER($H179))</formula>
    </cfRule>
    <cfRule type="expression" dxfId="1263" priority="21">
      <formula>AND($H179 &lt; 0, ISNUMBER($H179))</formula>
    </cfRule>
  </conditionalFormatting>
  <conditionalFormatting sqref="A179:C198 J179:L198">
    <cfRule type="expression" dxfId="1262" priority="16">
      <formula>AND($K179 &gt; 0, ISNUMBER($K179))</formula>
    </cfRule>
    <cfRule type="expression" dxfId="1261" priority="17">
      <formula>AND($K179 = 0 * ISNUMBER($K179))</formula>
    </cfRule>
    <cfRule type="expression" dxfId="1260" priority="18">
      <formula>AND($K179 &lt; 0, ISNUMBER($K179))</formula>
    </cfRule>
  </conditionalFormatting>
  <conditionalFormatting sqref="D177:F178 E199:F199">
    <cfRule type="expression" dxfId="1259" priority="10">
      <formula>$E$199 &gt; 0</formula>
    </cfRule>
    <cfRule type="expression" dxfId="1258" priority="11">
      <formula>$E$199 = 0</formula>
    </cfRule>
    <cfRule type="expression" dxfId="1257" priority="12">
      <formula>$E$199 &lt; 0</formula>
    </cfRule>
  </conditionalFormatting>
  <conditionalFormatting sqref="G177:I178 H199:I199">
    <cfRule type="expression" dxfId="1256" priority="7">
      <formula>$H$199 &gt; 0</formula>
    </cfRule>
    <cfRule type="expression" dxfId="1255" priority="8">
      <formula>$H$199 = 0</formula>
    </cfRule>
    <cfRule type="expression" dxfId="1254" priority="9">
      <formula>$H$199 &lt; 0</formula>
    </cfRule>
  </conditionalFormatting>
  <conditionalFormatting sqref="J177:L178 K199:L199">
    <cfRule type="expression" dxfId="1253" priority="4">
      <formula>$K$199 &gt; 0</formula>
    </cfRule>
    <cfRule type="expression" dxfId="1252" priority="5">
      <formula>$K$199 = 0</formula>
    </cfRule>
    <cfRule type="expression" dxfId="1251" priority="6">
      <formula>$K$199 &lt; 0</formula>
    </cfRule>
  </conditionalFormatting>
  <conditionalFormatting sqref="M177:O178 N199:O199">
    <cfRule type="expression" dxfId="1250" priority="1">
      <formula>$N$199 &gt; 0</formula>
    </cfRule>
    <cfRule type="expression" dxfId="1249" priority="2">
      <formula>$N$199 = 0</formula>
    </cfRule>
    <cfRule type="expression" dxfId="12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1" sqref="G1:I1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2021-05-01(토) 오전 00:00</v>
      </c>
      <c r="C15" s="224"/>
      <c r="D15" s="198" t="str">
        <f>TEXT($G$1, "[$-ko-KR]yyyy-mm-dd(ddd) ") &amp; "오후 14:00"</f>
        <v>2021-05-01(토) 오후 14:00</v>
      </c>
      <c r="E15" s="199"/>
      <c r="F15" s="200"/>
      <c r="G15" s="198" t="str">
        <f>TEXT($G$1, "[$-ko-KR]yyyy-mm-dd(ddd) ") &amp; "오후 19:00"</f>
        <v>2021-05-01(토) 오후 19:00</v>
      </c>
      <c r="H15" s="199"/>
      <c r="I15" s="200"/>
      <c r="J15" s="198" t="str">
        <f>TEXT($G$1, "[$-ko-KR]yyyy-mm-dd(ddd) ") &amp; "오후 21:00"</f>
        <v>2021-05-01(토) 오후 21:00</v>
      </c>
      <c r="K15" s="199"/>
      <c r="L15" s="200"/>
      <c r="M15" s="198" t="str">
        <f>TEXT($G$1+1, "[$-ko-KR]yyyy-mm-dd(ddd) ") &amp; "오전 00:00"</f>
        <v>2021-05-02(일)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/>
      <c r="B17" s="127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/>
      <c r="B18" s="129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/>
      <c r="B19" s="129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28"/>
      <c r="B20" s="129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30"/>
      <c r="B21" s="131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300000</v>
      </c>
      <c r="C37" s="22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6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2021-05-01(토) 오전 00:00</v>
      </c>
      <c r="C42" s="226"/>
      <c r="D42" s="198" t="str">
        <f>TEXT($G$1, "[$-ko-KR]yyyy-mm-dd(ddd) ") &amp; "오후 14:00"</f>
        <v>2021-05-01(토) 오후 14:00</v>
      </c>
      <c r="E42" s="199"/>
      <c r="F42" s="200"/>
      <c r="G42" s="198" t="str">
        <f>TEXT($G$1, "[$-ko-KR]yyyy-mm-dd(ddd) ") &amp; "오후 19:00"</f>
        <v>2021-05-01(토) 오후 19:00</v>
      </c>
      <c r="H42" s="199"/>
      <c r="I42" s="200"/>
      <c r="J42" s="198" t="str">
        <f>TEXT($G$1, "[$-ko-KR]yyyy-mm-dd(ddd) ") &amp; "오후 21:00"</f>
        <v>2021-05-01(토) 오후 21:00</v>
      </c>
      <c r="K42" s="199"/>
      <c r="L42" s="200"/>
      <c r="M42" s="198" t="str">
        <f>TEXT($G$1+1, "[$-ko-KR]yyyy-mm-dd(ddd) ") &amp; "오전 00:00"</f>
        <v>2021-05-02(일)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/>
      <c r="B44" s="127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/>
      <c r="B45" s="129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/>
      <c r="B46" s="129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28"/>
      <c r="B47" s="129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30"/>
      <c r="B48" s="131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28"/>
      <c r="B49" s="132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28"/>
      <c r="B50" s="129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28"/>
      <c r="B51" s="129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28"/>
      <c r="B52" s="129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/>
      <c r="B53" s="134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6"/>
      <c r="B54" s="127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28"/>
      <c r="B55" s="129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28"/>
      <c r="B56" s="129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28"/>
      <c r="B57" s="129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/>
      <c r="B58" s="131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/>
      <c r="B59" s="132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28"/>
      <c r="B60" s="129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28"/>
      <c r="B61" s="129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300000</v>
      </c>
      <c r="C64" s="228"/>
      <c r="D64" s="26" t="s">
        <v>302</v>
      </c>
      <c r="E64" s="27">
        <f>IF(COUNT(E44:E63), SUM(E44:E63) / COUNT(E44:E63), 0)</f>
        <v>0</v>
      </c>
      <c r="F64" s="28">
        <f>SUM(F44:F63)</f>
        <v>0</v>
      </c>
      <c r="G64" s="26" t="s">
        <v>302</v>
      </c>
      <c r="H64" s="27">
        <f>IF(COUNT(H44:H63), SUM(H44:H63) / COUNT(H44:H63), 0)</f>
        <v>0</v>
      </c>
      <c r="I64" s="28">
        <f>SUM(I44:I63)</f>
        <v>0</v>
      </c>
      <c r="J64" s="26" t="s">
        <v>302</v>
      </c>
      <c r="K64" s="27">
        <f>IF(COUNT(K44:K63), SUM(K44:K63) / COUNT(K44:K63), 0)</f>
        <v>0</v>
      </c>
      <c r="L64" s="28">
        <f>SUM(L44:L63)</f>
        <v>0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6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2021-05-01(토) 오전 00:00</v>
      </c>
      <c r="C69" s="226"/>
      <c r="D69" s="198" t="str">
        <f>TEXT($G$1, "[$-ko-KR]yyyy-mm-dd(ddd) ") &amp; "오후 14:00"</f>
        <v>2021-05-01(토) 오후 14:00</v>
      </c>
      <c r="E69" s="199"/>
      <c r="F69" s="200"/>
      <c r="G69" s="198" t="str">
        <f>TEXT($G$1, "[$-ko-KR]yyyy-mm-dd(ddd) ") &amp; "오후 19:00"</f>
        <v>2021-05-01(토) 오후 19:00</v>
      </c>
      <c r="H69" s="199"/>
      <c r="I69" s="200"/>
      <c r="J69" s="198" t="str">
        <f>TEXT($G$1, "[$-ko-KR]yyyy-mm-dd(ddd) ") &amp; "오후 21:00"</f>
        <v>2021-05-01(토) 오후 21:00</v>
      </c>
      <c r="K69" s="199"/>
      <c r="L69" s="200"/>
      <c r="M69" s="198" t="str">
        <f>TEXT($G$1+1, "[$-ko-KR]yyyy-mm-dd(ddd) ") &amp; "오전 00:00"</f>
        <v>2021-05-02(일)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/>
      <c r="B71" s="127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/>
      <c r="B72" s="129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/>
      <c r="B73" s="129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28"/>
      <c r="B74" s="129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30"/>
      <c r="B75" s="131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28"/>
      <c r="B76" s="132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28"/>
      <c r="B77" s="129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28"/>
      <c r="B78" s="129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28"/>
      <c r="B79" s="129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/>
      <c r="B80" s="134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6"/>
      <c r="B81" s="127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28"/>
      <c r="B82" s="129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28"/>
      <c r="B83" s="129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28"/>
      <c r="B84" s="129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/>
      <c r="B85" s="131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/>
      <c r="B86" s="132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28"/>
      <c r="B87" s="129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28"/>
      <c r="B88" s="129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28"/>
      <c r="B89" s="129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133"/>
      <c r="B90" s="134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135" t="s">
        <v>301</v>
      </c>
      <c r="B91" s="227">
        <f>$B$37</f>
        <v>300000</v>
      </c>
      <c r="C91" s="228"/>
      <c r="D91" s="26" t="s">
        <v>302</v>
      </c>
      <c r="E91" s="27">
        <f>IF(COUNT(E71:E90), SUM(E71:E90) / COUNT(E71:E90), 0)</f>
        <v>0</v>
      </c>
      <c r="F91" s="28">
        <f>SUM(F71:F90)</f>
        <v>0</v>
      </c>
      <c r="G91" s="26" t="s">
        <v>302</v>
      </c>
      <c r="H91" s="27">
        <f>IF(COUNT(H71:H90), SUM(H71:H90) / COUNT(H71:H90), 0)</f>
        <v>0</v>
      </c>
      <c r="I91" s="28">
        <f>SUM(I71:I90)</f>
        <v>0</v>
      </c>
      <c r="J91" s="26" t="s">
        <v>302</v>
      </c>
      <c r="K91" s="27">
        <f>IF(COUNT(K71:K90), SUM(K71:K90) / COUNT(K71:K90), 0)</f>
        <v>0</v>
      </c>
      <c r="L91" s="28">
        <f>SUM(L71:L90)</f>
        <v>0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6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2021-05-01(토) 오전 00:00</v>
      </c>
      <c r="C96" s="226"/>
      <c r="D96" s="198" t="str">
        <f>TEXT($G$1, "[$-ko-KR]yyyy-mm-dd(ddd) ") &amp; "오후 14:00"</f>
        <v>2021-05-01(토) 오후 14:00</v>
      </c>
      <c r="E96" s="199"/>
      <c r="F96" s="200"/>
      <c r="G96" s="198" t="str">
        <f>TEXT($G$1, "[$-ko-KR]yyyy-mm-dd(ddd) ") &amp; "오후 19:00"</f>
        <v>2021-05-01(토) 오후 19:00</v>
      </c>
      <c r="H96" s="199"/>
      <c r="I96" s="200"/>
      <c r="J96" s="198" t="str">
        <f>TEXT($G$1, "[$-ko-KR]yyyy-mm-dd(ddd) ") &amp; "오후 21:00"</f>
        <v>2021-05-01(토) 오후 21:00</v>
      </c>
      <c r="K96" s="199"/>
      <c r="L96" s="200"/>
      <c r="M96" s="198" t="str">
        <f>TEXT($G$1+1, "[$-ko-KR]yyyy-mm-dd(ddd) ") &amp; "오전 00:00"</f>
        <v>2021-05-02(일)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/>
      <c r="B98" s="127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/>
      <c r="B99" s="129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/>
      <c r="B100" s="129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28"/>
      <c r="B101" s="129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30"/>
      <c r="B102" s="131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28"/>
      <c r="B103" s="132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28"/>
      <c r="B104" s="129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28"/>
      <c r="B105" s="129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28"/>
      <c r="B106" s="129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/>
      <c r="B107" s="134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6"/>
      <c r="B108" s="127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28"/>
      <c r="B109" s="129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28"/>
      <c r="B110" s="129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28"/>
      <c r="B111" s="129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/>
      <c r="B112" s="131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/>
      <c r="B113" s="132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28"/>
      <c r="B114" s="129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28"/>
      <c r="B115" s="129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28"/>
      <c r="B116" s="129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133"/>
      <c r="B117" s="134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300000</v>
      </c>
      <c r="C118" s="228"/>
      <c r="D118" s="26" t="s">
        <v>302</v>
      </c>
      <c r="E118" s="27">
        <f>IF(COUNT(E98:E117), SUM(E98:E117) / COUNT(E98:E117), 0)</f>
        <v>0</v>
      </c>
      <c r="F118" s="28">
        <f>SUM(F98:F117)</f>
        <v>0</v>
      </c>
      <c r="G118" s="26" t="s">
        <v>302</v>
      </c>
      <c r="H118" s="27">
        <f>IF(COUNT(H98:H117), SUM(H98:H117) / COUNT(H98:H117), 0)</f>
        <v>0</v>
      </c>
      <c r="I118" s="28">
        <f>SUM(I98:I117)</f>
        <v>0</v>
      </c>
      <c r="J118" s="26" t="s">
        <v>302</v>
      </c>
      <c r="K118" s="27">
        <f>IF(COUNT(K98:K117), SUM(K98:K117) / COUNT(K98:K117), 0)</f>
        <v>0</v>
      </c>
      <c r="L118" s="28">
        <f>SUM(L98:L117)</f>
        <v>0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6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2021-05-01(토) 오전 00:00</v>
      </c>
      <c r="C123" s="226"/>
      <c r="D123" s="198" t="str">
        <f>TEXT($G$1, "[$-ko-KR]yyyy-mm-dd(ddd) ") &amp; "오후 14:00"</f>
        <v>2021-05-01(토) 오후 14:00</v>
      </c>
      <c r="E123" s="199"/>
      <c r="F123" s="200"/>
      <c r="G123" s="198" t="str">
        <f>TEXT($G$1, "[$-ko-KR]yyyy-mm-dd(ddd) ") &amp; "오후 19:00"</f>
        <v>2021-05-01(토) 오후 19:00</v>
      </c>
      <c r="H123" s="199"/>
      <c r="I123" s="200"/>
      <c r="J123" s="198" t="str">
        <f>TEXT($G$1, "[$-ko-KR]yyyy-mm-dd(ddd) ") &amp; "오후 21:00"</f>
        <v>2021-05-01(토) 오후 21:00</v>
      </c>
      <c r="K123" s="199"/>
      <c r="L123" s="200"/>
      <c r="M123" s="198" t="str">
        <f>TEXT($G$1+1, "[$-ko-KR]yyyy-mm-dd(ddd) ") &amp; "오전 00:00"</f>
        <v>2021-05-02(일)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/>
      <c r="B125" s="127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/>
      <c r="B126" s="129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/>
      <c r="B127" s="129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28"/>
      <c r="B128" s="129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30"/>
      <c r="B129" s="131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28"/>
      <c r="B130" s="132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28"/>
      <c r="B131" s="129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28"/>
      <c r="B132" s="129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28"/>
      <c r="B133" s="129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/>
      <c r="B134" s="134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6"/>
      <c r="B135" s="127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28"/>
      <c r="B136" s="129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28"/>
      <c r="B137" s="129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28"/>
      <c r="B138" s="129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/>
      <c r="B139" s="131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/>
      <c r="B140" s="132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28"/>
      <c r="B141" s="129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28"/>
      <c r="B142" s="129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300000</v>
      </c>
      <c r="C145" s="228"/>
      <c r="D145" s="26" t="s">
        <v>302</v>
      </c>
      <c r="E145" s="27">
        <f>IF(COUNT(E125:E144), SUM(E125:E144) / COUNT(E125:E144), 0)</f>
        <v>0</v>
      </c>
      <c r="F145" s="28">
        <f>SUM(F125:F144)</f>
        <v>0</v>
      </c>
      <c r="G145" s="26" t="s">
        <v>302</v>
      </c>
      <c r="H145" s="27">
        <f>IF(COUNT(H125:H144), SUM(H125:H144) / COUNT(H125:H144), 0)</f>
        <v>0</v>
      </c>
      <c r="I145" s="28">
        <f>SUM(I125:I144)</f>
        <v>0</v>
      </c>
      <c r="J145" s="26" t="s">
        <v>302</v>
      </c>
      <c r="K145" s="27">
        <f>IF(COUNT(K125:K144), SUM(K125:K144) / COUNT(K125:K144), 0)</f>
        <v>0</v>
      </c>
      <c r="L145" s="28">
        <f>SUM(L125:L144)</f>
        <v>0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6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2021-05-01(토) 오전 00:00</v>
      </c>
      <c r="C150" s="226"/>
      <c r="D150" s="198" t="str">
        <f>TEXT($G$1, "[$-ko-KR]yyyy-mm-dd(ddd) ") &amp; "오후 14:00"</f>
        <v>2021-05-01(토) 오후 14:00</v>
      </c>
      <c r="E150" s="199"/>
      <c r="F150" s="200"/>
      <c r="G150" s="198" t="str">
        <f>TEXT($G$1, "[$-ko-KR]yyyy-mm-dd(ddd) ") &amp; "오후 19:00"</f>
        <v>2021-05-01(토) 오후 19:00</v>
      </c>
      <c r="H150" s="199"/>
      <c r="I150" s="200"/>
      <c r="J150" s="198" t="str">
        <f>TEXT($G$1, "[$-ko-KR]yyyy-mm-dd(ddd) ") &amp; "오후 21:00"</f>
        <v>2021-05-01(토) 오후 21:00</v>
      </c>
      <c r="K150" s="199"/>
      <c r="L150" s="200"/>
      <c r="M150" s="198" t="str">
        <f>TEXT($G$1+1, "[$-ko-KR]yyyy-mm-dd(ddd) ") &amp; "오전 00:00"</f>
        <v>2021-05-02(일)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/>
      <c r="B152" s="127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/>
      <c r="B153" s="129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/>
      <c r="B154" s="129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28"/>
      <c r="B155" s="129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30"/>
      <c r="B156" s="131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28"/>
      <c r="B157" s="132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28"/>
      <c r="B158" s="129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28"/>
      <c r="B159" s="129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28"/>
      <c r="B160" s="129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/>
      <c r="B161" s="134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6"/>
      <c r="B162" s="127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28"/>
      <c r="B163" s="129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28"/>
      <c r="B164" s="129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28"/>
      <c r="B165" s="129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/>
      <c r="B166" s="131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/>
      <c r="B167" s="132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28"/>
      <c r="B168" s="129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28"/>
      <c r="B169" s="129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28"/>
      <c r="B170" s="129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133"/>
      <c r="B171" s="134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300000</v>
      </c>
      <c r="C172" s="228"/>
      <c r="D172" s="26" t="s">
        <v>302</v>
      </c>
      <c r="E172" s="27">
        <f>IF(COUNT(E152:E171), SUM(E152:E171) / COUNT(E152:E171), 0)</f>
        <v>0</v>
      </c>
      <c r="F172" s="28">
        <f>SUM(F152:F171)</f>
        <v>0</v>
      </c>
      <c r="G172" s="26" t="s">
        <v>302</v>
      </c>
      <c r="H172" s="27">
        <f>IF(COUNT(H152:H171), SUM(H152:H171) / COUNT(H152:H171), 0)</f>
        <v>0</v>
      </c>
      <c r="I172" s="28">
        <f>SUM(I152:I171)</f>
        <v>0</v>
      </c>
      <c r="J172" s="26" t="s">
        <v>302</v>
      </c>
      <c r="K172" s="27">
        <f>IF(COUNT(K152:K171), SUM(K152:K171) / COUNT(K152:K171), 0)</f>
        <v>0</v>
      </c>
      <c r="L172" s="28">
        <f>SUM(L152:L171)</f>
        <v>0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6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2021-05-01(토) 오전 00:00</v>
      </c>
      <c r="C177" s="226"/>
      <c r="D177" s="198" t="str">
        <f>TEXT($G$1, "[$-ko-KR]yyyy-mm-dd(ddd) ") &amp; "오후 14:00"</f>
        <v>2021-05-01(토) 오후 14:00</v>
      </c>
      <c r="E177" s="199"/>
      <c r="F177" s="200"/>
      <c r="G177" s="198" t="str">
        <f>TEXT($G$1, "[$-ko-KR]yyyy-mm-dd(ddd) ") &amp; "오후 19:00"</f>
        <v>2021-05-01(토) 오후 19:00</v>
      </c>
      <c r="H177" s="199"/>
      <c r="I177" s="200"/>
      <c r="J177" s="198" t="str">
        <f>TEXT($G$1, "[$-ko-KR]yyyy-mm-dd(ddd) ") &amp; "오후 21:00"</f>
        <v>2021-05-01(토) 오후 21:00</v>
      </c>
      <c r="K177" s="199"/>
      <c r="L177" s="200"/>
      <c r="M177" s="198" t="str">
        <f>TEXT($G$1+1, "[$-ko-KR]yyyy-mm-dd(ddd) ") &amp; "오전 00:00"</f>
        <v>2021-05-02(일)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/>
      <c r="B179" s="127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/>
      <c r="B180" s="129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/>
      <c r="B181" s="129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28"/>
      <c r="B182" s="129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30"/>
      <c r="B183" s="131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28"/>
      <c r="B184" s="132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28"/>
      <c r="B185" s="129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28"/>
      <c r="B186" s="129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28"/>
      <c r="B187" s="129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/>
      <c r="B188" s="134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6"/>
      <c r="B189" s="127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28"/>
      <c r="B190" s="129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28"/>
      <c r="B191" s="129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28"/>
      <c r="B192" s="129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/>
      <c r="B193" s="131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/>
      <c r="B194" s="132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28"/>
      <c r="B195" s="129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28"/>
      <c r="B196" s="129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28"/>
      <c r="B197" s="129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133"/>
      <c r="B198" s="134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300000</v>
      </c>
      <c r="C199" s="228"/>
      <c r="D199" s="26" t="s">
        <v>302</v>
      </c>
      <c r="E199" s="27">
        <f>IF(COUNT(E179:E198), SUM(E179:E198) / COUNT(E179:E198), 0)</f>
        <v>0</v>
      </c>
      <c r="F199" s="28">
        <f>SUM(F179:F198)</f>
        <v>0</v>
      </c>
      <c r="G199" s="26" t="s">
        <v>302</v>
      </c>
      <c r="H199" s="27">
        <f>IF(COUNT(H179:H198), SUM(H179:H198) / COUNT(H179:H198), 0)</f>
        <v>0</v>
      </c>
      <c r="I199" s="28">
        <f>SUM(I179:I198)</f>
        <v>0</v>
      </c>
      <c r="J199" s="26" t="s">
        <v>302</v>
      </c>
      <c r="K199" s="27">
        <f>IF(COUNT(K179:K198), SUM(K179:K198) / COUNT(K179:K198), 0)</f>
        <v>0</v>
      </c>
      <c r="L199" s="28">
        <f>SUM(L179:L198)</f>
        <v>0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24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4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4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7" priority="289">
      <formula>AND($N17 &gt; 0, ISNUMBER($N17))</formula>
    </cfRule>
    <cfRule type="expression" dxfId="1236" priority="290">
      <formula>AND($N17 = 0 * ISNUMBER($N17))</formula>
    </cfRule>
    <cfRule type="expression" dxfId="1235" priority="291">
      <formula>AND($N17 &lt; 0, ISNUMBER($N17))</formula>
    </cfRule>
  </conditionalFormatting>
  <conditionalFormatting sqref="A17:C36 D17:F36">
    <cfRule type="expression" dxfId="1234" priority="298">
      <formula>AND($E17 &gt; 0, ISNUMBER($E17))</formula>
    </cfRule>
    <cfRule type="expression" dxfId="1233" priority="299">
      <formula>AND($E17 = 0 * ISNUMBER($E17))</formula>
    </cfRule>
    <cfRule type="expression" dxfId="1232" priority="300">
      <formula>AND($E17 &lt; 0, ISNUMBER($E17))</formula>
    </cfRule>
  </conditionalFormatting>
  <conditionalFormatting sqref="A17:C36 G17:I36">
    <cfRule type="expression" dxfId="1231" priority="295">
      <formula>AND($H17 &gt; 0, ISNUMBER($H17))</formula>
    </cfRule>
    <cfRule type="expression" dxfId="1230" priority="296">
      <formula>AND($H17 = 0 * ISNUMBER($H17))</formula>
    </cfRule>
    <cfRule type="expression" dxfId="1229" priority="297">
      <formula>AND($H17 &lt; 0, ISNUMBER($H17))</formula>
    </cfRule>
  </conditionalFormatting>
  <conditionalFormatting sqref="A17:C36 J17:L36">
    <cfRule type="expression" dxfId="1228" priority="292">
      <formula>AND($K17 &gt; 0, ISNUMBER($K17))</formula>
    </cfRule>
    <cfRule type="expression" dxfId="1227" priority="293">
      <formula>AND($K17 = 0 * ISNUMBER($K17))</formula>
    </cfRule>
    <cfRule type="expression" dxfId="1226" priority="294">
      <formula>AND($K17 &lt; 0, ISNUMBER($K17))</formula>
    </cfRule>
  </conditionalFormatting>
  <conditionalFormatting sqref="D15:F16 E37:F37">
    <cfRule type="expression" dxfId="1225" priority="286">
      <formula>$E$37 &gt; 0</formula>
    </cfRule>
    <cfRule type="expression" dxfId="1224" priority="287">
      <formula>$E$37 = 0</formula>
    </cfRule>
    <cfRule type="expression" dxfId="1223" priority="288">
      <formula>$E$37 &lt; 0</formula>
    </cfRule>
  </conditionalFormatting>
  <conditionalFormatting sqref="G15:I16 H37:I37">
    <cfRule type="expression" dxfId="1222" priority="283">
      <formula>$H$37 &gt; 0</formula>
    </cfRule>
    <cfRule type="expression" dxfId="1221" priority="284">
      <formula>$H$37 = 0</formula>
    </cfRule>
    <cfRule type="expression" dxfId="1220" priority="285">
      <formula>$H$37 &lt; 0</formula>
    </cfRule>
  </conditionalFormatting>
  <conditionalFormatting sqref="J15:L16 K37:L37">
    <cfRule type="expression" dxfId="1219" priority="280">
      <formula>$K$37 &gt; 0</formula>
    </cfRule>
    <cfRule type="expression" dxfId="1218" priority="281">
      <formula>$K$37 = 0</formula>
    </cfRule>
    <cfRule type="expression" dxfId="1217" priority="282">
      <formula>$K$37 &lt; 0</formula>
    </cfRule>
  </conditionalFormatting>
  <conditionalFormatting sqref="M15:O16 N37:O37">
    <cfRule type="expression" dxfId="1216" priority="277">
      <formula>$N$37 &gt; 0</formula>
    </cfRule>
    <cfRule type="expression" dxfId="1215" priority="278">
      <formula>$N$37 = 0</formula>
    </cfRule>
    <cfRule type="expression" dxfId="1214" priority="279">
      <formula>$N$37 &lt; 0</formula>
    </cfRule>
  </conditionalFormatting>
  <conditionalFormatting sqref="A44:C63 M44:O63">
    <cfRule type="expression" dxfId="1213" priority="265">
      <formula>AND($N44 &gt; 0, ISNUMBER($N44))</formula>
    </cfRule>
    <cfRule type="expression" dxfId="1212" priority="266">
      <formula>AND($N44 = 0 * ISNUMBER($N44))</formula>
    </cfRule>
    <cfRule type="expression" dxfId="1211" priority="267">
      <formula>AND($N44 &lt; 0, ISNUMBER($N44))</formula>
    </cfRule>
  </conditionalFormatting>
  <conditionalFormatting sqref="A44:F63">
    <cfRule type="expression" dxfId="1210" priority="274">
      <formula>AND($E44 &gt; 0, ISNUMBER($E44))</formula>
    </cfRule>
    <cfRule type="expression" dxfId="1209" priority="275">
      <formula>AND($E44 = 0 * ISNUMBER($E44))</formula>
    </cfRule>
    <cfRule type="expression" dxfId="1208" priority="276">
      <formula>AND($E44 &lt; 0, ISNUMBER($E44))</formula>
    </cfRule>
  </conditionalFormatting>
  <conditionalFormatting sqref="A44:C63 G44:I63">
    <cfRule type="expression" dxfId="1207" priority="271">
      <formula>AND($H44 &gt; 0, ISNUMBER($H44))</formula>
    </cfRule>
    <cfRule type="expression" dxfId="1206" priority="272">
      <formula>AND($H44 = 0 * ISNUMBER($H44))</formula>
    </cfRule>
    <cfRule type="expression" dxfId="1205" priority="273">
      <formula>AND($H44 &lt; 0, ISNUMBER($H44))</formula>
    </cfRule>
  </conditionalFormatting>
  <conditionalFormatting sqref="A44:C63 J44:L63">
    <cfRule type="expression" dxfId="1204" priority="268">
      <formula>AND($K44 &gt; 0, ISNUMBER($K44))</formula>
    </cfRule>
    <cfRule type="expression" dxfId="1203" priority="269">
      <formula>AND($K44 = 0 * ISNUMBER($K44))</formula>
    </cfRule>
    <cfRule type="expression" dxfId="1202" priority="270">
      <formula>AND($K44 &lt; 0, ISNUMBER($K44))</formula>
    </cfRule>
  </conditionalFormatting>
  <conditionalFormatting sqref="D42:F43 E64:F64">
    <cfRule type="expression" dxfId="1201" priority="262">
      <formula>$E$64 &gt; 0</formula>
    </cfRule>
    <cfRule type="expression" dxfId="1200" priority="263">
      <formula>$E$64 = 0</formula>
    </cfRule>
    <cfRule type="expression" dxfId="1199" priority="264">
      <formula>$E$64 &lt; 0</formula>
    </cfRule>
  </conditionalFormatting>
  <conditionalFormatting sqref="G42:I43 H64:I64">
    <cfRule type="expression" dxfId="1198" priority="259">
      <formula>$H$64 &gt; 0</formula>
    </cfRule>
    <cfRule type="expression" dxfId="1197" priority="260">
      <formula>$H$64 = 0</formula>
    </cfRule>
    <cfRule type="expression" dxfId="1196" priority="261">
      <formula>$H$64 &lt; 0</formula>
    </cfRule>
  </conditionalFormatting>
  <conditionalFormatting sqref="J42:L43 K64:L64">
    <cfRule type="expression" dxfId="1195" priority="256">
      <formula>$K$64 &gt; 0</formula>
    </cfRule>
    <cfRule type="expression" dxfId="1194" priority="257">
      <formula>$K$64 = 0</formula>
    </cfRule>
    <cfRule type="expression" dxfId="1193" priority="258">
      <formula>$K$64 &lt; 0</formula>
    </cfRule>
  </conditionalFormatting>
  <conditionalFormatting sqref="M42:O43 N64:O64">
    <cfRule type="expression" dxfId="1192" priority="253">
      <formula>$N$64 &gt; 0</formula>
    </cfRule>
    <cfRule type="expression" dxfId="1191" priority="254">
      <formula>$N$64 = 0</formula>
    </cfRule>
    <cfRule type="expression" dxfId="1190" priority="255">
      <formula>$N$64 &lt; 0</formula>
    </cfRule>
  </conditionalFormatting>
  <conditionalFormatting sqref="A71:C90 M71:O90">
    <cfRule type="expression" dxfId="1189" priority="109">
      <formula>AND($N71 &gt; 0, ISNUMBER($N71))</formula>
    </cfRule>
    <cfRule type="expression" dxfId="1188" priority="110">
      <formula>AND($N71 = 0 * ISNUMBER($N71))</formula>
    </cfRule>
    <cfRule type="expression" dxfId="1187" priority="111">
      <formula>AND($N71 &lt; 0, ISNUMBER($N71))</formula>
    </cfRule>
  </conditionalFormatting>
  <conditionalFormatting sqref="A71:F90">
    <cfRule type="expression" dxfId="1186" priority="118">
      <formula>AND($E71 &gt; 0, ISNUMBER($E71))</formula>
    </cfRule>
    <cfRule type="expression" dxfId="1185" priority="119">
      <formula>AND($E71 = 0 * ISNUMBER($E71))</formula>
    </cfRule>
    <cfRule type="expression" dxfId="1184" priority="120">
      <formula>AND($E71 &lt; 0, ISNUMBER($E71))</formula>
    </cfRule>
  </conditionalFormatting>
  <conditionalFormatting sqref="A71:C90 G71:I90">
    <cfRule type="expression" dxfId="1183" priority="115">
      <formula>AND($H71 &gt; 0, ISNUMBER($H71))</formula>
    </cfRule>
    <cfRule type="expression" dxfId="1182" priority="116">
      <formula>AND($H71 = 0 * ISNUMBER($H71))</formula>
    </cfRule>
    <cfRule type="expression" dxfId="1181" priority="117">
      <formula>AND($H71 &lt; 0, ISNUMBER($H71))</formula>
    </cfRule>
  </conditionalFormatting>
  <conditionalFormatting sqref="A71:C90 J71:L90">
    <cfRule type="expression" dxfId="1180" priority="112">
      <formula>AND($K71 &gt; 0, ISNUMBER($K71))</formula>
    </cfRule>
    <cfRule type="expression" dxfId="1179" priority="113">
      <formula>AND($K71 = 0 * ISNUMBER($K71))</formula>
    </cfRule>
    <cfRule type="expression" dxfId="1178" priority="114">
      <formula>AND($K71 &lt; 0, ISNUMBER($K71))</formula>
    </cfRule>
  </conditionalFormatting>
  <conditionalFormatting sqref="D69:F70 E91:F91">
    <cfRule type="expression" dxfId="1177" priority="106">
      <formula>$E$91 &gt; 0</formula>
    </cfRule>
    <cfRule type="expression" dxfId="1176" priority="107">
      <formula>$E$91 = 0</formula>
    </cfRule>
    <cfRule type="expression" dxfId="1175" priority="108">
      <formula>$E$91 &lt; 0</formula>
    </cfRule>
  </conditionalFormatting>
  <conditionalFormatting sqref="G69:I70 H91:I91">
    <cfRule type="expression" dxfId="1174" priority="103">
      <formula>$H$91 &gt; 0</formula>
    </cfRule>
    <cfRule type="expression" dxfId="1173" priority="104">
      <formula>$H$91 = 0</formula>
    </cfRule>
    <cfRule type="expression" dxfId="1172" priority="105">
      <formula>$H$91 &lt; 0</formula>
    </cfRule>
  </conditionalFormatting>
  <conditionalFormatting sqref="J69:L70 K91:L91">
    <cfRule type="expression" dxfId="1171" priority="100">
      <formula>$K$91 &gt; 0</formula>
    </cfRule>
    <cfRule type="expression" dxfId="1170" priority="101">
      <formula>$K$91 = 0</formula>
    </cfRule>
    <cfRule type="expression" dxfId="1169" priority="102">
      <formula>$K$91 &lt; 0</formula>
    </cfRule>
  </conditionalFormatting>
  <conditionalFormatting sqref="M69:O70 N91:O91">
    <cfRule type="expression" dxfId="1168" priority="97">
      <formula>$N$91 &gt; 0</formula>
    </cfRule>
    <cfRule type="expression" dxfId="1167" priority="98">
      <formula>$N$91 = 0</formula>
    </cfRule>
    <cfRule type="expression" dxfId="1166" priority="99">
      <formula>$N$91 &lt; 0</formula>
    </cfRule>
  </conditionalFormatting>
  <conditionalFormatting sqref="A98:C117 M98:O117">
    <cfRule type="expression" dxfId="1165" priority="85">
      <formula>AND($N98 &gt; 0, ISNUMBER($N98))</formula>
    </cfRule>
    <cfRule type="expression" dxfId="1164" priority="86">
      <formula>AND($N98 = 0 * ISNUMBER($N98))</formula>
    </cfRule>
    <cfRule type="expression" dxfId="1163" priority="87">
      <formula>AND($N98 &lt; 0, ISNUMBER($N98))</formula>
    </cfRule>
  </conditionalFormatting>
  <conditionalFormatting sqref="A98:F117">
    <cfRule type="expression" dxfId="1162" priority="94">
      <formula>AND($E98 &gt; 0, ISNUMBER($E98))</formula>
    </cfRule>
    <cfRule type="expression" dxfId="1161" priority="95">
      <formula>AND($E98 = 0 * ISNUMBER($E98))</formula>
    </cfRule>
    <cfRule type="expression" dxfId="1160" priority="96">
      <formula>AND($E98 &lt; 0, ISNUMBER($E98))</formula>
    </cfRule>
  </conditionalFormatting>
  <conditionalFormatting sqref="A98:C117 G98:I117">
    <cfRule type="expression" dxfId="1159" priority="91">
      <formula>AND($H98 &gt; 0, ISNUMBER($H98))</formula>
    </cfRule>
    <cfRule type="expression" dxfId="1158" priority="92">
      <formula>AND($H98 = 0 * ISNUMBER($H98))</formula>
    </cfRule>
    <cfRule type="expression" dxfId="1157" priority="93">
      <formula>AND($H98 &lt; 0, ISNUMBER($H98))</formula>
    </cfRule>
  </conditionalFormatting>
  <conditionalFormatting sqref="A98:C117 J98:L117">
    <cfRule type="expression" dxfId="1156" priority="88">
      <formula>AND($K98 &gt; 0, ISNUMBER($K98))</formula>
    </cfRule>
    <cfRule type="expression" dxfId="1155" priority="89">
      <formula>AND($K98 = 0 * ISNUMBER($K98))</formula>
    </cfRule>
    <cfRule type="expression" dxfId="1154" priority="90">
      <formula>AND($K98 &lt; 0, ISNUMBER($K98))</formula>
    </cfRule>
  </conditionalFormatting>
  <conditionalFormatting sqref="D96:F97 E118:F118">
    <cfRule type="expression" dxfId="1153" priority="82">
      <formula>$E$118 &gt; 0</formula>
    </cfRule>
    <cfRule type="expression" dxfId="1152" priority="83">
      <formula>$E$118 = 0</formula>
    </cfRule>
    <cfRule type="expression" dxfId="1151" priority="84">
      <formula>$E$118 &lt; 0</formula>
    </cfRule>
  </conditionalFormatting>
  <conditionalFormatting sqref="G96:I97 H118:I118">
    <cfRule type="expression" dxfId="1150" priority="79">
      <formula>$H$118 &gt; 0</formula>
    </cfRule>
    <cfRule type="expression" dxfId="1149" priority="80">
      <formula>$H$118 = 0</formula>
    </cfRule>
    <cfRule type="expression" dxfId="1148" priority="81">
      <formula>$H$118 &lt; 0</formula>
    </cfRule>
  </conditionalFormatting>
  <conditionalFormatting sqref="J96:L97 K118:L118">
    <cfRule type="expression" dxfId="1147" priority="76">
      <formula>$K$118 &gt; 0</formula>
    </cfRule>
    <cfRule type="expression" dxfId="1146" priority="77">
      <formula>$K$118 = 0</formula>
    </cfRule>
    <cfRule type="expression" dxfId="1145" priority="78">
      <formula>$K$118 &lt; 0</formula>
    </cfRule>
  </conditionalFormatting>
  <conditionalFormatting sqref="M96:O97 N118:O118">
    <cfRule type="expression" dxfId="1144" priority="73">
      <formula>$N$118 &gt; 0</formula>
    </cfRule>
    <cfRule type="expression" dxfId="1143" priority="74">
      <formula>$N$118 = 0</formula>
    </cfRule>
    <cfRule type="expression" dxfId="1142" priority="75">
      <formula>$N$118 &lt; 0</formula>
    </cfRule>
  </conditionalFormatting>
  <conditionalFormatting sqref="A125:C144 M125:O144">
    <cfRule type="expression" dxfId="1141" priority="61">
      <formula>AND($N125 &gt; 0, ISNUMBER($N125))</formula>
    </cfRule>
    <cfRule type="expression" dxfId="1140" priority="62">
      <formula>AND($N125 = 0 * ISNUMBER($N125))</formula>
    </cfRule>
    <cfRule type="expression" dxfId="1139" priority="63">
      <formula>AND($N125 &lt; 0, ISNUMBER($N125))</formula>
    </cfRule>
  </conditionalFormatting>
  <conditionalFormatting sqref="A125:F144">
    <cfRule type="expression" dxfId="1138" priority="70">
      <formula>AND($E125 &gt; 0, ISNUMBER($E125))</formula>
    </cfRule>
    <cfRule type="expression" dxfId="1137" priority="71">
      <formula>AND($E125 = 0 * ISNUMBER($E125))</formula>
    </cfRule>
    <cfRule type="expression" dxfId="1136" priority="72">
      <formula>AND($E125 &lt; 0, ISNUMBER($E125))</formula>
    </cfRule>
  </conditionalFormatting>
  <conditionalFormatting sqref="A125:C144 G125:I144">
    <cfRule type="expression" dxfId="1135" priority="67">
      <formula>AND($H125 &gt; 0, ISNUMBER($H125))</formula>
    </cfRule>
    <cfRule type="expression" dxfId="1134" priority="68">
      <formula>AND($H125 = 0 * ISNUMBER($H125))</formula>
    </cfRule>
    <cfRule type="expression" dxfId="1133" priority="69">
      <formula>AND($H125 &lt; 0, ISNUMBER($H125))</formula>
    </cfRule>
  </conditionalFormatting>
  <conditionalFormatting sqref="A125:C144 J125:L144">
    <cfRule type="expression" dxfId="1132" priority="64">
      <formula>AND($K125 &gt; 0, ISNUMBER($K125))</formula>
    </cfRule>
    <cfRule type="expression" dxfId="1131" priority="65">
      <formula>AND($K125 = 0 * ISNUMBER($K125))</formula>
    </cfRule>
    <cfRule type="expression" dxfId="1130" priority="66">
      <formula>AND($K125 &lt; 0, ISNUMBER($K125))</formula>
    </cfRule>
  </conditionalFormatting>
  <conditionalFormatting sqref="D123:F124 E145:F145">
    <cfRule type="expression" dxfId="1129" priority="58">
      <formula>$E$145 &gt; 0</formula>
    </cfRule>
    <cfRule type="expression" dxfId="1128" priority="59">
      <formula>$E$145 = 0</formula>
    </cfRule>
    <cfRule type="expression" dxfId="1127" priority="60">
      <formula>$E$145 &lt; 0</formula>
    </cfRule>
  </conditionalFormatting>
  <conditionalFormatting sqref="G123:I124 H145:I145">
    <cfRule type="expression" dxfId="1126" priority="55">
      <formula>$H$145 &gt; 0</formula>
    </cfRule>
    <cfRule type="expression" dxfId="1125" priority="56">
      <formula>$H$145 = 0</formula>
    </cfRule>
    <cfRule type="expression" dxfId="1124" priority="57">
      <formula>$H$145 &lt; 0</formula>
    </cfRule>
  </conditionalFormatting>
  <conditionalFormatting sqref="J123:L124 K145:L145">
    <cfRule type="expression" dxfId="1123" priority="52">
      <formula>$K$145 &gt; 0</formula>
    </cfRule>
    <cfRule type="expression" dxfId="1122" priority="53">
      <formula>$K$145 = 0</formula>
    </cfRule>
    <cfRule type="expression" dxfId="1121" priority="54">
      <formula>$K$145 &lt; 0</formula>
    </cfRule>
  </conditionalFormatting>
  <conditionalFormatting sqref="M123:O124 N145:O145">
    <cfRule type="expression" dxfId="1120" priority="49">
      <formula>$N$145 &gt; 0</formula>
    </cfRule>
    <cfRule type="expression" dxfId="1119" priority="50">
      <formula>$N$145 = 0</formula>
    </cfRule>
    <cfRule type="expression" dxfId="1118" priority="51">
      <formula>$N$145 &lt; 0</formula>
    </cfRule>
  </conditionalFormatting>
  <conditionalFormatting sqref="A152:C171 M152:O171">
    <cfRule type="expression" dxfId="1117" priority="37">
      <formula>AND($N152 &gt; 0, ISNUMBER($N152))</formula>
    </cfRule>
    <cfRule type="expression" dxfId="1116" priority="38">
      <formula>AND($N152 = 0 * ISNUMBER($N152))</formula>
    </cfRule>
    <cfRule type="expression" dxfId="1115" priority="39">
      <formula>AND($N152 &lt; 0, ISNUMBER($N152))</formula>
    </cfRule>
  </conditionalFormatting>
  <conditionalFormatting sqref="A152:F171">
    <cfRule type="expression" dxfId="1114" priority="46">
      <formula>AND($E152 &gt; 0, ISNUMBER($E152))</formula>
    </cfRule>
    <cfRule type="expression" dxfId="1113" priority="47">
      <formula>AND($E152 = 0 * ISNUMBER($E152))</formula>
    </cfRule>
    <cfRule type="expression" dxfId="1112" priority="48">
      <formula>AND($E152 &lt; 0, ISNUMBER($E152))</formula>
    </cfRule>
  </conditionalFormatting>
  <conditionalFormatting sqref="A152:C171 G152:I171">
    <cfRule type="expression" dxfId="1111" priority="43">
      <formula>AND($H152 &gt; 0, ISNUMBER($H152))</formula>
    </cfRule>
    <cfRule type="expression" dxfId="1110" priority="44">
      <formula>AND($H152 = 0 * ISNUMBER($H152))</formula>
    </cfRule>
    <cfRule type="expression" dxfId="1109" priority="45">
      <formula>AND($H152 &lt; 0, ISNUMBER($H152))</formula>
    </cfRule>
  </conditionalFormatting>
  <conditionalFormatting sqref="A152:C171 J152:L171">
    <cfRule type="expression" dxfId="1108" priority="40">
      <formula>AND($K152 &gt; 0, ISNUMBER($K152))</formula>
    </cfRule>
    <cfRule type="expression" dxfId="1107" priority="41">
      <formula>AND($K152 = 0 * ISNUMBER($K152))</formula>
    </cfRule>
    <cfRule type="expression" dxfId="1106" priority="42">
      <formula>AND($K152 &lt; 0, ISNUMBER($K152))</formula>
    </cfRule>
  </conditionalFormatting>
  <conditionalFormatting sqref="D150:F151 E172:F172">
    <cfRule type="expression" dxfId="1105" priority="34">
      <formula>$E$172 &gt; 0</formula>
    </cfRule>
    <cfRule type="expression" dxfId="1104" priority="35">
      <formula>$E$172 = 0</formula>
    </cfRule>
    <cfRule type="expression" dxfId="1103" priority="36">
      <formula>$E$172 &lt; 0</formula>
    </cfRule>
  </conditionalFormatting>
  <conditionalFormatting sqref="G150:I151 H172:I172">
    <cfRule type="expression" dxfId="1102" priority="31">
      <formula>$H$172 &gt; 0</formula>
    </cfRule>
    <cfRule type="expression" dxfId="1101" priority="32">
      <formula>$H$172 = 0</formula>
    </cfRule>
    <cfRule type="expression" dxfId="1100" priority="33">
      <formula>$H$172 &lt; 0</formula>
    </cfRule>
  </conditionalFormatting>
  <conditionalFormatting sqref="J150:L151 K172:L172">
    <cfRule type="expression" dxfId="1099" priority="28">
      <formula>$K$172 &gt; 0</formula>
    </cfRule>
    <cfRule type="expression" dxfId="1098" priority="29">
      <formula>$K$172 = 0</formula>
    </cfRule>
    <cfRule type="expression" dxfId="1097" priority="30">
      <formula>$K$172 &lt; 0</formula>
    </cfRule>
  </conditionalFormatting>
  <conditionalFormatting sqref="M150:O151 N172:O172">
    <cfRule type="expression" dxfId="1096" priority="25">
      <formula>$N$172 &gt; 0</formula>
    </cfRule>
    <cfRule type="expression" dxfId="1095" priority="26">
      <formula>$N$172 = 0</formula>
    </cfRule>
    <cfRule type="expression" dxfId="1094" priority="27">
      <formula>$N$172 &lt; 0</formula>
    </cfRule>
  </conditionalFormatting>
  <conditionalFormatting sqref="A179:C198 M179:O198">
    <cfRule type="expression" dxfId="1093" priority="13">
      <formula>AND($N179 &gt; 0, ISNUMBER($N179))</formula>
    </cfRule>
    <cfRule type="expression" dxfId="1092" priority="14">
      <formula>AND($N179 = 0 * ISNUMBER($N179))</formula>
    </cfRule>
    <cfRule type="expression" dxfId="1091" priority="15">
      <formula>AND($N179 &lt; 0, ISNUMBER($N179))</formula>
    </cfRule>
  </conditionalFormatting>
  <conditionalFormatting sqref="A179:F198">
    <cfRule type="expression" dxfId="1090" priority="22">
      <formula>AND($E179 &gt; 0, ISNUMBER($E179))</formula>
    </cfRule>
    <cfRule type="expression" dxfId="1089" priority="23">
      <formula>AND($E179 = 0 * ISNUMBER($E179))</formula>
    </cfRule>
    <cfRule type="expression" dxfId="1088" priority="24">
      <formula>AND($E179 &lt; 0, ISNUMBER($E179))</formula>
    </cfRule>
  </conditionalFormatting>
  <conditionalFormatting sqref="A179:C198 G179:I198">
    <cfRule type="expression" dxfId="1087" priority="19">
      <formula>AND($H179 &gt; 0, ISNUMBER($H179))</formula>
    </cfRule>
    <cfRule type="expression" dxfId="1086" priority="20">
      <formula>AND($H179 = 0 * ISNUMBER($H179))</formula>
    </cfRule>
    <cfRule type="expression" dxfId="1085" priority="21">
      <formula>AND($H179 &lt; 0, ISNUMBER($H179))</formula>
    </cfRule>
  </conditionalFormatting>
  <conditionalFormatting sqref="A179:C198 J179:L198">
    <cfRule type="expression" dxfId="1084" priority="16">
      <formula>AND($K179 &gt; 0, ISNUMBER($K179))</formula>
    </cfRule>
    <cfRule type="expression" dxfId="1083" priority="17">
      <formula>AND($K179 = 0 * ISNUMBER($K179))</formula>
    </cfRule>
    <cfRule type="expression" dxfId="1082" priority="18">
      <formula>AND($K179 &lt; 0, ISNUMBER($K179))</formula>
    </cfRule>
  </conditionalFormatting>
  <conditionalFormatting sqref="D177:F178 E199:F199">
    <cfRule type="expression" dxfId="1081" priority="10">
      <formula>$E$199 &gt; 0</formula>
    </cfRule>
    <cfRule type="expression" dxfId="1080" priority="11">
      <formula>$E$199 = 0</formula>
    </cfRule>
    <cfRule type="expression" dxfId="1079" priority="12">
      <formula>$E$199 &lt; 0</formula>
    </cfRule>
  </conditionalFormatting>
  <conditionalFormatting sqref="G177:I178 H199:I199">
    <cfRule type="expression" dxfId="1078" priority="7">
      <formula>$H$199 &gt; 0</formula>
    </cfRule>
    <cfRule type="expression" dxfId="1077" priority="8">
      <formula>$H$199 = 0</formula>
    </cfRule>
    <cfRule type="expression" dxfId="1076" priority="9">
      <formula>$H$199 &lt; 0</formula>
    </cfRule>
  </conditionalFormatting>
  <conditionalFormatting sqref="J177:L178 K199:L199">
    <cfRule type="expression" dxfId="1075" priority="4">
      <formula>$K$199 &gt; 0</formula>
    </cfRule>
    <cfRule type="expression" dxfId="1074" priority="5">
      <formula>$K$199 = 0</formula>
    </cfRule>
    <cfRule type="expression" dxfId="1073" priority="6">
      <formula>$K$199 &lt; 0</formula>
    </cfRule>
  </conditionalFormatting>
  <conditionalFormatting sqref="M177:O178 N199:O199">
    <cfRule type="expression" dxfId="1072" priority="1">
      <formula>$N$199 &gt; 0</formula>
    </cfRule>
    <cfRule type="expression" dxfId="1071" priority="2">
      <formula>$N$199 = 0</formula>
    </cfRule>
    <cfRule type="expression" dxfId="10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F1" workbookViewId="0">
      <selection activeCell="T18" sqref="T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1499000</v>
      </c>
      <c r="D2" s="92">
        <v>0.24501661129999999</v>
      </c>
      <c r="E2" s="93">
        <v>590289.28425621998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793</v>
      </c>
      <c r="D3" s="92">
        <v>0.1748148148</v>
      </c>
      <c r="E3" s="93">
        <v>9687280794.9657383</v>
      </c>
      <c r="F3" s="35"/>
      <c r="G3" s="229" t="s">
        <v>290</v>
      </c>
      <c r="H3" s="241" t="s">
        <v>322</v>
      </c>
      <c r="I3" s="241"/>
      <c r="K3" s="185" t="s">
        <v>34</v>
      </c>
      <c r="L3" s="186"/>
      <c r="M3" s="186"/>
      <c r="N3" s="187"/>
      <c r="O3" s="185" t="s">
        <v>292</v>
      </c>
      <c r="P3" s="186"/>
      <c r="Q3" s="186"/>
      <c r="R3" s="187"/>
    </row>
    <row r="4" spans="1:18" ht="17.25" thickBot="1">
      <c r="A4" s="40" t="s">
        <v>85</v>
      </c>
      <c r="B4" s="11" t="s">
        <v>86</v>
      </c>
      <c r="C4" s="95">
        <v>9085</v>
      </c>
      <c r="D4" s="92">
        <v>0.1370463079</v>
      </c>
      <c r="E4" s="93">
        <v>73474557.025203943</v>
      </c>
      <c r="F4" s="35"/>
      <c r="G4" s="230"/>
      <c r="H4" s="242"/>
      <c r="I4" s="242"/>
      <c r="K4" s="222" t="s">
        <v>55</v>
      </c>
      <c r="L4" s="238">
        <f ca="1">NOW()</f>
        <v>44321.914210995368</v>
      </c>
      <c r="M4" s="239"/>
      <c r="N4" s="240"/>
      <c r="O4" s="237" t="s">
        <v>55</v>
      </c>
      <c r="P4" s="238">
        <f ca="1">NOW()</f>
        <v>44321.914210995368</v>
      </c>
      <c r="Q4" s="239"/>
      <c r="R4" s="240"/>
    </row>
    <row r="5" spans="1:18" ht="17.25" thickBot="1">
      <c r="A5" s="40" t="s">
        <v>97</v>
      </c>
      <c r="B5" s="11" t="s">
        <v>98</v>
      </c>
      <c r="C5" s="95">
        <v>7790</v>
      </c>
      <c r="D5" s="92">
        <v>0.1273516643</v>
      </c>
      <c r="E5" s="93">
        <v>14831053.36069325</v>
      </c>
      <c r="F5" s="35"/>
      <c r="K5" s="230"/>
      <c r="L5" s="36" t="s">
        <v>58</v>
      </c>
      <c r="M5" s="73" t="s">
        <v>59</v>
      </c>
      <c r="N5" s="69" t="s">
        <v>294</v>
      </c>
      <c r="O5" s="230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89</v>
      </c>
      <c r="B6" s="11" t="s">
        <v>90</v>
      </c>
      <c r="C6" s="95">
        <v>456450</v>
      </c>
      <c r="D6" s="92">
        <v>0.1093693037</v>
      </c>
      <c r="E6" s="93">
        <v>146810.30682172999</v>
      </c>
      <c r="F6" s="35"/>
      <c r="G6" s="185" t="s">
        <v>52</v>
      </c>
      <c r="H6" s="186"/>
      <c r="I6" s="187"/>
      <c r="K6" s="55" t="str">
        <f ca="1">IFERROR(OFFSET(INDIRECT($H$3 &amp; "!A17"), 0, 0), "")</f>
        <v>도지코인</v>
      </c>
      <c r="L6" s="38">
        <f t="shared" ref="L6:L24" ca="1" si="0">_xlfn.IFNA(VLOOKUP(K6, $B$2:$E$200, 2, FALSE), "")</f>
        <v>793</v>
      </c>
      <c r="M6" s="76">
        <f t="shared" ref="M6:M25" ca="1" si="1">_xlfn.IFNA(VLOOKUP(K6, $B$2:$E$200, 3, FALSE), "")</f>
        <v>0.1748148148</v>
      </c>
      <c r="N6" s="85">
        <f ca="1">_xlfn.IFNA(VLOOKUP(K6, $B$2:$E$200, 4, FALSE), "")</f>
        <v>9687280794.9657383</v>
      </c>
      <c r="O6" s="46" t="str">
        <f>INDEX($A$2:$D$200, MATCH(LARGE($D$2:$D$200, 1), $D$2:$D$200, 0), 2)</f>
        <v>비트코인캐시</v>
      </c>
      <c r="P6" s="38">
        <f t="shared" ref="P6:P25" si="2">_xlfn.IFNA(VLOOKUP(O6, $B$2:$D$200, 2, FALSE), "")</f>
        <v>1499000</v>
      </c>
      <c r="Q6" s="76">
        <f t="shared" ref="Q6:Q25" si="3">_xlfn.IFNA(VLOOKUP(O6, $B$2:$D$200, 3, FALSE), "")</f>
        <v>0.24501661129999999</v>
      </c>
      <c r="R6" s="85">
        <f>_xlfn.IFNA(VLOOKUP(O6, $B$2:$E$200, 4, FALSE), "")</f>
        <v>590289.28425621998</v>
      </c>
    </row>
    <row r="7" spans="1:18">
      <c r="A7" s="40" t="s">
        <v>107</v>
      </c>
      <c r="B7" s="11" t="s">
        <v>108</v>
      </c>
      <c r="C7" s="95">
        <v>60960</v>
      </c>
      <c r="D7" s="92">
        <v>0.1033484163</v>
      </c>
      <c r="E7" s="93">
        <v>2027480.25333357</v>
      </c>
      <c r="F7" s="35"/>
      <c r="G7" s="213" t="s">
        <v>36</v>
      </c>
      <c r="H7" s="214"/>
      <c r="I7" s="215"/>
      <c r="K7" s="56" t="str">
        <f ca="1">IFERROR(OFFSET(INDIRECT($H$3 &amp; "!A17"), 1, 0), "")</f>
        <v>이더리움클래식</v>
      </c>
      <c r="L7" s="39">
        <f t="shared" ca="1" si="0"/>
        <v>89100</v>
      </c>
      <c r="M7" s="77">
        <f t="shared" ca="1" si="1"/>
        <v>3.6046511599999997E-2</v>
      </c>
      <c r="N7" s="86">
        <f t="shared" ref="N7:N25" ca="1" si="4">_xlfn.IFNA(VLOOKUP(K7, $B$2:$E$200, 4, FALSE), "")</f>
        <v>33260532.911876</v>
      </c>
      <c r="O7" s="47" t="str">
        <f>INDEX($A$2:$D$200, MATCH(LARGE($D$2:$D$200, 2), $D$2:$D$200, 0), 2)</f>
        <v>도지코인</v>
      </c>
      <c r="P7" s="39">
        <f t="shared" si="2"/>
        <v>793</v>
      </c>
      <c r="Q7" s="77">
        <f t="shared" si="3"/>
        <v>0.1748148148</v>
      </c>
      <c r="R7" s="86">
        <f t="shared" ref="R7:R25" si="5">_xlfn.IFNA(VLOOKUP(O7, $B$2:$E$200, 4, FALSE), "")</f>
        <v>9687280794.9657383</v>
      </c>
    </row>
    <row r="8" spans="1:18" ht="17.25" thickBot="1">
      <c r="A8" s="40" t="s">
        <v>91</v>
      </c>
      <c r="B8" s="11" t="s">
        <v>92</v>
      </c>
      <c r="C8" s="95">
        <v>1910</v>
      </c>
      <c r="D8" s="92">
        <v>9.4555873900000004E-2</v>
      </c>
      <c r="E8" s="93">
        <v>801785644.42336464</v>
      </c>
      <c r="F8" s="35"/>
      <c r="G8" s="206"/>
      <c r="H8" s="207"/>
      <c r="I8" s="208"/>
      <c r="K8" s="56" t="str">
        <f ca="1">IFERROR(OFFSET(INDIRECT($H$3 &amp; "!A17"), 2, 0), "")</f>
        <v>웨이브</v>
      </c>
      <c r="L8" s="39">
        <f t="shared" ca="1" si="0"/>
        <v>41950</v>
      </c>
      <c r="M8" s="77">
        <f t="shared" ca="1" si="1"/>
        <v>-5.2191595100000002E-2</v>
      </c>
      <c r="N8" s="86">
        <f t="shared" ca="1" si="4"/>
        <v>6090268.6939234799</v>
      </c>
      <c r="O8" s="47" t="str">
        <f>INDEX($A$2:$D$200, MATCH(LARGE($D$2:$D$200, 3), $D$2:$D$200, 0), 2)</f>
        <v>이오스</v>
      </c>
      <c r="P8" s="39">
        <f t="shared" si="2"/>
        <v>9085</v>
      </c>
      <c r="Q8" s="77">
        <f t="shared" si="3"/>
        <v>0.1370463079</v>
      </c>
      <c r="R8" s="86">
        <f t="shared" si="5"/>
        <v>73474557.025203943</v>
      </c>
    </row>
    <row r="9" spans="1:18" ht="17.25" thickBot="1">
      <c r="A9" s="40" t="s">
        <v>103</v>
      </c>
      <c r="B9" s="11" t="s">
        <v>104</v>
      </c>
      <c r="C9" s="95">
        <v>2410</v>
      </c>
      <c r="D9" s="92">
        <v>8.55855856E-2</v>
      </c>
      <c r="E9" s="93">
        <v>20712635.43127244</v>
      </c>
      <c r="F9" s="35"/>
      <c r="G9" s="9" t="s">
        <v>38</v>
      </c>
      <c r="H9" s="186" t="s">
        <v>37</v>
      </c>
      <c r="I9" s="187"/>
      <c r="K9" s="56" t="str">
        <f ca="1">IFERROR(OFFSET(INDIRECT($H$3 &amp; "!A17"), 3, 0), "")</f>
        <v>비트코인골드</v>
      </c>
      <c r="L9" s="39">
        <f t="shared" ca="1" si="0"/>
        <v>140550</v>
      </c>
      <c r="M9" s="77">
        <f t="shared" ca="1" si="1"/>
        <v>3.3455882399999998E-2</v>
      </c>
      <c r="N9" s="86">
        <f t="shared" ca="1" si="4"/>
        <v>2594338.12153788</v>
      </c>
      <c r="O9" s="47" t="str">
        <f>INDEX($A$2:$D$200, MATCH(LARGE($D$2:$D$200, 4), $D$2:$D$200, 0), 2)</f>
        <v>테조스</v>
      </c>
      <c r="P9" s="39">
        <f t="shared" si="2"/>
        <v>7790</v>
      </c>
      <c r="Q9" s="77">
        <f t="shared" si="3"/>
        <v>0.1273516643</v>
      </c>
      <c r="R9" s="86">
        <f t="shared" si="5"/>
        <v>14831053.36069325</v>
      </c>
    </row>
    <row r="10" spans="1:18">
      <c r="A10" s="40" t="s">
        <v>137</v>
      </c>
      <c r="B10" s="11" t="s">
        <v>138</v>
      </c>
      <c r="C10" s="95">
        <v>47280</v>
      </c>
      <c r="D10" s="92">
        <v>8.4403669700000003E-2</v>
      </c>
      <c r="E10" s="93">
        <v>1616356.0333565599</v>
      </c>
      <c r="F10" s="35"/>
      <c r="G10" s="231">
        <f>_xlfn.IFNA(VLOOKUP(G7, $B$2:$D$200, 3, FALSE), "-")</f>
        <v>1.0743838800000001E-2</v>
      </c>
      <c r="H10" s="233">
        <f>_xlfn.IFNA(VLOOKUP(G7, $B$2:$D$200, 2, FALSE), "-")</f>
        <v>67547000</v>
      </c>
      <c r="I10" s="234"/>
      <c r="K10" s="58" t="str">
        <f ca="1">IFERROR(OFFSET(INDIRECT($H$3 &amp; "!A17"), 4, 0), "")</f>
        <v>플로우</v>
      </c>
      <c r="L10" s="44">
        <f t="shared" ca="1" si="0"/>
        <v>39190</v>
      </c>
      <c r="M10" s="78">
        <f t="shared" ca="1" si="1"/>
        <v>-3.6864094399999998E-2</v>
      </c>
      <c r="N10" s="90">
        <f t="shared" ca="1" si="4"/>
        <v>1255253.8800957699</v>
      </c>
      <c r="O10" s="47" t="str">
        <f>INDEX($A$2:$D$200, MATCH(LARGE($D$2:$D$200, 5), $D$2:$D$200, 0), 2)</f>
        <v>비트코인에스브이</v>
      </c>
      <c r="P10" s="39">
        <f t="shared" si="2"/>
        <v>456450</v>
      </c>
      <c r="Q10" s="77">
        <f t="shared" si="3"/>
        <v>0.1093693037</v>
      </c>
      <c r="R10" s="90">
        <f t="shared" si="5"/>
        <v>146810.30682172999</v>
      </c>
    </row>
    <row r="11" spans="1:18" ht="17.25" thickBot="1">
      <c r="A11" s="40" t="s">
        <v>141</v>
      </c>
      <c r="B11" s="11" t="s">
        <v>142</v>
      </c>
      <c r="C11" s="95">
        <v>447</v>
      </c>
      <c r="D11" s="92">
        <v>8.2324455199999994E-2</v>
      </c>
      <c r="E11" s="93">
        <v>333937950.0207364</v>
      </c>
      <c r="F11" s="35"/>
      <c r="G11" s="232"/>
      <c r="H11" s="235"/>
      <c r="I11" s="236"/>
      <c r="K11" s="56" t="str">
        <f ca="1">IFERROR(OFFSET(INDIRECT($H$3 &amp; "!A17"), 5, 0), "")</f>
        <v>라이트코인</v>
      </c>
      <c r="L11" s="39">
        <f t="shared" ca="1" si="0"/>
        <v>412800</v>
      </c>
      <c r="M11" s="77">
        <f t="shared" ca="1" si="1"/>
        <v>7.3881373599999994E-2</v>
      </c>
      <c r="N11" s="99">
        <f t="shared" ca="1" si="4"/>
        <v>503706.61746472999</v>
      </c>
      <c r="O11" s="49" t="str">
        <f>INDEX($A$2:$D$200, MATCH(LARGE($D$2:$D$200, 6), $D$2:$D$200, 0), 2)</f>
        <v>비트코인캐시에이비씨</v>
      </c>
      <c r="P11" s="45">
        <f t="shared" si="2"/>
        <v>60960</v>
      </c>
      <c r="Q11" s="80">
        <f t="shared" si="3"/>
        <v>0.1033484163</v>
      </c>
      <c r="R11" s="99">
        <f t="shared" si="5"/>
        <v>2027480.25333357</v>
      </c>
    </row>
    <row r="12" spans="1:18" ht="17.25" thickBot="1">
      <c r="A12" s="40" t="s">
        <v>50</v>
      </c>
      <c r="B12" s="11" t="s">
        <v>51</v>
      </c>
      <c r="C12" s="95">
        <v>679</v>
      </c>
      <c r="D12" s="92">
        <v>7.6069730599999996E-2</v>
      </c>
      <c r="E12" s="93">
        <v>94414367.870606452</v>
      </c>
      <c r="F12" s="35"/>
      <c r="K12" s="56" t="str">
        <f ca="1">IFERROR(OFFSET(INDIRECT($H$3 &amp; "!A17"), 6, 0), "")</f>
        <v>에스티피</v>
      </c>
      <c r="L12" s="39">
        <f t="shared" ca="1" si="0"/>
        <v>102</v>
      </c>
      <c r="M12" s="77">
        <f t="shared" ca="1" si="1"/>
        <v>9.9009900999999997E-3</v>
      </c>
      <c r="N12" s="86">
        <f t="shared" ca="1" si="4"/>
        <v>530754049.02658969</v>
      </c>
      <c r="O12" s="47" t="str">
        <f>INDEX($A$2:$D$200, MATCH(LARGE($D$2:$D$200, 7), $D$2:$D$200, 0), 2)</f>
        <v>리플</v>
      </c>
      <c r="P12" s="39">
        <f t="shared" si="2"/>
        <v>1910</v>
      </c>
      <c r="Q12" s="77">
        <f t="shared" si="3"/>
        <v>9.4555873900000004E-2</v>
      </c>
      <c r="R12" s="86">
        <f t="shared" si="5"/>
        <v>801785644.42336464</v>
      </c>
    </row>
    <row r="13" spans="1:18" ht="17.25" thickBot="1">
      <c r="A13" s="40" t="s">
        <v>73</v>
      </c>
      <c r="B13" s="11" t="s">
        <v>74</v>
      </c>
      <c r="C13" s="95">
        <v>28330</v>
      </c>
      <c r="D13" s="92">
        <v>7.3919636100000005E-2</v>
      </c>
      <c r="E13" s="93">
        <v>915712.57551777002</v>
      </c>
      <c r="F13" s="35"/>
      <c r="G13" s="185" t="s">
        <v>70</v>
      </c>
      <c r="H13" s="186"/>
      <c r="I13" s="187"/>
      <c r="K13" s="56" t="str">
        <f ca="1">IFERROR(OFFSET(INDIRECT($H$3 &amp; "!A17"), 7, 0), "")</f>
        <v>체인링크</v>
      </c>
      <c r="L13" s="39">
        <f t="shared" ca="1" si="0"/>
        <v>58390</v>
      </c>
      <c r="M13" s="77">
        <f t="shared" ca="1" si="1"/>
        <v>2.0804195800000001E-2</v>
      </c>
      <c r="N13" s="86">
        <f t="shared" ca="1" si="4"/>
        <v>6176247.4284650404</v>
      </c>
      <c r="O13" s="47" t="str">
        <f>INDEX($A$2:$D$200, MATCH(LARGE($D$2:$D$200, 8), $D$2:$D$200, 0), 2)</f>
        <v>온톨로지</v>
      </c>
      <c r="P13" s="39">
        <f t="shared" si="2"/>
        <v>2410</v>
      </c>
      <c r="Q13" s="77">
        <f t="shared" si="3"/>
        <v>8.55855856E-2</v>
      </c>
      <c r="R13" s="86">
        <f t="shared" si="5"/>
        <v>20712635.43127244</v>
      </c>
    </row>
    <row r="14" spans="1:18">
      <c r="A14" s="40" t="s">
        <v>129</v>
      </c>
      <c r="B14" s="11" t="s">
        <v>130</v>
      </c>
      <c r="C14" s="95">
        <v>412800</v>
      </c>
      <c r="D14" s="92">
        <v>7.3881373599999994E-2</v>
      </c>
      <c r="E14" s="93">
        <v>503706.61746472999</v>
      </c>
      <c r="F14" s="35"/>
      <c r="G14" s="213" t="s">
        <v>36</v>
      </c>
      <c r="H14" s="214"/>
      <c r="I14" s="215"/>
      <c r="K14" s="56" t="str">
        <f ca="1">IFERROR(OFFSET(INDIRECT($H$3 &amp; "!A17"), 8, 0), "")</f>
        <v>비트코인캐시에이비씨</v>
      </c>
      <c r="L14" s="39">
        <f t="shared" ca="1" si="0"/>
        <v>60960</v>
      </c>
      <c r="M14" s="77">
        <f t="shared" ca="1" si="1"/>
        <v>0.1033484163</v>
      </c>
      <c r="N14" s="86">
        <f t="shared" ca="1" si="4"/>
        <v>2027480.25333357</v>
      </c>
      <c r="O14" s="47" t="str">
        <f>INDEX($A$2:$D$200, MATCH(LARGE($D$2:$D$200, 9), $D$2:$D$200, 0), 2)</f>
        <v>폴카닷</v>
      </c>
      <c r="P14" s="39">
        <f t="shared" si="2"/>
        <v>47280</v>
      </c>
      <c r="Q14" s="77">
        <f t="shared" si="3"/>
        <v>8.4403669700000003E-2</v>
      </c>
      <c r="R14" s="86">
        <f t="shared" si="5"/>
        <v>1616356.0333565599</v>
      </c>
    </row>
    <row r="15" spans="1:18" ht="17.25" thickBot="1">
      <c r="A15" s="40" t="s">
        <v>62</v>
      </c>
      <c r="B15" s="11" t="s">
        <v>63</v>
      </c>
      <c r="C15" s="95">
        <v>130100</v>
      </c>
      <c r="D15" s="92">
        <v>7.2989690699999998E-2</v>
      </c>
      <c r="E15" s="93">
        <v>1710749.6996764001</v>
      </c>
      <c r="F15" s="35"/>
      <c r="G15" s="206"/>
      <c r="H15" s="207"/>
      <c r="I15" s="208"/>
      <c r="K15" s="57" t="str">
        <f ca="1">IFERROR(OFFSET(INDIRECT($H$3 &amp; "!A17"), 9, 0), "")</f>
        <v>스택스</v>
      </c>
      <c r="L15" s="37">
        <f t="shared" ca="1" si="0"/>
        <v>2500</v>
      </c>
      <c r="M15" s="79">
        <f t="shared" ca="1" si="1"/>
        <v>-2.9126213599999999E-2</v>
      </c>
      <c r="N15" s="87">
        <f t="shared" ca="1" si="4"/>
        <v>10428988.65431143</v>
      </c>
      <c r="O15" s="48" t="str">
        <f>INDEX($A$2:$D$200, MATCH(LARGE($D$2:$D$200, 10), $D$2:$D$200, 0), 2)</f>
        <v>쎄타퓨엘</v>
      </c>
      <c r="P15" s="37">
        <f t="shared" si="2"/>
        <v>447</v>
      </c>
      <c r="Q15" s="79">
        <f t="shared" si="3"/>
        <v>8.2324455199999994E-2</v>
      </c>
      <c r="R15" s="87">
        <f t="shared" si="5"/>
        <v>333937950.0207364</v>
      </c>
    </row>
    <row r="16" spans="1:18" ht="17.25" thickBot="1">
      <c r="A16" s="40" t="s">
        <v>143</v>
      </c>
      <c r="B16" s="11" t="s">
        <v>144</v>
      </c>
      <c r="C16" s="95">
        <v>11710</v>
      </c>
      <c r="D16" s="92">
        <v>7.23443223E-2</v>
      </c>
      <c r="E16" s="93">
        <v>10232075.953636371</v>
      </c>
      <c r="F16" s="35"/>
      <c r="G16" s="9" t="s">
        <v>38</v>
      </c>
      <c r="H16" s="186" t="s">
        <v>37</v>
      </c>
      <c r="I16" s="187"/>
      <c r="K16" s="55" t="str">
        <f ca="1">IFERROR(OFFSET(INDIRECT($H$3 &amp; "!A17"), 10, 0), "")</f>
        <v>메인프레임</v>
      </c>
      <c r="L16" s="38">
        <f t="shared" ca="1" si="0"/>
        <v>21.6</v>
      </c>
      <c r="M16" s="76">
        <f t="shared" ca="1" si="1"/>
        <v>-2.7027026999999999E-2</v>
      </c>
      <c r="N16" s="85">
        <f t="shared" ca="1" si="4"/>
        <v>881817346.93783426</v>
      </c>
      <c r="O16" s="46" t="str">
        <f>INDEX($A$2:$D$200, MATCH(LARGE($D$2:$D$200, 11), $D$2:$D$200, 0), 2)</f>
        <v>스텔라루멘</v>
      </c>
      <c r="P16" s="38">
        <f t="shared" si="2"/>
        <v>679</v>
      </c>
      <c r="Q16" s="76">
        <f t="shared" si="3"/>
        <v>7.6069730599999996E-2</v>
      </c>
      <c r="R16" s="85">
        <f t="shared" si="5"/>
        <v>94414367.870606452</v>
      </c>
    </row>
    <row r="17" spans="1:18">
      <c r="A17" s="40" t="s">
        <v>159</v>
      </c>
      <c r="B17" s="11" t="s">
        <v>160</v>
      </c>
      <c r="C17" s="95">
        <v>3140</v>
      </c>
      <c r="D17" s="92">
        <v>7.1672354899999999E-2</v>
      </c>
      <c r="E17" s="93">
        <v>3382740.8227436198</v>
      </c>
      <c r="F17" s="35"/>
      <c r="G17" s="231">
        <f>_xlfn.IFNA(VLOOKUP(G14, $B$2:$D$200, 3, FALSE), "-")</f>
        <v>1.0743838800000001E-2</v>
      </c>
      <c r="H17" s="233">
        <f>_xlfn.IFNA(VLOOKUP(G14, $B$2:$D$200, 2, FALSE), "-")</f>
        <v>67547000</v>
      </c>
      <c r="I17" s="234"/>
      <c r="K17" s="56" t="str">
        <f ca="1">IFERROR(OFFSET(INDIRECT($H$3 &amp; "!A17"), 11, 0), "")</f>
        <v>스트라티스</v>
      </c>
      <c r="L17" s="39">
        <f t="shared" ca="1" si="0"/>
        <v>4470</v>
      </c>
      <c r="M17" s="77">
        <f t="shared" ca="1" si="1"/>
        <v>-5.8947368399999998E-2</v>
      </c>
      <c r="N17" s="86">
        <f t="shared" ca="1" si="4"/>
        <v>6088529.4724995997</v>
      </c>
      <c r="O17" s="47" t="str">
        <f>INDEX($A$2:$D$200, MATCH(LARGE($D$2:$D$200, 12), $D$2:$D$200, 0), 2)</f>
        <v>코스모스</v>
      </c>
      <c r="P17" s="39">
        <f t="shared" si="2"/>
        <v>28330</v>
      </c>
      <c r="Q17" s="77">
        <f t="shared" si="3"/>
        <v>7.3919636100000005E-2</v>
      </c>
      <c r="R17" s="86">
        <f t="shared" si="5"/>
        <v>915712.57551777002</v>
      </c>
    </row>
    <row r="18" spans="1:18" ht="17.25" thickBot="1">
      <c r="A18" s="40" t="s">
        <v>187</v>
      </c>
      <c r="B18" s="11" t="s">
        <v>188</v>
      </c>
      <c r="C18" s="95">
        <v>18560</v>
      </c>
      <c r="D18" s="92">
        <v>6.7280045999999996E-2</v>
      </c>
      <c r="E18" s="93">
        <v>8034177.5309121404</v>
      </c>
      <c r="F18" s="35"/>
      <c r="G18" s="232"/>
      <c r="H18" s="235"/>
      <c r="I18" s="236"/>
      <c r="K18" s="56" t="str">
        <f ca="1">IFERROR(OFFSET(INDIRECT($H$3 &amp; "!A17"), 12, 0), "")</f>
        <v>오미세고</v>
      </c>
      <c r="L18" s="39">
        <f t="shared" ca="1" si="0"/>
        <v>11710</v>
      </c>
      <c r="M18" s="77">
        <f t="shared" ca="1" si="1"/>
        <v>7.23443223E-2</v>
      </c>
      <c r="N18" s="86">
        <f t="shared" ca="1" si="4"/>
        <v>10232075.953636371</v>
      </c>
      <c r="O18" s="47" t="str">
        <f>INDEX($A$2:$D$200, MATCH(LARGE($D$2:$D$200, 13), $D$2:$D$200, 0), 2)</f>
        <v>라이트코인</v>
      </c>
      <c r="P18" s="39">
        <f t="shared" si="2"/>
        <v>412800</v>
      </c>
      <c r="Q18" s="77">
        <f t="shared" si="3"/>
        <v>7.3881373599999994E-2</v>
      </c>
      <c r="R18" s="86">
        <f t="shared" si="5"/>
        <v>503706.61746472999</v>
      </c>
    </row>
    <row r="19" spans="1:18" ht="17.25" thickBot="1">
      <c r="A19" s="40" t="s">
        <v>155</v>
      </c>
      <c r="B19" s="11" t="s">
        <v>156</v>
      </c>
      <c r="C19" s="95">
        <v>160</v>
      </c>
      <c r="D19" s="92">
        <v>6.6666666700000002E-2</v>
      </c>
      <c r="E19" s="93">
        <v>820457429.91056979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456450</v>
      </c>
      <c r="M19" s="77">
        <f t="shared" ca="1" si="1"/>
        <v>0.1093693037</v>
      </c>
      <c r="N19" s="86">
        <f t="shared" ca="1" si="4"/>
        <v>146810.30682172999</v>
      </c>
      <c r="O19" s="47" t="str">
        <f>INDEX($A$2:$D$200, MATCH(LARGE($D$2:$D$200, 14), $D$2:$D$200, 0), 2)</f>
        <v>네오</v>
      </c>
      <c r="P19" s="39">
        <f t="shared" si="2"/>
        <v>130100</v>
      </c>
      <c r="Q19" s="77">
        <f t="shared" si="3"/>
        <v>7.2989690699999998E-2</v>
      </c>
      <c r="R19" s="86">
        <f t="shared" si="5"/>
        <v>1710749.6996764001</v>
      </c>
    </row>
    <row r="20" spans="1:18" ht="17.25" thickBot="1">
      <c r="A20" s="40" t="s">
        <v>151</v>
      </c>
      <c r="B20" s="11" t="s">
        <v>152</v>
      </c>
      <c r="C20" s="95">
        <v>48.1</v>
      </c>
      <c r="D20" s="92">
        <v>6.6518847000000006E-2</v>
      </c>
      <c r="E20" s="93">
        <v>1071901612.4734033</v>
      </c>
      <c r="F20" s="35"/>
      <c r="G20" s="185" t="s">
        <v>286</v>
      </c>
      <c r="H20" s="186"/>
      <c r="I20" s="187"/>
      <c r="K20" s="58" t="str">
        <f ca="1">IFERROR(OFFSET(INDIRECT($H$3 &amp; "!A17"), 14, 0), "")</f>
        <v>이오스</v>
      </c>
      <c r="L20" s="44">
        <f t="shared" ca="1" si="0"/>
        <v>9085</v>
      </c>
      <c r="M20" s="78">
        <f t="shared" ca="1" si="1"/>
        <v>0.1370463079</v>
      </c>
      <c r="N20" s="90">
        <f t="shared" ca="1" si="4"/>
        <v>73474557.025203943</v>
      </c>
      <c r="O20" s="47" t="str">
        <f>INDEX($A$2:$D$200, MATCH(LARGE($D$2:$D$200, 15), $D$2:$D$200, 0), 2)</f>
        <v>오미세고</v>
      </c>
      <c r="P20" s="39">
        <f t="shared" si="2"/>
        <v>11710</v>
      </c>
      <c r="Q20" s="77">
        <f t="shared" si="3"/>
        <v>7.23443223E-2</v>
      </c>
      <c r="R20" s="90">
        <f t="shared" si="5"/>
        <v>10232075.953636371</v>
      </c>
    </row>
    <row r="21" spans="1:18">
      <c r="A21" s="40" t="s">
        <v>117</v>
      </c>
      <c r="B21" s="11" t="s">
        <v>118</v>
      </c>
      <c r="C21" s="95">
        <v>7520</v>
      </c>
      <c r="D21" s="92">
        <v>5.9154929600000003E-2</v>
      </c>
      <c r="E21" s="93">
        <v>1439062.0466517101</v>
      </c>
      <c r="F21" s="35"/>
      <c r="G21" s="213" t="s">
        <v>36</v>
      </c>
      <c r="H21" s="214"/>
      <c r="I21" s="215"/>
      <c r="K21" s="56" t="str">
        <f ca="1">IFERROR(OFFSET(INDIRECT($H$3 &amp; "!A17"), 15, 0), "")</f>
        <v>이더리움</v>
      </c>
      <c r="L21" s="39">
        <f t="shared" ca="1" si="0"/>
        <v>4095000</v>
      </c>
      <c r="M21" s="77">
        <f t="shared" ca="1" si="1"/>
        <v>3.4305316999999999E-3</v>
      </c>
      <c r="N21" s="99">
        <f t="shared" ca="1" si="4"/>
        <v>150469.46036796001</v>
      </c>
      <c r="O21" s="49" t="str">
        <f>INDEX($A$2:$D$200, MATCH(LARGE($D$2:$D$200, 16), $D$2:$D$200, 0), 2)</f>
        <v>엔진코인</v>
      </c>
      <c r="P21" s="45">
        <f t="shared" si="2"/>
        <v>3140</v>
      </c>
      <c r="Q21" s="80">
        <f t="shared" si="3"/>
        <v>7.1672354899999999E-2</v>
      </c>
      <c r="R21" s="99">
        <f t="shared" si="5"/>
        <v>3382740.8227436198</v>
      </c>
    </row>
    <row r="22" spans="1:18" ht="17.25" thickBot="1">
      <c r="A22" s="40" t="s">
        <v>83</v>
      </c>
      <c r="B22" s="11" t="s">
        <v>84</v>
      </c>
      <c r="C22" s="95">
        <v>1680</v>
      </c>
      <c r="D22" s="92">
        <v>5.6603773599999997E-2</v>
      </c>
      <c r="E22" s="93">
        <v>45262558.782516547</v>
      </c>
      <c r="F22" s="35"/>
      <c r="G22" s="206"/>
      <c r="H22" s="207"/>
      <c r="I22" s="208"/>
      <c r="K22" s="56" t="str">
        <f ca="1">IFERROR(OFFSET(INDIRECT($H$3 &amp; "!A17"), 16, 0), "")</f>
        <v>비트코인캐시</v>
      </c>
      <c r="L22" s="39">
        <f t="shared" ca="1" si="0"/>
        <v>1499000</v>
      </c>
      <c r="M22" s="77">
        <f t="shared" ca="1" si="1"/>
        <v>0.24501661129999999</v>
      </c>
      <c r="N22" s="86">
        <f t="shared" ca="1" si="4"/>
        <v>590289.28425621998</v>
      </c>
      <c r="O22" s="47" t="str">
        <f>INDEX($A$2:$D$200, MATCH(LARGE($D$2:$D$200, 17), $D$2:$D$200, 0), 2)</f>
        <v>퀀텀</v>
      </c>
      <c r="P22" s="39">
        <f t="shared" si="2"/>
        <v>18560</v>
      </c>
      <c r="Q22" s="77">
        <f t="shared" si="3"/>
        <v>6.7280045999999996E-2</v>
      </c>
      <c r="R22" s="86">
        <f t="shared" si="5"/>
        <v>8034177.5309121404</v>
      </c>
    </row>
    <row r="23" spans="1:18" ht="17.25" thickBot="1">
      <c r="A23" s="40" t="s">
        <v>99</v>
      </c>
      <c r="B23" s="11" t="s">
        <v>100</v>
      </c>
      <c r="C23" s="95">
        <v>8.4600000000000009</v>
      </c>
      <c r="D23" s="92">
        <v>5.6179775299999998E-2</v>
      </c>
      <c r="E23" s="93">
        <v>129544497788.26314</v>
      </c>
      <c r="F23" s="35"/>
      <c r="G23" s="9" t="s">
        <v>38</v>
      </c>
      <c r="H23" s="186" t="s">
        <v>37</v>
      </c>
      <c r="I23" s="187"/>
      <c r="K23" s="56" t="str">
        <f ca="1">IFERROR(OFFSET(INDIRECT($H$3 &amp; "!A17"), 17, 0), "")</f>
        <v>코스모스</v>
      </c>
      <c r="L23" s="39">
        <f t="shared" ca="1" si="0"/>
        <v>28330</v>
      </c>
      <c r="M23" s="77">
        <f t="shared" ca="1" si="1"/>
        <v>7.3919636100000005E-2</v>
      </c>
      <c r="N23" s="86">
        <f t="shared" ca="1" si="4"/>
        <v>915712.57551777002</v>
      </c>
      <c r="O23" s="47" t="str">
        <f>INDEX($A$2:$D$200, MATCH(LARGE($D$2:$D$200, 18), $D$2:$D$200, 0), 2)</f>
        <v>트론</v>
      </c>
      <c r="P23" s="39">
        <f t="shared" si="2"/>
        <v>160</v>
      </c>
      <c r="Q23" s="77">
        <f t="shared" si="3"/>
        <v>6.6666666700000002E-2</v>
      </c>
      <c r="R23" s="86">
        <f t="shared" si="5"/>
        <v>820457429.91056979</v>
      </c>
    </row>
    <row r="24" spans="1:18">
      <c r="A24" s="40" t="s">
        <v>183</v>
      </c>
      <c r="B24" s="11" t="s">
        <v>184</v>
      </c>
      <c r="C24" s="95">
        <v>2505</v>
      </c>
      <c r="D24" s="92">
        <v>5.4736842100000002E-2</v>
      </c>
      <c r="E24" s="93">
        <v>1997180.8614181201</v>
      </c>
      <c r="F24" s="35"/>
      <c r="G24" s="231">
        <f>_xlfn.IFNA(VLOOKUP(G21, $B$2:$D$200, 3, FALSE), "-")</f>
        <v>1.0743838800000001E-2</v>
      </c>
      <c r="H24" s="233">
        <f>_xlfn.IFNA(VLOOKUP(G21, $B$2:$D$200, 2, FALSE), "-")</f>
        <v>67547000</v>
      </c>
      <c r="I24" s="234"/>
      <c r="K24" s="56" t="str">
        <f ca="1">IFERROR(OFFSET(INDIRECT($H$3 &amp; "!A17"), 18, 0), "")</f>
        <v>리스크</v>
      </c>
      <c r="L24" s="39">
        <f t="shared" ca="1" si="0"/>
        <v>6715</v>
      </c>
      <c r="M24" s="77">
        <f t="shared" ca="1" si="1"/>
        <v>2.9873040000000001E-3</v>
      </c>
      <c r="N24" s="86">
        <f t="shared" ca="1" si="4"/>
        <v>2249802.3838810502</v>
      </c>
      <c r="O24" s="47" t="str">
        <f>INDEX($A$2:$D$200, MATCH(LARGE($D$2:$D$200, 19), $D$2:$D$200, 0), 2)</f>
        <v>시아코인</v>
      </c>
      <c r="P24" s="39">
        <f t="shared" si="2"/>
        <v>48.1</v>
      </c>
      <c r="Q24" s="77">
        <f t="shared" si="3"/>
        <v>6.6518847000000006E-2</v>
      </c>
      <c r="R24" s="86">
        <f t="shared" si="5"/>
        <v>1071901612.4734033</v>
      </c>
    </row>
    <row r="25" spans="1:18" ht="17.25" thickBot="1">
      <c r="A25" s="40" t="s">
        <v>167</v>
      </c>
      <c r="B25" s="11" t="s">
        <v>168</v>
      </c>
      <c r="C25" s="95">
        <v>208</v>
      </c>
      <c r="D25" s="92">
        <v>5.0505050500000002E-2</v>
      </c>
      <c r="E25" s="93">
        <v>202083509.32465702</v>
      </c>
      <c r="F25" s="35"/>
      <c r="G25" s="232"/>
      <c r="H25" s="235"/>
      <c r="I25" s="236"/>
      <c r="K25" s="57" t="str">
        <f ca="1">IFERROR(OFFSET(INDIRECT($H$3 &amp; "!A17"), 19, 0), "")</f>
        <v>테조스</v>
      </c>
      <c r="L25" s="37">
        <f t="shared" ref="L25" ca="1" si="6">_xlfn.IFNA(VLOOKUP(K25, $B$2:$D$200, 2, FALSE), "")</f>
        <v>7790</v>
      </c>
      <c r="M25" s="79">
        <f t="shared" ca="1" si="1"/>
        <v>0.1273516643</v>
      </c>
      <c r="N25" s="87">
        <f t="shared" ca="1" si="4"/>
        <v>14831053.36069325</v>
      </c>
      <c r="O25" s="48" t="str">
        <f>INDEX($A$2:$D$200, MATCH(LARGE($D$2:$D$200, 20), $D$2:$D$200, 0), 2)</f>
        <v>카바</v>
      </c>
      <c r="P25" s="37">
        <f t="shared" si="2"/>
        <v>7520</v>
      </c>
      <c r="Q25" s="79">
        <f t="shared" si="3"/>
        <v>5.9154929600000003E-2</v>
      </c>
      <c r="R25" s="87">
        <f t="shared" si="5"/>
        <v>1439062.0466517101</v>
      </c>
    </row>
    <row r="26" spans="1:18">
      <c r="A26" s="40" t="s">
        <v>105</v>
      </c>
      <c r="B26" s="11" t="s">
        <v>106</v>
      </c>
      <c r="C26" s="95">
        <v>2215</v>
      </c>
      <c r="D26" s="92">
        <v>4.9763033200000001E-2</v>
      </c>
      <c r="E26" s="93">
        <v>4765302.6511858096</v>
      </c>
      <c r="F26" s="35"/>
    </row>
    <row r="27" spans="1:18" ht="17.25" thickBot="1">
      <c r="A27" s="40" t="s">
        <v>177</v>
      </c>
      <c r="B27" s="11" t="s">
        <v>178</v>
      </c>
      <c r="C27" s="95">
        <v>51330</v>
      </c>
      <c r="D27" s="92">
        <v>4.7764849999999998E-2</v>
      </c>
      <c r="E27" s="93">
        <v>477908.28643579001</v>
      </c>
      <c r="F27" s="35"/>
    </row>
    <row r="28" spans="1:18" ht="17.25" thickBot="1">
      <c r="A28" s="40" t="s">
        <v>131</v>
      </c>
      <c r="B28" s="11" t="s">
        <v>132</v>
      </c>
      <c r="C28" s="95">
        <v>246</v>
      </c>
      <c r="D28" s="92">
        <v>4.6808510599999999E-2</v>
      </c>
      <c r="E28" s="93">
        <v>954413567.04047132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79</v>
      </c>
      <c r="B29" s="11" t="s">
        <v>80</v>
      </c>
      <c r="C29" s="95">
        <v>1530</v>
      </c>
      <c r="D29" s="92">
        <v>4.4368600699999997E-2</v>
      </c>
      <c r="E29" s="93">
        <v>6614909.91793417</v>
      </c>
      <c r="F29" s="35"/>
      <c r="G29" s="222" t="s">
        <v>55</v>
      </c>
      <c r="H29" s="238">
        <f ca="1">NOW()</f>
        <v>44321.914210995368</v>
      </c>
      <c r="I29" s="239"/>
      <c r="J29" s="240"/>
      <c r="K29" s="237" t="s">
        <v>55</v>
      </c>
      <c r="L29" s="238">
        <f ca="1">NOW()</f>
        <v>44321.914210995368</v>
      </c>
      <c r="M29" s="239"/>
      <c r="N29" s="240"/>
      <c r="O29" s="237" t="s">
        <v>55</v>
      </c>
      <c r="P29" s="238">
        <f ca="1">NOW()</f>
        <v>44321.914210995368</v>
      </c>
      <c r="Q29" s="239"/>
      <c r="R29" s="240"/>
    </row>
    <row r="30" spans="1:18" ht="17.25" thickBot="1">
      <c r="A30" s="40" t="s">
        <v>135</v>
      </c>
      <c r="B30" s="11" t="s">
        <v>136</v>
      </c>
      <c r="C30" s="95">
        <v>253</v>
      </c>
      <c r="D30" s="92">
        <v>4.11522634E-2</v>
      </c>
      <c r="E30" s="93">
        <v>41091568.767330043</v>
      </c>
      <c r="F30" s="35"/>
      <c r="G30" s="230"/>
      <c r="H30" s="36" t="s">
        <v>58</v>
      </c>
      <c r="I30" s="73" t="s">
        <v>59</v>
      </c>
      <c r="J30" s="69" t="s">
        <v>294</v>
      </c>
      <c r="K30" s="230"/>
      <c r="L30" s="36" t="s">
        <v>58</v>
      </c>
      <c r="M30" s="73" t="s">
        <v>59</v>
      </c>
      <c r="N30" s="69" t="s">
        <v>294</v>
      </c>
      <c r="O30" s="230"/>
      <c r="P30" s="36" t="s">
        <v>58</v>
      </c>
      <c r="Q30" s="73" t="s">
        <v>59</v>
      </c>
      <c r="R30" s="69" t="s">
        <v>294</v>
      </c>
    </row>
    <row r="31" spans="1:18">
      <c r="A31" s="40" t="s">
        <v>277</v>
      </c>
      <c r="B31" s="11" t="s">
        <v>278</v>
      </c>
      <c r="C31" s="95">
        <v>156</v>
      </c>
      <c r="D31" s="92">
        <v>0.04</v>
      </c>
      <c r="E31" s="93">
        <v>80896438.284581363</v>
      </c>
      <c r="F31" s="35"/>
      <c r="G31" s="55" t="str">
        <f ca="1">IFERROR(OFFSET(INDIRECT($H$3 &amp; "!A98"), 0, 0), "")</f>
        <v>도지코인</v>
      </c>
      <c r="H31" s="38">
        <f t="shared" ref="H31:H50" ca="1" si="7">_xlfn.IFNA(VLOOKUP(G31, $B$2:$D$200, 2, FALSE), "")</f>
        <v>793</v>
      </c>
      <c r="I31" s="76">
        <f t="shared" ref="I31:I50" ca="1" si="8">_xlfn.IFNA(VLOOKUP(G31, $B$2:$D$200, 3, FALSE), "")</f>
        <v>0.1748148148</v>
      </c>
      <c r="J31" s="85">
        <f ca="1">_xlfn.IFNA(VLOOKUP(G31, $B$2:$E$200, 4, FALSE), "")</f>
        <v>9687280794.9657383</v>
      </c>
      <c r="K31" s="55" t="str">
        <f ca="1">IFERROR(OFFSET(INDIRECT($H$3 &amp; "!A44"), 0, 0), "")</f>
        <v>메인프레임</v>
      </c>
      <c r="L31" s="38">
        <f t="shared" ref="L31:L50" ca="1" si="9">_xlfn.IFNA(VLOOKUP(K31, $B$2:$D$200, 2, FALSE), "")</f>
        <v>21.6</v>
      </c>
      <c r="M31" s="76">
        <f t="shared" ref="M31:M50" ca="1" si="10">_xlfn.IFNA(VLOOKUP(K31, $B$2:$D$200, 3, FALSE), "")</f>
        <v>-2.7027026999999999E-2</v>
      </c>
      <c r="N31" s="85">
        <f ca="1">_xlfn.IFNA(VLOOKUP(K31, $B$2:$E$200, 4, FALSE), "")</f>
        <v>881817346.93783426</v>
      </c>
      <c r="O31" s="55" t="str">
        <f ca="1">IFERROR(OFFSET(INDIRECT($H$3 &amp; "!A71"), 0, 0), "")</f>
        <v>도지코인</v>
      </c>
      <c r="P31" s="38">
        <f t="shared" ref="P31:P50" ca="1" si="11">_xlfn.IFNA(VLOOKUP(O31, $B$2:$D$200, 2, FALSE), "")</f>
        <v>793</v>
      </c>
      <c r="Q31" s="76">
        <f t="shared" ref="Q31:Q50" ca="1" si="12">_xlfn.IFNA(VLOOKUP(O31, $B$2:$D$200, 3, FALSE), "")</f>
        <v>0.1748148148</v>
      </c>
      <c r="R31" s="85">
        <f ca="1">_xlfn.IFNA(VLOOKUP(O31, $B$2:$E$200, 4, FALSE), "")</f>
        <v>9687280794.9657383</v>
      </c>
    </row>
    <row r="32" spans="1:18">
      <c r="A32" s="40" t="s">
        <v>165</v>
      </c>
      <c r="B32" s="11" t="s">
        <v>166</v>
      </c>
      <c r="C32" s="95">
        <v>2360</v>
      </c>
      <c r="D32" s="92">
        <v>3.9647577099999998E-2</v>
      </c>
      <c r="E32" s="93">
        <v>2419616.2652432201</v>
      </c>
      <c r="F32" s="35"/>
      <c r="G32" s="56" t="str">
        <f ca="1">IFERROR(OFFSET(INDIRECT($H$3 &amp; "!A98"), 1, 0), "")</f>
        <v>이더리움클래식</v>
      </c>
      <c r="H32" s="39">
        <f t="shared" ca="1" si="7"/>
        <v>89100</v>
      </c>
      <c r="I32" s="77">
        <f t="shared" ca="1" si="8"/>
        <v>3.6046511599999997E-2</v>
      </c>
      <c r="J32" s="86">
        <f t="shared" ref="J32:J50" ca="1" si="13">_xlfn.IFNA(VLOOKUP(G32, $B$2:$E$200, 4, FALSE), "")</f>
        <v>33260532.911876</v>
      </c>
      <c r="K32" s="56" t="str">
        <f ca="1">IFERROR(OFFSET(INDIRECT($H$3 &amp; "!A44"), 1, 0), "")</f>
        <v>캐리프로토콜</v>
      </c>
      <c r="L32" s="39">
        <f t="shared" ca="1" si="9"/>
        <v>21.1</v>
      </c>
      <c r="M32" s="77">
        <f t="shared" ca="1" si="10"/>
        <v>-2.7649769599999999E-2</v>
      </c>
      <c r="N32" s="86">
        <f t="shared" ref="N32:N50" ca="1" si="14">_xlfn.IFNA(VLOOKUP(K32, $B$2:$E$200, 4, FALSE), "")</f>
        <v>977231794.63484716</v>
      </c>
      <c r="O32" s="56" t="str">
        <f ca="1">IFERROR(OFFSET(INDIRECT($H$3 &amp; "!A71"), 1, 0), "")</f>
        <v>에스티피</v>
      </c>
      <c r="P32" s="39">
        <f t="shared" ca="1" si="11"/>
        <v>102</v>
      </c>
      <c r="Q32" s="77">
        <f t="shared" ca="1" si="12"/>
        <v>9.9009900999999997E-3</v>
      </c>
      <c r="R32" s="86">
        <f t="shared" ref="R32:R50" ca="1" si="15">_xlfn.IFNA(VLOOKUP(O32, $B$2:$E$200, 4, FALSE), "")</f>
        <v>530754049.02658969</v>
      </c>
    </row>
    <row r="33" spans="1:18">
      <c r="A33" s="40" t="s">
        <v>125</v>
      </c>
      <c r="B33" s="11" t="s">
        <v>126</v>
      </c>
      <c r="C33" s="95">
        <v>63.8</v>
      </c>
      <c r="D33" s="92">
        <v>3.7398373999999998E-2</v>
      </c>
      <c r="E33" s="93">
        <v>250781325.114618</v>
      </c>
      <c r="F33" s="35"/>
      <c r="G33" s="56" t="str">
        <f ca="1">IFERROR(OFFSET(INDIRECT($H$3 &amp; "!A98"), 2, 0), "")</f>
        <v>웨이브</v>
      </c>
      <c r="H33" s="39">
        <f t="shared" ca="1" si="7"/>
        <v>41950</v>
      </c>
      <c r="I33" s="77">
        <f t="shared" ca="1" si="8"/>
        <v>-5.2191595100000002E-2</v>
      </c>
      <c r="J33" s="86">
        <f t="shared" ca="1" si="13"/>
        <v>6090268.6939234799</v>
      </c>
      <c r="K33" s="56" t="str">
        <f ca="1">IFERROR(OFFSET(INDIRECT($H$3 &amp; "!A44"), 2, 0), "")</f>
        <v>비트토렌트</v>
      </c>
      <c r="L33" s="39">
        <f t="shared" ca="1" si="9"/>
        <v>8.4600000000000009</v>
      </c>
      <c r="M33" s="77">
        <f t="shared" ca="1" si="10"/>
        <v>5.6179775299999998E-2</v>
      </c>
      <c r="N33" s="86">
        <f t="shared" ca="1" si="14"/>
        <v>129544497788.26314</v>
      </c>
      <c r="O33" s="56" t="str">
        <f ca="1">IFERROR(OFFSET(INDIRECT($H$3 &amp; "!A71"), 2, 0), "")</f>
        <v>질리카</v>
      </c>
      <c r="P33" s="39">
        <f t="shared" ca="1" si="11"/>
        <v>253</v>
      </c>
      <c r="Q33" s="77">
        <f t="shared" ca="1" si="12"/>
        <v>4.11522634E-2</v>
      </c>
      <c r="R33" s="86">
        <f t="shared" ca="1" si="15"/>
        <v>41091568.767330043</v>
      </c>
    </row>
    <row r="34" spans="1:18">
      <c r="A34" s="40" t="s">
        <v>101</v>
      </c>
      <c r="B34" s="11" t="s">
        <v>102</v>
      </c>
      <c r="C34" s="95">
        <v>89100</v>
      </c>
      <c r="D34" s="92">
        <v>3.6046511599999997E-2</v>
      </c>
      <c r="E34" s="93">
        <v>33260532.911876</v>
      </c>
      <c r="F34" s="35"/>
      <c r="G34" s="56" t="str">
        <f ca="1">IFERROR(OFFSET(INDIRECT($H$3 &amp; "!A98"), 3, 0), "")</f>
        <v>비트코인골드</v>
      </c>
      <c r="H34" s="39">
        <f t="shared" ca="1" si="7"/>
        <v>140550</v>
      </c>
      <c r="I34" s="77">
        <f t="shared" ca="1" si="8"/>
        <v>3.3455882399999998E-2</v>
      </c>
      <c r="J34" s="86">
        <f t="shared" ca="1" si="13"/>
        <v>2594338.12153788</v>
      </c>
      <c r="K34" s="56" t="str">
        <f ca="1">IFERROR(OFFSET(INDIRECT($H$3 &amp; "!A44"), 3, 0), "")</f>
        <v>썬더토큰</v>
      </c>
      <c r="L34" s="39">
        <f t="shared" ca="1" si="9"/>
        <v>20.399999999999999</v>
      </c>
      <c r="M34" s="77">
        <f t="shared" ca="1" si="10"/>
        <v>-1.44927536E-2</v>
      </c>
      <c r="N34" s="86">
        <f t="shared" ca="1" si="14"/>
        <v>456522035.9273926</v>
      </c>
      <c r="O34" s="56" t="str">
        <f ca="1">IFERROR(OFFSET(INDIRECT($H$3 &amp; "!A71"), 3, 0), "")</f>
        <v>칠리즈</v>
      </c>
      <c r="P34" s="39">
        <f t="shared" ca="1" si="11"/>
        <v>630</v>
      </c>
      <c r="Q34" s="77">
        <f t="shared" ca="1" si="12"/>
        <v>2.7732463299999999E-2</v>
      </c>
      <c r="R34" s="86">
        <f t="shared" ca="1" si="15"/>
        <v>111764827.53557502</v>
      </c>
    </row>
    <row r="35" spans="1:18">
      <c r="A35" s="40" t="s">
        <v>60</v>
      </c>
      <c r="B35" s="11" t="s">
        <v>61</v>
      </c>
      <c r="C35" s="95">
        <v>1650</v>
      </c>
      <c r="D35" s="92">
        <v>3.4482758600000003E-2</v>
      </c>
      <c r="E35" s="93">
        <v>28218291.13143773</v>
      </c>
      <c r="F35" s="35"/>
      <c r="G35" s="58" t="str">
        <f ca="1">IFERROR(OFFSET(INDIRECT($H$3 &amp; "!A98"), 4, 0), "")</f>
        <v>플로우</v>
      </c>
      <c r="H35" s="44">
        <f t="shared" ca="1" si="7"/>
        <v>39190</v>
      </c>
      <c r="I35" s="78">
        <f t="shared" ca="1" si="8"/>
        <v>-3.6864094399999998E-2</v>
      </c>
      <c r="J35" s="90">
        <f t="shared" ca="1" si="13"/>
        <v>1255253.8800957699</v>
      </c>
      <c r="K35" s="58" t="str">
        <f ca="1">IFERROR(OFFSET(INDIRECT($H$3 &amp; "!A44"), 4, 0), "")</f>
        <v>아이오에스티</v>
      </c>
      <c r="L35" s="44">
        <f t="shared" ca="1" si="9"/>
        <v>72.099999999999994</v>
      </c>
      <c r="M35" s="78">
        <f t="shared" ca="1" si="10"/>
        <v>1.12201964E-2</v>
      </c>
      <c r="N35" s="90">
        <f t="shared" ca="1" si="14"/>
        <v>126784402.20551597</v>
      </c>
      <c r="O35" s="58" t="str">
        <f ca="1">IFERROR(OFFSET(INDIRECT($H$3 &amp; "!A71"), 4, 0), "")</f>
        <v>샌드박스</v>
      </c>
      <c r="P35" s="44">
        <f t="shared" ca="1" si="11"/>
        <v>727</v>
      </c>
      <c r="Q35" s="78">
        <f t="shared" ca="1" si="12"/>
        <v>8.3217753000000005E-3</v>
      </c>
      <c r="R35" s="90">
        <f t="shared" ca="1" si="15"/>
        <v>36006704.37329182</v>
      </c>
    </row>
    <row r="36" spans="1:18">
      <c r="A36" s="40" t="s">
        <v>93</v>
      </c>
      <c r="B36" s="11" t="s">
        <v>94</v>
      </c>
      <c r="C36" s="95">
        <v>140550</v>
      </c>
      <c r="D36" s="92">
        <v>3.3455882399999998E-2</v>
      </c>
      <c r="E36" s="93">
        <v>2594338.12153788</v>
      </c>
      <c r="F36" s="35"/>
      <c r="G36" s="56" t="str">
        <f ca="1">IFERROR(OFFSET(INDIRECT($H$3 &amp; "!A98"), 5, 0), "")</f>
        <v>라이트코인</v>
      </c>
      <c r="H36" s="39">
        <f t="shared" ca="1" si="7"/>
        <v>412800</v>
      </c>
      <c r="I36" s="77">
        <f t="shared" ca="1" si="8"/>
        <v>7.3881373599999994E-2</v>
      </c>
      <c r="J36" s="99">
        <f t="shared" ca="1" si="13"/>
        <v>503706.61746472999</v>
      </c>
      <c r="K36" s="56" t="str">
        <f ca="1">IFERROR(OFFSET(INDIRECT($H$3 &amp; "!A44"), 5, 0), "")</f>
        <v>퀴즈톡</v>
      </c>
      <c r="L36" s="39">
        <f t="shared" ca="1" si="9"/>
        <v>86.5</v>
      </c>
      <c r="M36" s="77">
        <f t="shared" ca="1" si="10"/>
        <v>-4.7356828199999999E-2</v>
      </c>
      <c r="N36" s="99">
        <f t="shared" ca="1" si="14"/>
        <v>125808288.29301614</v>
      </c>
      <c r="O36" s="56" t="str">
        <f ca="1">IFERROR(OFFSET(INDIRECT($H$3 &amp; "!A71"), 5, 0), "")</f>
        <v>스텔라루멘</v>
      </c>
      <c r="P36" s="39">
        <f t="shared" ca="1" si="11"/>
        <v>679</v>
      </c>
      <c r="Q36" s="77">
        <f t="shared" ca="1" si="12"/>
        <v>7.6069730599999996E-2</v>
      </c>
      <c r="R36" s="99">
        <f t="shared" ca="1" si="15"/>
        <v>94414367.870606452</v>
      </c>
    </row>
    <row r="37" spans="1:18">
      <c r="A37" s="40" t="s">
        <v>68</v>
      </c>
      <c r="B37" s="11" t="s">
        <v>69</v>
      </c>
      <c r="C37" s="95">
        <v>13480</v>
      </c>
      <c r="D37" s="92">
        <v>2.9793735700000001E-2</v>
      </c>
      <c r="E37" s="93">
        <v>2623999.0234211399</v>
      </c>
      <c r="F37" s="35"/>
      <c r="G37" s="56" t="str">
        <f ca="1">IFERROR(OFFSET(INDIRECT($H$3 &amp; "!A98"), 6, 0), "")</f>
        <v>에스티피</v>
      </c>
      <c r="H37" s="39">
        <f t="shared" ca="1" si="7"/>
        <v>102</v>
      </c>
      <c r="I37" s="77">
        <f t="shared" ca="1" si="8"/>
        <v>9.9009900999999997E-3</v>
      </c>
      <c r="J37" s="86">
        <f t="shared" ca="1" si="13"/>
        <v>530754049.02658969</v>
      </c>
      <c r="K37" s="56" t="str">
        <f ca="1">IFERROR(OFFSET(INDIRECT($H$3 &amp; "!A44"), 6, 0), "")</f>
        <v>쿼크체인</v>
      </c>
      <c r="L37" s="39">
        <f t="shared" ca="1" si="9"/>
        <v>35.1</v>
      </c>
      <c r="M37" s="77">
        <f t="shared" ca="1" si="10"/>
        <v>1.15273775E-2</v>
      </c>
      <c r="N37" s="86">
        <f t="shared" ca="1" si="14"/>
        <v>98100673.969439045</v>
      </c>
      <c r="O37" s="56" t="str">
        <f ca="1">IFERROR(OFFSET(INDIRECT($H$3 &amp; "!A71"), 6, 0), "")</f>
        <v>트론</v>
      </c>
      <c r="P37" s="39">
        <f t="shared" ca="1" si="11"/>
        <v>160</v>
      </c>
      <c r="Q37" s="77">
        <f t="shared" ca="1" si="12"/>
        <v>6.6666666700000002E-2</v>
      </c>
      <c r="R37" s="86">
        <f t="shared" ca="1" si="15"/>
        <v>820457429.91056979</v>
      </c>
    </row>
    <row r="38" spans="1:18">
      <c r="A38" s="40" t="s">
        <v>109</v>
      </c>
      <c r="B38" s="11" t="s">
        <v>110</v>
      </c>
      <c r="C38" s="95">
        <v>2790</v>
      </c>
      <c r="D38" s="92">
        <v>2.9520295200000001E-2</v>
      </c>
      <c r="E38" s="93">
        <v>1642132.4171315399</v>
      </c>
      <c r="F38" s="35"/>
      <c r="G38" s="56" t="str">
        <f ca="1">IFERROR(OFFSET(INDIRECT($H$3 &amp; "!A98"), 7, 0), "")</f>
        <v>체인링크</v>
      </c>
      <c r="H38" s="39">
        <f t="shared" ca="1" si="7"/>
        <v>58390</v>
      </c>
      <c r="I38" s="77">
        <f t="shared" ca="1" si="8"/>
        <v>2.0804195800000001E-2</v>
      </c>
      <c r="J38" s="86">
        <f t="shared" ca="1" si="13"/>
        <v>6176247.4284650404</v>
      </c>
      <c r="K38" s="56" t="str">
        <f ca="1">IFERROR(OFFSET(INDIRECT($H$3 &amp; "!A44"), 7, 0), "")</f>
        <v>리퍼리움</v>
      </c>
      <c r="L38" s="39">
        <f t="shared" ca="1" si="9"/>
        <v>21.9</v>
      </c>
      <c r="M38" s="77">
        <f t="shared" ca="1" si="10"/>
        <v>-3.9473684199999998E-2</v>
      </c>
      <c r="N38" s="86">
        <f t="shared" ca="1" si="14"/>
        <v>519071540.804075</v>
      </c>
      <c r="O38" s="56" t="str">
        <f ca="1">IFERROR(OFFSET(INDIRECT($H$3 &amp; "!A71"), 7, 0), "")</f>
        <v>저스트</v>
      </c>
      <c r="P38" s="39">
        <f t="shared" ca="1" si="11"/>
        <v>156</v>
      </c>
      <c r="Q38" s="77">
        <f t="shared" ca="1" si="12"/>
        <v>0.04</v>
      </c>
      <c r="R38" s="86">
        <f t="shared" ca="1" si="15"/>
        <v>80896438.284581363</v>
      </c>
    </row>
    <row r="39" spans="1:18">
      <c r="A39" s="40" t="s">
        <v>149</v>
      </c>
      <c r="B39" s="11" t="s">
        <v>150</v>
      </c>
      <c r="C39" s="95">
        <v>6105</v>
      </c>
      <c r="D39" s="92">
        <v>2.9510961200000001E-2</v>
      </c>
      <c r="E39" s="93">
        <v>9162502.8752822001</v>
      </c>
      <c r="F39" s="35"/>
      <c r="G39" s="56" t="str">
        <f ca="1">IFERROR(OFFSET(INDIRECT($H$3 &amp; "!A98"), 8, 0), "")</f>
        <v>비트코인캐시에이비씨</v>
      </c>
      <c r="H39" s="39">
        <f t="shared" ca="1" si="7"/>
        <v>60960</v>
      </c>
      <c r="I39" s="77">
        <f t="shared" ca="1" si="8"/>
        <v>0.1033484163</v>
      </c>
      <c r="J39" s="86">
        <f t="shared" ca="1" si="13"/>
        <v>2027480.25333357</v>
      </c>
      <c r="K39" s="56" t="str">
        <f ca="1">IFERROR(OFFSET(INDIRECT($H$3 &amp; "!A44"), 8, 0), "")</f>
        <v>트웰브쉽스</v>
      </c>
      <c r="L39" s="39">
        <f t="shared" ca="1" si="9"/>
        <v>25.3</v>
      </c>
      <c r="M39" s="77">
        <f t="shared" ca="1" si="10"/>
        <v>-2.6923076899999999E-2</v>
      </c>
      <c r="N39" s="86">
        <f t="shared" ca="1" si="14"/>
        <v>329619953.87800837</v>
      </c>
      <c r="O39" s="56" t="str">
        <f ca="1">IFERROR(OFFSET(INDIRECT($H$3 &amp; "!A71"), 8, 0), "")</f>
        <v>시빅</v>
      </c>
      <c r="P39" s="39">
        <f t="shared" ca="1" si="11"/>
        <v>681</v>
      </c>
      <c r="Q39" s="77">
        <f t="shared" ca="1" si="12"/>
        <v>2.0989505200000001E-2</v>
      </c>
      <c r="R39" s="86">
        <f t="shared" ca="1" si="15"/>
        <v>13553031.815857731</v>
      </c>
    </row>
    <row r="40" spans="1:18" ht="17.25" thickBot="1">
      <c r="A40" s="40" t="s">
        <v>56</v>
      </c>
      <c r="B40" s="11" t="s">
        <v>57</v>
      </c>
      <c r="C40" s="95">
        <v>401</v>
      </c>
      <c r="D40" s="92">
        <v>2.8205128199999999E-2</v>
      </c>
      <c r="E40" s="93">
        <v>90016975.861390784</v>
      </c>
      <c r="F40" s="35"/>
      <c r="G40" s="57" t="str">
        <f ca="1">IFERROR(OFFSET(INDIRECT($H$3 &amp; "!A98"), 9, 0), "")</f>
        <v>스택스</v>
      </c>
      <c r="H40" s="37">
        <f t="shared" ca="1" si="7"/>
        <v>2500</v>
      </c>
      <c r="I40" s="79">
        <f t="shared" ca="1" si="8"/>
        <v>-2.9126213599999999E-2</v>
      </c>
      <c r="J40" s="87">
        <f t="shared" ca="1" si="13"/>
        <v>10428988.65431143</v>
      </c>
      <c r="K40" s="57" t="str">
        <f ca="1">IFERROR(OFFSET(INDIRECT($H$3 &amp; "!A44"), 9, 0), "")</f>
        <v>무비블록</v>
      </c>
      <c r="L40" s="37">
        <f t="shared" ca="1" si="9"/>
        <v>18.3</v>
      </c>
      <c r="M40" s="79">
        <f t="shared" ca="1" si="10"/>
        <v>-2.65957447E-2</v>
      </c>
      <c r="N40" s="87">
        <f t="shared" ca="1" si="14"/>
        <v>1172907883.6609769</v>
      </c>
      <c r="O40" s="57" t="str">
        <f ca="1">IFERROR(OFFSET(INDIRECT($H$3 &amp; "!A71"), 9, 0), "")</f>
        <v>람다</v>
      </c>
      <c r="P40" s="37">
        <f t="shared" ca="1" si="11"/>
        <v>97.9</v>
      </c>
      <c r="Q40" s="79">
        <f t="shared" ca="1" si="12"/>
        <v>-2.1000000000000001E-2</v>
      </c>
      <c r="R40" s="87">
        <f t="shared" ca="1" si="15"/>
        <v>193222613.34294394</v>
      </c>
    </row>
    <row r="41" spans="1:18">
      <c r="A41" s="40" t="s">
        <v>113</v>
      </c>
      <c r="B41" s="11" t="s">
        <v>114</v>
      </c>
      <c r="C41" s="95">
        <v>13200</v>
      </c>
      <c r="D41" s="92">
        <v>2.8037383200000002E-2</v>
      </c>
      <c r="E41" s="93">
        <v>4059367.2345598098</v>
      </c>
      <c r="F41" s="35"/>
      <c r="G41" s="59" t="str">
        <f ca="1">IFERROR(OFFSET(INDIRECT($H$3 &amp; "!A98"), 10, 0), "")</f>
        <v>메인프레임</v>
      </c>
      <c r="H41" s="38">
        <f t="shared" ca="1" si="7"/>
        <v>21.6</v>
      </c>
      <c r="I41" s="76">
        <f t="shared" ca="1" si="8"/>
        <v>-2.7027026999999999E-2</v>
      </c>
      <c r="J41" s="85">
        <f t="shared" ca="1" si="13"/>
        <v>881817346.93783426</v>
      </c>
      <c r="K41" s="55" t="str">
        <f ca="1">IFERROR(OFFSET(INDIRECT($H$3 &amp; "!A44"), 10, 0), "")</f>
        <v>아하토큰</v>
      </c>
      <c r="L41" s="38">
        <f t="shared" ca="1" si="9"/>
        <v>18.2</v>
      </c>
      <c r="M41" s="76">
        <f t="shared" ca="1" si="10"/>
        <v>-3.1914893600000001E-2</v>
      </c>
      <c r="N41" s="85">
        <f t="shared" ca="1" si="14"/>
        <v>345109183.51581961</v>
      </c>
      <c r="O41" s="55" t="str">
        <f ca="1">IFERROR(OFFSET(INDIRECT($H$3 &amp; "!A71"), 10, 0), "")</f>
        <v>앵커</v>
      </c>
      <c r="P41" s="38">
        <f t="shared" ca="1" si="11"/>
        <v>196</v>
      </c>
      <c r="Q41" s="76">
        <f t="shared" ca="1" si="12"/>
        <v>1.03092784E-2</v>
      </c>
      <c r="R41" s="85">
        <f t="shared" ca="1" si="15"/>
        <v>81020957.756107375</v>
      </c>
    </row>
    <row r="42" spans="1:18">
      <c r="A42" s="40" t="s">
        <v>87</v>
      </c>
      <c r="B42" s="11" t="s">
        <v>88</v>
      </c>
      <c r="C42" s="95">
        <v>630</v>
      </c>
      <c r="D42" s="92">
        <v>2.7732463299999999E-2</v>
      </c>
      <c r="E42" s="93">
        <v>111764827.53557502</v>
      </c>
      <c r="F42" s="35"/>
      <c r="G42" s="56" t="str">
        <f ca="1">IFERROR(OFFSET(INDIRECT($H$3 &amp; "!A98"), 11, 0), "")</f>
        <v>스트라티스</v>
      </c>
      <c r="H42" s="39">
        <f t="shared" ca="1" si="7"/>
        <v>4470</v>
      </c>
      <c r="I42" s="77">
        <f t="shared" ca="1" si="8"/>
        <v>-5.8947368399999998E-2</v>
      </c>
      <c r="J42" s="86">
        <f t="shared" ca="1" si="13"/>
        <v>6088529.4724995997</v>
      </c>
      <c r="K42" s="56" t="str">
        <f ca="1">IFERROR(OFFSET(INDIRECT($H$3 &amp; "!A44"), 11, 0), "")</f>
        <v>엔도르</v>
      </c>
      <c r="L42" s="39">
        <f t="shared" ca="1" si="9"/>
        <v>68</v>
      </c>
      <c r="M42" s="77">
        <f t="shared" ca="1" si="10"/>
        <v>-3.68271955E-2</v>
      </c>
      <c r="N42" s="86">
        <f t="shared" ca="1" si="14"/>
        <v>131101101.0055737</v>
      </c>
      <c r="O42" s="56" t="str">
        <f ca="1">IFERROR(OFFSET(INDIRECT($H$3 &amp; "!A71"), 11, 0), "")</f>
        <v>넴</v>
      </c>
      <c r="P42" s="39">
        <f t="shared" ca="1" si="11"/>
        <v>401</v>
      </c>
      <c r="Q42" s="77">
        <f t="shared" ca="1" si="12"/>
        <v>2.8205128199999999E-2</v>
      </c>
      <c r="R42" s="86">
        <f t="shared" ca="1" si="15"/>
        <v>90016975.861390784</v>
      </c>
    </row>
    <row r="43" spans="1:18">
      <c r="A43" s="40" t="s">
        <v>145</v>
      </c>
      <c r="B43" s="11" t="s">
        <v>146</v>
      </c>
      <c r="C43" s="95">
        <v>18590</v>
      </c>
      <c r="D43" s="92">
        <v>2.5938189800000001E-2</v>
      </c>
      <c r="E43" s="93">
        <v>2094632.5517172101</v>
      </c>
      <c r="F43" s="35"/>
      <c r="G43" s="56" t="str">
        <f ca="1">IFERROR(OFFSET(INDIRECT($H$3 &amp; "!A98"), 12, 0), "")</f>
        <v>오미세고</v>
      </c>
      <c r="H43" s="39">
        <f t="shared" ca="1" si="7"/>
        <v>11710</v>
      </c>
      <c r="I43" s="77">
        <f t="shared" ca="1" si="8"/>
        <v>7.23443223E-2</v>
      </c>
      <c r="J43" s="86">
        <f t="shared" ca="1" si="13"/>
        <v>10232075.953636371</v>
      </c>
      <c r="K43" s="56" t="str">
        <f ca="1">IFERROR(OFFSET(INDIRECT($H$3 &amp; "!A44"), 12, 0), "")</f>
        <v>옵저버</v>
      </c>
      <c r="L43" s="39">
        <f t="shared" ca="1" si="9"/>
        <v>28.4</v>
      </c>
      <c r="M43" s="77">
        <f t="shared" ca="1" si="10"/>
        <v>-3.4013605400000001E-2</v>
      </c>
      <c r="N43" s="86">
        <f t="shared" ca="1" si="14"/>
        <v>479254995.97838718</v>
      </c>
      <c r="O43" s="56" t="str">
        <f ca="1">IFERROR(OFFSET(INDIRECT($H$3 &amp; "!A71"), 12, 0), "")</f>
        <v>크립토닷컴체인</v>
      </c>
      <c r="P43" s="39">
        <f t="shared" ca="1" si="11"/>
        <v>212</v>
      </c>
      <c r="Q43" s="77">
        <f t="shared" ca="1" si="12"/>
        <v>2.4154589399999999E-2</v>
      </c>
      <c r="R43" s="86">
        <f t="shared" ca="1" si="15"/>
        <v>99920654.550936162</v>
      </c>
    </row>
    <row r="44" spans="1:18">
      <c r="A44" s="40" t="s">
        <v>53</v>
      </c>
      <c r="B44" s="11" t="s">
        <v>54</v>
      </c>
      <c r="C44" s="95">
        <v>363</v>
      </c>
      <c r="D44" s="92">
        <v>2.54237288E-2</v>
      </c>
      <c r="E44" s="93">
        <v>29563685.345697869</v>
      </c>
      <c r="F44" s="35"/>
      <c r="G44" s="56" t="str">
        <f ca="1">IFERROR(OFFSET(INDIRECT($H$3 &amp; "!A98"), 13, 0), "")</f>
        <v>비트코인에스브이</v>
      </c>
      <c r="H44" s="39">
        <f t="shared" ca="1" si="7"/>
        <v>456450</v>
      </c>
      <c r="I44" s="77">
        <f t="shared" ca="1" si="8"/>
        <v>0.1093693037</v>
      </c>
      <c r="J44" s="86">
        <f t="shared" ca="1" si="13"/>
        <v>146810.30682172999</v>
      </c>
      <c r="K44" s="56" t="str">
        <f ca="1">IFERROR(OFFSET(INDIRECT($H$3 &amp; "!A44"), 13, 0), "")</f>
        <v>에브리피디아</v>
      </c>
      <c r="L44" s="39">
        <f t="shared" ca="1" si="9"/>
        <v>25.2</v>
      </c>
      <c r="M44" s="77">
        <f t="shared" ca="1" si="10"/>
        <v>-3.0769230799999998E-2</v>
      </c>
      <c r="N44" s="86">
        <f t="shared" ca="1" si="14"/>
        <v>468033285.2930578</v>
      </c>
      <c r="O44" s="56" t="str">
        <f ca="1">IFERROR(OFFSET(INDIRECT($H$3 &amp; "!A71"), 13, 0), "")</f>
        <v>이그니스</v>
      </c>
      <c r="P44" s="39">
        <f t="shared" ca="1" si="11"/>
        <v>160</v>
      </c>
      <c r="Q44" s="77">
        <f t="shared" ca="1" si="12"/>
        <v>-3.6144578300000001E-2</v>
      </c>
      <c r="R44" s="86">
        <f t="shared" ca="1" si="15"/>
        <v>22729554.143001981</v>
      </c>
    </row>
    <row r="45" spans="1:18">
      <c r="A45" s="40" t="s">
        <v>139</v>
      </c>
      <c r="B45" s="11" t="s">
        <v>140</v>
      </c>
      <c r="C45" s="95">
        <v>3835</v>
      </c>
      <c r="D45" s="92">
        <v>2.5401069500000002E-2</v>
      </c>
      <c r="E45" s="93">
        <v>1672676.79176047</v>
      </c>
      <c r="F45" s="35"/>
      <c r="G45" s="58" t="str">
        <f ca="1">IFERROR(OFFSET(INDIRECT($H$3 &amp; "!A98"), 14, 0), "")</f>
        <v>이오스</v>
      </c>
      <c r="H45" s="44">
        <f t="shared" ca="1" si="7"/>
        <v>9085</v>
      </c>
      <c r="I45" s="78">
        <f t="shared" ca="1" si="8"/>
        <v>0.1370463079</v>
      </c>
      <c r="J45" s="90">
        <f t="shared" ca="1" si="13"/>
        <v>73474557.025203943</v>
      </c>
      <c r="K45" s="58" t="str">
        <f ca="1">IFERROR(OFFSET(INDIRECT($H$3 &amp; "!A44"), 14, 0), "")</f>
        <v>엠블</v>
      </c>
      <c r="L45" s="44">
        <f t="shared" ca="1" si="9"/>
        <v>28.2</v>
      </c>
      <c r="M45" s="78">
        <f t="shared" ca="1" si="10"/>
        <v>-3.0927835099999999E-2</v>
      </c>
      <c r="N45" s="90">
        <f t="shared" ca="1" si="14"/>
        <v>844665255.39558899</v>
      </c>
      <c r="O45" s="58" t="str">
        <f ca="1">IFERROR(OFFSET(INDIRECT($H$3 &amp; "!A71"), 14, 0), "")</f>
        <v>비체인</v>
      </c>
      <c r="P45" s="44">
        <f t="shared" ca="1" si="11"/>
        <v>246</v>
      </c>
      <c r="Q45" s="78">
        <f t="shared" ca="1" si="12"/>
        <v>4.6808510599999999E-2</v>
      </c>
      <c r="R45" s="90">
        <f t="shared" ca="1" si="15"/>
        <v>954413567.04047132</v>
      </c>
    </row>
    <row r="46" spans="1:18">
      <c r="A46" s="40" t="s">
        <v>119</v>
      </c>
      <c r="B46" s="11" t="s">
        <v>120</v>
      </c>
      <c r="C46" s="95">
        <v>212</v>
      </c>
      <c r="D46" s="92">
        <v>2.4154589399999999E-2</v>
      </c>
      <c r="E46" s="93">
        <v>99920654.550936162</v>
      </c>
      <c r="F46" s="35"/>
      <c r="G46" s="56" t="str">
        <f ca="1">IFERROR(OFFSET(INDIRECT($H$3 &amp; "!A98"), 15, 0), "")</f>
        <v>이더리움</v>
      </c>
      <c r="H46" s="39">
        <f t="shared" ca="1" si="7"/>
        <v>4095000</v>
      </c>
      <c r="I46" s="77">
        <f t="shared" ca="1" si="8"/>
        <v>3.4305316999999999E-3</v>
      </c>
      <c r="J46" s="99">
        <f t="shared" ca="1" si="13"/>
        <v>150469.46036796001</v>
      </c>
      <c r="K46" s="56" t="str">
        <f ca="1">IFERROR(OFFSET(INDIRECT($H$3 &amp; "!A44"), 15, 0), "")</f>
        <v>시아코인</v>
      </c>
      <c r="L46" s="39">
        <f t="shared" ca="1" si="9"/>
        <v>48.1</v>
      </c>
      <c r="M46" s="77">
        <f t="shared" ca="1" si="10"/>
        <v>6.6518847000000006E-2</v>
      </c>
      <c r="N46" s="99">
        <f t="shared" ca="1" si="14"/>
        <v>1071901612.4734033</v>
      </c>
      <c r="O46" s="56" t="str">
        <f ca="1">IFERROR(OFFSET(INDIRECT($H$3 &amp; "!A71"), 15, 0), "")</f>
        <v>아르고</v>
      </c>
      <c r="P46" s="39">
        <f t="shared" ca="1" si="11"/>
        <v>368</v>
      </c>
      <c r="Q46" s="77">
        <f t="shared" ca="1" si="12"/>
        <v>-2.9023746699999999E-2</v>
      </c>
      <c r="R46" s="99">
        <f t="shared" ca="1" si="15"/>
        <v>16031589.07605402</v>
      </c>
    </row>
    <row r="47" spans="1:18">
      <c r="A47" s="40" t="s">
        <v>191</v>
      </c>
      <c r="B47" s="11" t="s">
        <v>192</v>
      </c>
      <c r="C47" s="95">
        <v>1115</v>
      </c>
      <c r="D47" s="92">
        <v>2.29357798E-2</v>
      </c>
      <c r="E47" s="93">
        <v>7633421.6718555903</v>
      </c>
      <c r="F47" s="35"/>
      <c r="G47" s="56" t="str">
        <f ca="1">IFERROR(OFFSET(INDIRECT($H$3 &amp; "!A98"), 16, 0), "")</f>
        <v>비트코인캐시</v>
      </c>
      <c r="H47" s="39">
        <f t="shared" ca="1" si="7"/>
        <v>1499000</v>
      </c>
      <c r="I47" s="77">
        <f t="shared" ca="1" si="8"/>
        <v>0.24501661129999999</v>
      </c>
      <c r="J47" s="86">
        <f t="shared" ca="1" si="13"/>
        <v>590289.28425621998</v>
      </c>
      <c r="K47" s="56" t="str">
        <f ca="1">IFERROR(OFFSET(INDIRECT($H$3 &amp; "!A44"), 16, 0), "")</f>
        <v>스톰엑스</v>
      </c>
      <c r="L47" s="39">
        <f t="shared" ca="1" si="9"/>
        <v>63.8</v>
      </c>
      <c r="M47" s="77">
        <f t="shared" ca="1" si="10"/>
        <v>3.7398373999999998E-2</v>
      </c>
      <c r="N47" s="86">
        <f t="shared" ca="1" si="14"/>
        <v>250781325.114618</v>
      </c>
      <c r="O47" s="56" t="str">
        <f ca="1">IFERROR(OFFSET(INDIRECT($H$3 &amp; "!A71"), 16, 0), "")</f>
        <v>오브스</v>
      </c>
      <c r="P47" s="39">
        <f t="shared" ca="1" si="11"/>
        <v>147</v>
      </c>
      <c r="Q47" s="77">
        <f t="shared" ca="1" si="12"/>
        <v>0</v>
      </c>
      <c r="R47" s="86">
        <f t="shared" ca="1" si="15"/>
        <v>71441569.16319637</v>
      </c>
    </row>
    <row r="48" spans="1:18">
      <c r="A48" s="40" t="s">
        <v>127</v>
      </c>
      <c r="B48" s="11" t="s">
        <v>128</v>
      </c>
      <c r="C48" s="95">
        <v>681</v>
      </c>
      <c r="D48" s="92">
        <v>2.0989505200000001E-2</v>
      </c>
      <c r="E48" s="93">
        <v>13553031.815857731</v>
      </c>
      <c r="F48" s="35"/>
      <c r="G48" s="56" t="str">
        <f ca="1">IFERROR(OFFSET(INDIRECT($H$3 &amp; "!A98"), 17, 0), "")</f>
        <v>코스모스</v>
      </c>
      <c r="H48" s="39">
        <f t="shared" ca="1" si="7"/>
        <v>28330</v>
      </c>
      <c r="I48" s="77">
        <f t="shared" ca="1" si="8"/>
        <v>7.3919636100000005E-2</v>
      </c>
      <c r="J48" s="86">
        <f t="shared" ca="1" si="13"/>
        <v>915712.57551777002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아인스타이늄</v>
      </c>
      <c r="P48" s="39">
        <f t="shared" ca="1" si="11"/>
        <v>536</v>
      </c>
      <c r="Q48" s="77">
        <f t="shared" ca="1" si="12"/>
        <v>-4.2857142899999999E-2</v>
      </c>
      <c r="R48" s="86">
        <f t="shared" ca="1" si="15"/>
        <v>20424526.34099159</v>
      </c>
    </row>
    <row r="49" spans="1:18">
      <c r="A49" s="40" t="s">
        <v>75</v>
      </c>
      <c r="B49" s="11" t="s">
        <v>76</v>
      </c>
      <c r="C49" s="95">
        <v>58390</v>
      </c>
      <c r="D49" s="92">
        <v>2.0804195800000001E-2</v>
      </c>
      <c r="E49" s="93">
        <v>6176247.4284650404</v>
      </c>
      <c r="F49" s="35"/>
      <c r="G49" s="56" t="str">
        <f ca="1">IFERROR(OFFSET(INDIRECT($H$3 &amp; "!A98"), 18, 0), "")</f>
        <v>리스크</v>
      </c>
      <c r="H49" s="39">
        <f t="shared" ca="1" si="7"/>
        <v>6715</v>
      </c>
      <c r="I49" s="77">
        <f t="shared" ca="1" si="8"/>
        <v>2.9873040000000001E-3</v>
      </c>
      <c r="J49" s="86">
        <f t="shared" ca="1" si="13"/>
        <v>2249802.3838810502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솔브케어</v>
      </c>
      <c r="P49" s="39">
        <f t="shared" ca="1" si="11"/>
        <v>290</v>
      </c>
      <c r="Q49" s="77">
        <f t="shared" ca="1" si="12"/>
        <v>-3.0100334400000001E-2</v>
      </c>
      <c r="R49" s="86">
        <f t="shared" ca="1" si="15"/>
        <v>17831386.720922962</v>
      </c>
    </row>
    <row r="50" spans="1:18" ht="17.25" thickBot="1">
      <c r="A50" s="40" t="s">
        <v>71</v>
      </c>
      <c r="B50" s="11" t="s">
        <v>72</v>
      </c>
      <c r="C50" s="95">
        <v>35.1</v>
      </c>
      <c r="D50" s="92">
        <v>1.15273775E-2</v>
      </c>
      <c r="E50" s="93">
        <v>98100673.969439045</v>
      </c>
      <c r="F50" s="35"/>
      <c r="G50" s="57" t="str">
        <f ca="1">IFERROR(OFFSET(INDIRECT($H$3 &amp; "!A98"), 19, 0), "")</f>
        <v>테조스</v>
      </c>
      <c r="H50" s="37">
        <f t="shared" ca="1" si="7"/>
        <v>7790</v>
      </c>
      <c r="I50" s="79">
        <f t="shared" ca="1" si="8"/>
        <v>0.1273516643</v>
      </c>
      <c r="J50" s="87">
        <f t="shared" ca="1" si="13"/>
        <v>14831053.36069325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헌트</v>
      </c>
      <c r="P50" s="37">
        <f t="shared" ca="1" si="11"/>
        <v>392</v>
      </c>
      <c r="Q50" s="79">
        <f t="shared" ca="1" si="12"/>
        <v>-3.9215686299999997E-2</v>
      </c>
      <c r="R50" s="87">
        <f t="shared" ca="1" si="15"/>
        <v>17746061.286648698</v>
      </c>
    </row>
    <row r="51" spans="1:18">
      <c r="A51" s="40" t="s">
        <v>64</v>
      </c>
      <c r="B51" s="11" t="s">
        <v>65</v>
      </c>
      <c r="C51" s="95">
        <v>72.099999999999994</v>
      </c>
      <c r="D51" s="92">
        <v>1.12201964E-2</v>
      </c>
      <c r="E51" s="93">
        <v>126784402.20551597</v>
      </c>
      <c r="F51" s="35"/>
    </row>
    <row r="52" spans="1:18" ht="17.25" thickBot="1">
      <c r="A52" s="40" t="s">
        <v>48</v>
      </c>
      <c r="B52" s="11" t="s">
        <v>49</v>
      </c>
      <c r="C52" s="95">
        <v>67547000</v>
      </c>
      <c r="D52" s="92">
        <v>1.0743838800000001E-2</v>
      </c>
      <c r="E52" s="93">
        <v>6101.32978697</v>
      </c>
      <c r="F52" s="35"/>
    </row>
    <row r="53" spans="1:18" ht="17.25" thickBot="1">
      <c r="A53" s="40" t="s">
        <v>147</v>
      </c>
      <c r="B53" s="11" t="s">
        <v>148</v>
      </c>
      <c r="C53" s="95">
        <v>196</v>
      </c>
      <c r="D53" s="92">
        <v>1.03092784E-2</v>
      </c>
      <c r="E53" s="93">
        <v>81020957.756107375</v>
      </c>
      <c r="F53" s="35"/>
      <c r="G53" s="185" t="s">
        <v>285</v>
      </c>
      <c r="H53" s="186"/>
      <c r="I53" s="186"/>
      <c r="J53" s="187"/>
      <c r="K53" s="185" t="s">
        <v>288</v>
      </c>
      <c r="L53" s="186"/>
      <c r="M53" s="186"/>
      <c r="N53" s="187"/>
      <c r="O53" s="185" t="s">
        <v>289</v>
      </c>
      <c r="P53" s="186"/>
      <c r="Q53" s="186"/>
      <c r="R53" s="187"/>
    </row>
    <row r="54" spans="1:18" ht="17.25" thickBot="1">
      <c r="A54" s="40" t="s">
        <v>265</v>
      </c>
      <c r="B54" s="11" t="s">
        <v>266</v>
      </c>
      <c r="C54" s="95">
        <v>102</v>
      </c>
      <c r="D54" s="92">
        <v>9.9009900999999997E-3</v>
      </c>
      <c r="E54" s="93">
        <v>530754049.02658969</v>
      </c>
      <c r="F54" s="35"/>
      <c r="G54" s="222" t="s">
        <v>55</v>
      </c>
      <c r="H54" s="238">
        <f ca="1">NOW()</f>
        <v>44321.914210995368</v>
      </c>
      <c r="I54" s="239"/>
      <c r="J54" s="240"/>
      <c r="K54" s="237" t="s">
        <v>55</v>
      </c>
      <c r="L54" s="238">
        <f ca="1">NOW()</f>
        <v>44321.914210995368</v>
      </c>
      <c r="M54" s="239"/>
      <c r="N54" s="240"/>
      <c r="O54" s="237" t="s">
        <v>55</v>
      </c>
      <c r="P54" s="238">
        <f ca="1">NOW()</f>
        <v>44321.914210995368</v>
      </c>
      <c r="Q54" s="239"/>
      <c r="R54" s="240"/>
    </row>
    <row r="55" spans="1:18" ht="17.25" thickBot="1">
      <c r="A55" s="40" t="s">
        <v>261</v>
      </c>
      <c r="B55" s="11" t="s">
        <v>262</v>
      </c>
      <c r="C55" s="95">
        <v>1040</v>
      </c>
      <c r="D55" s="92">
        <v>9.7087379000000001E-3</v>
      </c>
      <c r="E55" s="93">
        <v>13222301.845063141</v>
      </c>
      <c r="F55" s="35"/>
      <c r="G55" s="230"/>
      <c r="H55" s="36" t="s">
        <v>58</v>
      </c>
      <c r="I55" s="73" t="s">
        <v>59</v>
      </c>
      <c r="J55" s="69" t="s">
        <v>294</v>
      </c>
      <c r="K55" s="230"/>
      <c r="L55" s="36" t="s">
        <v>58</v>
      </c>
      <c r="M55" s="73" t="s">
        <v>59</v>
      </c>
      <c r="N55" s="69" t="s">
        <v>294</v>
      </c>
      <c r="O55" s="230"/>
      <c r="P55" s="36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570</v>
      </c>
      <c r="D56" s="92">
        <v>8.8495575000000007E-3</v>
      </c>
      <c r="E56" s="93">
        <v>8736694.5996166002</v>
      </c>
      <c r="F56" s="35"/>
      <c r="G56" s="55" t="str">
        <f ca="1">IFERROR(OFFSET(INDIRECT($H$3 &amp; "!A179"), 0, 0), "")</f>
        <v>썸씽</v>
      </c>
      <c r="H56" s="38">
        <f t="shared" ref="H56:H65" ca="1" si="16">_xlfn.IFNA(VLOOKUP(G56, $B$2:$D$200, 2, FALSE), "")</f>
        <v>119</v>
      </c>
      <c r="I56" s="76">
        <f t="shared" ref="I56:I65" ca="1" si="17">_xlfn.IFNA(VLOOKUP(G56, $B$2:$D$200, 3, FALSE), "")</f>
        <v>-4.8000000000000001E-2</v>
      </c>
      <c r="J56" s="85">
        <f ca="1">_xlfn.IFNA(VLOOKUP(G56, $B$2:$E$200, 4, FALSE), "")</f>
        <v>151316009.9363023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21.6</v>
      </c>
      <c r="M56" s="76">
        <f t="shared" ref="M56:M75" ca="1" si="19">_xlfn.IFNA(VLOOKUP(K56, $B$2:$D$200, 3, FALSE), "")</f>
        <v>-2.7027026999999999E-2</v>
      </c>
      <c r="N56" s="85">
        <f ca="1">_xlfn.IFNA(VLOOKUP(K56, $B$2:$E$200, 4, FALSE), "")</f>
        <v>881817346.93783426</v>
      </c>
      <c r="O56" s="55" t="str">
        <f ca="1">IFERROR(OFFSET(INDIRECT($H$3 &amp; "!A152"), 0, 0), "")</f>
        <v>파워렛저</v>
      </c>
      <c r="P56" s="38">
        <f t="shared" ref="P56:P75" ca="1" si="20">_xlfn.IFNA(VLOOKUP(O56, $B$2:$D$200, 2, FALSE), "")</f>
        <v>461</v>
      </c>
      <c r="Q56" s="76">
        <f t="shared" ref="Q56:Q75" ca="1" si="21">_xlfn.IFNA(VLOOKUP(O56, $B$2:$D$200, 3, FALSE), "")</f>
        <v>8.7527352000000003E-3</v>
      </c>
      <c r="R56" s="85">
        <f ca="1">_xlfn.IFNA(VLOOKUP(O56, $B$2:$E$200, 4, FALSE), "")</f>
        <v>7552645.6200632602</v>
      </c>
    </row>
    <row r="57" spans="1:18">
      <c r="A57" s="40" t="s">
        <v>181</v>
      </c>
      <c r="B57" s="11" t="s">
        <v>182</v>
      </c>
      <c r="C57" s="95">
        <v>461</v>
      </c>
      <c r="D57" s="92">
        <v>8.7527352000000003E-3</v>
      </c>
      <c r="E57" s="93">
        <v>7552645.6200632602</v>
      </c>
      <c r="F57" s="35"/>
      <c r="G57" s="56" t="str">
        <f ca="1">IFERROR(OFFSET(INDIRECT($H$3 &amp; "!A179"), 1, 0), "")</f>
        <v>가스</v>
      </c>
      <c r="H57" s="39">
        <f t="shared" ca="1" si="16"/>
        <v>18590</v>
      </c>
      <c r="I57" s="77">
        <f t="shared" ca="1" si="17"/>
        <v>2.5938189800000001E-2</v>
      </c>
      <c r="J57" s="86">
        <f t="shared" ref="J57:J75" ca="1" si="22">_xlfn.IFNA(VLOOKUP(G57, $B$2:$E$200, 4, FALSE), "")</f>
        <v>2094632.5517172101</v>
      </c>
      <c r="K57" s="56" t="str">
        <f ca="1">IFERROR(OFFSET(INDIRECT($H$3 &amp; "!A125"), 1, 0), "")</f>
        <v>캐리프로토콜</v>
      </c>
      <c r="L57" s="39">
        <f t="shared" ca="1" si="18"/>
        <v>21.1</v>
      </c>
      <c r="M57" s="77">
        <f t="shared" ca="1" si="19"/>
        <v>-2.7649769599999999E-2</v>
      </c>
      <c r="N57" s="86">
        <f t="shared" ref="N57:N75" ca="1" si="23">_xlfn.IFNA(VLOOKUP(K57, $B$2:$E$200, 4, FALSE), "")</f>
        <v>977231794.63484716</v>
      </c>
      <c r="O57" s="56" t="str">
        <f ca="1">IFERROR(OFFSET(INDIRECT($H$3 &amp; "!A152"), 1, 0), "")</f>
        <v>보라</v>
      </c>
      <c r="P57" s="39">
        <f t="shared" ca="1" si="20"/>
        <v>272</v>
      </c>
      <c r="Q57" s="77">
        <f t="shared" ca="1" si="21"/>
        <v>-2.85714286E-2</v>
      </c>
      <c r="R57" s="86">
        <f t="shared" ref="R57:R75" ca="1" si="24">_xlfn.IFNA(VLOOKUP(O57, $B$2:$E$200, 4, FALSE), "")</f>
        <v>42046202.738422252</v>
      </c>
    </row>
    <row r="58" spans="1:18">
      <c r="A58" s="40" t="s">
        <v>115</v>
      </c>
      <c r="B58" s="11" t="s">
        <v>116</v>
      </c>
      <c r="C58" s="95">
        <v>727</v>
      </c>
      <c r="D58" s="92">
        <v>8.3217753000000005E-3</v>
      </c>
      <c r="E58" s="93">
        <v>36006704.37329182</v>
      </c>
      <c r="F58" s="35"/>
      <c r="G58" s="56" t="str">
        <f ca="1">IFERROR(OFFSET(INDIRECT($H$3 &amp; "!A179"), 2, 0), "")</f>
        <v>온톨로지가스</v>
      </c>
      <c r="H58" s="39">
        <f t="shared" ca="1" si="16"/>
        <v>1115</v>
      </c>
      <c r="I58" s="77">
        <f t="shared" ca="1" si="17"/>
        <v>2.29357798E-2</v>
      </c>
      <c r="J58" s="86">
        <f t="shared" ca="1" si="22"/>
        <v>7633421.6718555903</v>
      </c>
      <c r="K58" s="56" t="str">
        <f ca="1">IFERROR(OFFSET(INDIRECT($H$3 &amp; "!A125"), 2, 0), "")</f>
        <v>비트토렌트</v>
      </c>
      <c r="L58" s="39">
        <f t="shared" ca="1" si="18"/>
        <v>8.4600000000000009</v>
      </c>
      <c r="M58" s="77">
        <f t="shared" ca="1" si="19"/>
        <v>5.6179775299999998E-2</v>
      </c>
      <c r="N58" s="86">
        <f t="shared" ca="1" si="23"/>
        <v>129544497788.26314</v>
      </c>
      <c r="O58" s="56" t="str">
        <f ca="1">IFERROR(OFFSET(INDIRECT($H$3 &amp; "!A152"), 2, 0), "")</f>
        <v>스테이터스네트워크토큰</v>
      </c>
      <c r="P58" s="39">
        <f t="shared" ca="1" si="20"/>
        <v>208</v>
      </c>
      <c r="Q58" s="77">
        <f t="shared" ca="1" si="21"/>
        <v>5.0505050500000002E-2</v>
      </c>
      <c r="R58" s="86">
        <f t="shared" ca="1" si="24"/>
        <v>202083509.32465702</v>
      </c>
    </row>
    <row r="59" spans="1:18">
      <c r="A59" s="40" t="s">
        <v>273</v>
      </c>
      <c r="B59" s="11" t="s">
        <v>274</v>
      </c>
      <c r="C59" s="95">
        <v>8740</v>
      </c>
      <c r="D59" s="92">
        <v>4.5977010999999996E-3</v>
      </c>
      <c r="E59" s="93">
        <v>514136.34871798003</v>
      </c>
      <c r="F59" s="35"/>
      <c r="G59" s="56" t="str">
        <f ca="1">IFERROR(OFFSET(INDIRECT($H$3 &amp; "!A179"), 3, 0), "")</f>
        <v>엘비알와이크레딧</v>
      </c>
      <c r="H59" s="39">
        <f t="shared" ca="1" si="16"/>
        <v>212</v>
      </c>
      <c r="I59" s="77">
        <f t="shared" ca="1" si="17"/>
        <v>-2.7522935799999999E-2</v>
      </c>
      <c r="J59" s="86">
        <f t="shared" ca="1" si="22"/>
        <v>17975086.352689389</v>
      </c>
      <c r="K59" s="56" t="str">
        <f ca="1">IFERROR(OFFSET(INDIRECT($H$3 &amp; "!A125"), 3, 0), "")</f>
        <v>썬더토큰</v>
      </c>
      <c r="L59" s="39">
        <f t="shared" ca="1" si="18"/>
        <v>20.399999999999999</v>
      </c>
      <c r="M59" s="77">
        <f t="shared" ca="1" si="19"/>
        <v>-1.44927536E-2</v>
      </c>
      <c r="N59" s="86">
        <f t="shared" ca="1" si="23"/>
        <v>456522035.9273926</v>
      </c>
      <c r="O59" s="56" t="str">
        <f ca="1">IFERROR(OFFSET(INDIRECT($H$3 &amp; "!A152"), 3, 0), "")</f>
        <v>픽셀</v>
      </c>
      <c r="P59" s="39">
        <f t="shared" ca="1" si="20"/>
        <v>114</v>
      </c>
      <c r="Q59" s="77">
        <f t="shared" ca="1" si="21"/>
        <v>-4.2016806699999999E-2</v>
      </c>
      <c r="R59" s="86">
        <f t="shared" ca="1" si="24"/>
        <v>139813423.26705644</v>
      </c>
    </row>
    <row r="60" spans="1:18">
      <c r="A60" s="40" t="s">
        <v>95</v>
      </c>
      <c r="B60" s="11" t="s">
        <v>96</v>
      </c>
      <c r="C60" s="95">
        <v>4095000</v>
      </c>
      <c r="D60" s="92">
        <v>3.4305316999999999E-3</v>
      </c>
      <c r="E60" s="93">
        <v>150469.46036796001</v>
      </c>
      <c r="F60" s="35"/>
      <c r="G60" s="56" t="str">
        <f ca="1">IFERROR(OFFSET(INDIRECT($H$3 &amp; "!A179"), 4, 0), "")</f>
        <v>룸네트워크</v>
      </c>
      <c r="H60" s="39">
        <f t="shared" ca="1" si="16"/>
        <v>171</v>
      </c>
      <c r="I60" s="77">
        <f t="shared" ca="1" si="17"/>
        <v>-2.2857142899999999E-2</v>
      </c>
      <c r="J60" s="90">
        <f t="shared" ca="1" si="22"/>
        <v>22284340.94604037</v>
      </c>
      <c r="K60" s="58" t="str">
        <f ca="1">IFERROR(OFFSET(INDIRECT($H$3 &amp; "!A125"), 4, 0), "")</f>
        <v>아이오에스티</v>
      </c>
      <c r="L60" s="44">
        <f t="shared" ca="1" si="18"/>
        <v>72.099999999999994</v>
      </c>
      <c r="M60" s="78">
        <f t="shared" ca="1" si="19"/>
        <v>1.12201964E-2</v>
      </c>
      <c r="N60" s="90">
        <f t="shared" ca="1" si="23"/>
        <v>126784402.20551597</v>
      </c>
      <c r="O60" s="58" t="str">
        <f ca="1">IFERROR(OFFSET(INDIRECT($H$3 &amp; "!A152"), 4, 0), "")</f>
        <v>하이브</v>
      </c>
      <c r="P60" s="44">
        <f t="shared" ca="1" si="20"/>
        <v>715</v>
      </c>
      <c r="Q60" s="78">
        <f t="shared" ca="1" si="21"/>
        <v>-3.50877193E-2</v>
      </c>
      <c r="R60" s="90">
        <f t="shared" ca="1" si="24"/>
        <v>11484846.61658787</v>
      </c>
    </row>
    <row r="61" spans="1:18">
      <c r="A61" s="40" t="s">
        <v>241</v>
      </c>
      <c r="B61" s="11" t="s">
        <v>242</v>
      </c>
      <c r="C61" s="95">
        <v>6715</v>
      </c>
      <c r="D61" s="92">
        <v>2.9873040000000001E-3</v>
      </c>
      <c r="E61" s="93">
        <v>2249802.3838810502</v>
      </c>
      <c r="F61" s="35"/>
      <c r="G61" s="60" t="str">
        <f ca="1">IFERROR(OFFSET(INDIRECT($H$3 &amp; "!A179"), 5, 0), "")</f>
        <v>엔도르</v>
      </c>
      <c r="H61" s="45">
        <f t="shared" ca="1" si="16"/>
        <v>68</v>
      </c>
      <c r="I61" s="80">
        <f t="shared" ca="1" si="17"/>
        <v>-3.68271955E-2</v>
      </c>
      <c r="J61" s="99">
        <f t="shared" ca="1" si="22"/>
        <v>131101101.0055737</v>
      </c>
      <c r="K61" s="56" t="str">
        <f ca="1">IFERROR(OFFSET(INDIRECT($H$3 &amp; "!A125"), 5, 0), "")</f>
        <v>퀴즈톡</v>
      </c>
      <c r="L61" s="39">
        <f t="shared" ca="1" si="18"/>
        <v>86.5</v>
      </c>
      <c r="M61" s="77">
        <f t="shared" ca="1" si="19"/>
        <v>-4.7356828199999999E-2</v>
      </c>
      <c r="N61" s="99">
        <f t="shared" ca="1" si="23"/>
        <v>125808288.29301614</v>
      </c>
      <c r="O61" s="56" t="str">
        <f ca="1">IFERROR(OFFSET(INDIRECT($H$3 &amp; "!A152"), 5, 0), "")</f>
        <v>엘프</v>
      </c>
      <c r="P61" s="39">
        <f t="shared" ca="1" si="20"/>
        <v>500</v>
      </c>
      <c r="Q61" s="77">
        <f t="shared" ca="1" si="21"/>
        <v>-2.34375E-2</v>
      </c>
      <c r="R61" s="99">
        <f t="shared" ca="1" si="24"/>
        <v>6917029.6036598701</v>
      </c>
    </row>
    <row r="62" spans="1:18">
      <c r="A62" s="40" t="s">
        <v>255</v>
      </c>
      <c r="B62" s="11" t="s">
        <v>256</v>
      </c>
      <c r="C62" s="95">
        <v>262</v>
      </c>
      <c r="D62" s="92">
        <v>0</v>
      </c>
      <c r="E62" s="93">
        <v>14708006.73010176</v>
      </c>
      <c r="F62" s="35"/>
      <c r="G62" s="56" t="str">
        <f ca="1">IFERROR(OFFSET(INDIRECT($H$3 &amp; "!A179"), 6, 0), "")</f>
        <v>옵저버</v>
      </c>
      <c r="H62" s="39">
        <f t="shared" ca="1" si="16"/>
        <v>28.4</v>
      </c>
      <c r="I62" s="77">
        <f t="shared" ca="1" si="17"/>
        <v>-3.4013605400000001E-2</v>
      </c>
      <c r="J62" s="86">
        <f t="shared" ca="1" si="22"/>
        <v>479254995.97838718</v>
      </c>
      <c r="K62" s="56" t="str">
        <f ca="1">IFERROR(OFFSET(INDIRECT($H$3 &amp; "!A125"), 6, 0), "")</f>
        <v>쿼크체인</v>
      </c>
      <c r="L62" s="39">
        <f t="shared" ca="1" si="18"/>
        <v>35.1</v>
      </c>
      <c r="M62" s="77">
        <f t="shared" ca="1" si="19"/>
        <v>1.15273775E-2</v>
      </c>
      <c r="N62" s="86">
        <f t="shared" ca="1" si="23"/>
        <v>98100673.969439045</v>
      </c>
      <c r="O62" s="56" t="str">
        <f ca="1">IFERROR(OFFSET(INDIRECT($H$3 &amp; "!A152"), 6, 0), "")</f>
        <v>센티넬프로토콜</v>
      </c>
      <c r="P62" s="39">
        <f t="shared" ca="1" si="20"/>
        <v>171</v>
      </c>
      <c r="Q62" s="77">
        <f t="shared" ca="1" si="21"/>
        <v>-3.3898305099999998E-2</v>
      </c>
      <c r="R62" s="86">
        <f t="shared" ca="1" si="24"/>
        <v>34776067.882585168</v>
      </c>
    </row>
    <row r="63" spans="1:18">
      <c r="A63" s="40" t="s">
        <v>133</v>
      </c>
      <c r="B63" s="11" t="s">
        <v>134</v>
      </c>
      <c r="C63" s="95">
        <v>147</v>
      </c>
      <c r="D63" s="92">
        <v>0</v>
      </c>
      <c r="E63" s="93">
        <v>71441569.16319637</v>
      </c>
      <c r="F63" s="35"/>
      <c r="G63" s="56" t="str">
        <f ca="1">IFERROR(OFFSET(INDIRECT($H$3 &amp; "!A179"), 7, 0), "")</f>
        <v>에브리피디아</v>
      </c>
      <c r="H63" s="39">
        <f t="shared" ca="1" si="16"/>
        <v>25.2</v>
      </c>
      <c r="I63" s="77">
        <f t="shared" ca="1" si="17"/>
        <v>-3.0769230799999998E-2</v>
      </c>
      <c r="J63" s="86">
        <f t="shared" ca="1" si="22"/>
        <v>468033285.2930578</v>
      </c>
      <c r="K63" s="56" t="str">
        <f ca="1">IFERROR(OFFSET(INDIRECT($H$3 &amp; "!A125"), 7, 0), "")</f>
        <v>리퍼리움</v>
      </c>
      <c r="L63" s="39">
        <f t="shared" ca="1" si="18"/>
        <v>21.9</v>
      </c>
      <c r="M63" s="77">
        <f t="shared" ca="1" si="19"/>
        <v>-3.9473684199999998E-2</v>
      </c>
      <c r="N63" s="86">
        <f t="shared" ca="1" si="23"/>
        <v>519071540.804075</v>
      </c>
      <c r="O63" s="56" t="str">
        <f ca="1">IFERROR(OFFSET(INDIRECT($H$3 &amp; "!A152"), 7, 0), "")</f>
        <v>폴리매쓰</v>
      </c>
      <c r="P63" s="39">
        <f t="shared" ca="1" si="20"/>
        <v>437</v>
      </c>
      <c r="Q63" s="77">
        <f t="shared" ca="1" si="21"/>
        <v>-1.5765765800000001E-2</v>
      </c>
      <c r="R63" s="86">
        <f t="shared" ca="1" si="24"/>
        <v>10528132.163361641</v>
      </c>
    </row>
    <row r="64" spans="1:18">
      <c r="A64" s="40" t="s">
        <v>161</v>
      </c>
      <c r="B64" s="11" t="s">
        <v>162</v>
      </c>
      <c r="C64" s="95">
        <v>2025</v>
      </c>
      <c r="D64" s="92">
        <v>0</v>
      </c>
      <c r="E64" s="93">
        <v>13744054.528333619</v>
      </c>
      <c r="F64" s="35"/>
      <c r="G64" s="56" t="str">
        <f ca="1">IFERROR(OFFSET(INDIRECT($H$3 &amp; "!A179"), 8, 0), "")</f>
        <v>모스코인</v>
      </c>
      <c r="H64" s="39">
        <f t="shared" ca="1" si="16"/>
        <v>183</v>
      </c>
      <c r="I64" s="77">
        <f t="shared" ca="1" si="17"/>
        <v>-4.6875E-2</v>
      </c>
      <c r="J64" s="86">
        <f t="shared" ca="1" si="22"/>
        <v>41802761.203183129</v>
      </c>
      <c r="K64" s="56" t="str">
        <f ca="1">IFERROR(OFFSET(INDIRECT($H$3 &amp; "!A125"), 8, 0), "")</f>
        <v>트웰브쉽스</v>
      </c>
      <c r="L64" s="39">
        <f t="shared" ca="1" si="18"/>
        <v>25.3</v>
      </c>
      <c r="M64" s="77">
        <f t="shared" ca="1" si="19"/>
        <v>-2.6923076899999999E-2</v>
      </c>
      <c r="N64" s="86">
        <f t="shared" ca="1" si="23"/>
        <v>329619953.87800837</v>
      </c>
      <c r="O64" s="56" t="str">
        <f ca="1">IFERROR(OFFSET(INDIRECT($H$3 &amp; "!A152"), 8, 0), "")</f>
        <v>마로</v>
      </c>
      <c r="P64" s="39">
        <f t="shared" ca="1" si="20"/>
        <v>491</v>
      </c>
      <c r="Q64" s="77">
        <f t="shared" ca="1" si="21"/>
        <v>-2.1912350600000002E-2</v>
      </c>
      <c r="R64" s="86">
        <f t="shared" ca="1" si="24"/>
        <v>54478487.962108962</v>
      </c>
    </row>
    <row r="65" spans="1:18" ht="17.25" thickBot="1">
      <c r="A65" s="40" t="s">
        <v>157</v>
      </c>
      <c r="B65" s="11" t="s">
        <v>158</v>
      </c>
      <c r="C65" s="95">
        <v>10140</v>
      </c>
      <c r="D65" s="92">
        <v>-1.9685038999999998E-3</v>
      </c>
      <c r="E65" s="93">
        <v>1929962.4203083101</v>
      </c>
      <c r="F65" s="35"/>
      <c r="G65" s="57" t="str">
        <f ca="1">IFERROR(OFFSET(INDIRECT($H$3 &amp; "!A179"), 9, 0), "")</f>
        <v>엠블</v>
      </c>
      <c r="H65" s="37">
        <f t="shared" ca="1" si="16"/>
        <v>28.2</v>
      </c>
      <c r="I65" s="79">
        <f t="shared" ca="1" si="17"/>
        <v>-3.0927835099999999E-2</v>
      </c>
      <c r="J65" s="87">
        <f t="shared" ca="1" si="22"/>
        <v>844665255.39558899</v>
      </c>
      <c r="K65" s="57" t="str">
        <f ca="1">IFERROR(OFFSET(INDIRECT($H$3 &amp; "!A125"), 9, 0), "")</f>
        <v>무비블록</v>
      </c>
      <c r="L65" s="37">
        <f t="shared" ca="1" si="18"/>
        <v>18.3</v>
      </c>
      <c r="M65" s="79">
        <f t="shared" ca="1" si="19"/>
        <v>-2.65957447E-2</v>
      </c>
      <c r="N65" s="87">
        <f t="shared" ca="1" si="23"/>
        <v>1172907883.6609769</v>
      </c>
      <c r="O65" s="57" t="str">
        <f ca="1">IFERROR(OFFSET(INDIRECT($H$3 &amp; "!A152"), 9, 0), "")</f>
        <v>플레이댑</v>
      </c>
      <c r="P65" s="37">
        <f t="shared" ca="1" si="20"/>
        <v>500</v>
      </c>
      <c r="Q65" s="79">
        <f t="shared" ca="1" si="21"/>
        <v>-2.34375E-2</v>
      </c>
      <c r="R65" s="87">
        <f t="shared" ca="1" si="24"/>
        <v>10261350.591761939</v>
      </c>
    </row>
    <row r="66" spans="1:18">
      <c r="A66" s="40" t="s">
        <v>279</v>
      </c>
      <c r="B66" s="11" t="s">
        <v>280</v>
      </c>
      <c r="C66" s="95">
        <v>1635</v>
      </c>
      <c r="D66" s="92">
        <v>-6.0790274E-3</v>
      </c>
      <c r="E66" s="93">
        <v>6981935.1002670601</v>
      </c>
      <c r="F66" s="35"/>
      <c r="G66" s="56" t="str">
        <f ca="1">IFERROR(OFFSET(INDIRECT($H$3 &amp; "!A179"), 10, 0), "")</f>
        <v>디카르고</v>
      </c>
      <c r="H66" s="38">
        <f t="shared" ref="H66:H75" ca="1" si="25">_xlfn.IFNA(VLOOKUP(G66, $B$2:$D$200, 2, FALSE), "")</f>
        <v>252</v>
      </c>
      <c r="I66" s="76">
        <f t="shared" ref="I66:I75" ca="1" si="26">_xlfn.IFNA(VLOOKUP(G66, $B$2:$D$200, 3, FALSE), "")</f>
        <v>-2.7027026999999999E-2</v>
      </c>
      <c r="J66" s="85">
        <f t="shared" ca="1" si="22"/>
        <v>53527528.864518993</v>
      </c>
      <c r="K66" s="55" t="str">
        <f ca="1">IFERROR(OFFSET(INDIRECT($H$3 &amp; "!A125"), 10, 0), "")</f>
        <v>아하토큰</v>
      </c>
      <c r="L66" s="38">
        <f t="shared" ca="1" si="18"/>
        <v>18.2</v>
      </c>
      <c r="M66" s="76">
        <f t="shared" ca="1" si="19"/>
        <v>-3.1914893600000001E-2</v>
      </c>
      <c r="N66" s="85">
        <f t="shared" ca="1" si="23"/>
        <v>345109183.51581961</v>
      </c>
      <c r="O66" s="55" t="str">
        <f ca="1">IFERROR(OFFSET(INDIRECT($H$3 &amp; "!A152"), 10, 0), "")</f>
        <v>썸씽</v>
      </c>
      <c r="P66" s="38">
        <f t="shared" ca="1" si="20"/>
        <v>119</v>
      </c>
      <c r="Q66" s="76">
        <f t="shared" ca="1" si="21"/>
        <v>-4.8000000000000001E-2</v>
      </c>
      <c r="R66" s="85">
        <f t="shared" ca="1" si="24"/>
        <v>151316009.9363023</v>
      </c>
    </row>
    <row r="67" spans="1:18">
      <c r="A67" s="40" t="s">
        <v>247</v>
      </c>
      <c r="B67" s="11" t="s">
        <v>248</v>
      </c>
      <c r="C67" s="95">
        <v>3170</v>
      </c>
      <c r="D67" s="92">
        <v>-6.2695924999999998E-3</v>
      </c>
      <c r="E67" s="93">
        <v>1947351.78864665</v>
      </c>
      <c r="F67" s="35"/>
      <c r="G67" s="56" t="str">
        <f ca="1">IFERROR(OFFSET(INDIRECT($H$3 &amp; "!A179"), 11, 0), "")</f>
        <v>시아코인</v>
      </c>
      <c r="H67" s="39">
        <f t="shared" ca="1" si="25"/>
        <v>48.1</v>
      </c>
      <c r="I67" s="77">
        <f t="shared" ca="1" si="26"/>
        <v>6.6518847000000006E-2</v>
      </c>
      <c r="J67" s="86">
        <f t="shared" ca="1" si="22"/>
        <v>1071901612.4734033</v>
      </c>
      <c r="K67" s="56" t="str">
        <f ca="1">IFERROR(OFFSET(INDIRECT($H$3 &amp; "!A125"), 11, 0), "")</f>
        <v>엔도르</v>
      </c>
      <c r="L67" s="39">
        <f t="shared" ca="1" si="18"/>
        <v>68</v>
      </c>
      <c r="M67" s="77">
        <f t="shared" ca="1" si="19"/>
        <v>-3.68271955E-2</v>
      </c>
      <c r="N67" s="86">
        <f t="shared" ca="1" si="23"/>
        <v>131101101.0055737</v>
      </c>
      <c r="O67" s="56" t="str">
        <f ca="1">IFERROR(OFFSET(INDIRECT($H$3 &amp; "!A152"), 11, 0), "")</f>
        <v>엘비알와이크레딧</v>
      </c>
      <c r="P67" s="39">
        <f t="shared" ca="1" si="20"/>
        <v>212</v>
      </c>
      <c r="Q67" s="77">
        <f t="shared" ca="1" si="21"/>
        <v>-2.7522935799999999E-2</v>
      </c>
      <c r="R67" s="86">
        <f t="shared" ca="1" si="24"/>
        <v>17975086.352689389</v>
      </c>
    </row>
    <row r="68" spans="1:18">
      <c r="A68" s="40" t="s">
        <v>271</v>
      </c>
      <c r="B68" s="11" t="s">
        <v>272</v>
      </c>
      <c r="C68" s="95">
        <v>2310</v>
      </c>
      <c r="D68" s="92">
        <v>-6.4516128999999997E-3</v>
      </c>
      <c r="E68" s="93">
        <v>11598244.04440197</v>
      </c>
      <c r="F68" s="35"/>
      <c r="G68" s="56" t="str">
        <f ca="1">IFERROR(OFFSET(INDIRECT($H$3 &amp; "!A179"), 12, 0), "")</f>
        <v>헤데라해시그래프</v>
      </c>
      <c r="H68" s="39">
        <f t="shared" ca="1" si="25"/>
        <v>363</v>
      </c>
      <c r="I68" s="77">
        <f t="shared" ca="1" si="26"/>
        <v>2.54237288E-2</v>
      </c>
      <c r="J68" s="86">
        <f t="shared" ca="1" si="22"/>
        <v>29563685.345697869</v>
      </c>
      <c r="K68" s="56" t="str">
        <f ca="1">IFERROR(OFFSET(INDIRECT($H$3 &amp; "!A125"), 12, 0), "")</f>
        <v>옵저버</v>
      </c>
      <c r="L68" s="39">
        <f t="shared" ca="1" si="18"/>
        <v>28.4</v>
      </c>
      <c r="M68" s="77">
        <f t="shared" ca="1" si="19"/>
        <v>-3.4013605400000001E-2</v>
      </c>
      <c r="N68" s="86">
        <f t="shared" ca="1" si="23"/>
        <v>479254995.97838718</v>
      </c>
      <c r="O68" s="56" t="str">
        <f ca="1">IFERROR(OFFSET(INDIRECT($H$3 &amp; "!A152"), 12, 0), "")</f>
        <v>룸네트워크</v>
      </c>
      <c r="P68" s="39">
        <f t="shared" ca="1" si="20"/>
        <v>171</v>
      </c>
      <c r="Q68" s="77">
        <f t="shared" ca="1" si="21"/>
        <v>-2.2857142899999999E-2</v>
      </c>
      <c r="R68" s="86">
        <f t="shared" ca="1" si="24"/>
        <v>22284340.94604037</v>
      </c>
    </row>
    <row r="69" spans="1:18">
      <c r="A69" s="40" t="s">
        <v>243</v>
      </c>
      <c r="B69" s="11" t="s">
        <v>244</v>
      </c>
      <c r="C69" s="95">
        <v>3655</v>
      </c>
      <c r="D69" s="92">
        <v>-1.21621622E-2</v>
      </c>
      <c r="E69" s="93">
        <v>8789443.3629891109</v>
      </c>
      <c r="F69" s="35"/>
      <c r="G69" s="56" t="str">
        <f ca="1">IFERROR(OFFSET(INDIRECT($H$3 &amp; "!A179"), 13, 0), "")</f>
        <v>알파쿼크</v>
      </c>
      <c r="H69" s="39">
        <f t="shared" ca="1" si="25"/>
        <v>6865</v>
      </c>
      <c r="I69" s="77">
        <f t="shared" ca="1" si="26"/>
        <v>-3.7166900400000001E-2</v>
      </c>
      <c r="J69" s="86">
        <f t="shared" ca="1" si="22"/>
        <v>1056400.6853910801</v>
      </c>
      <c r="K69" s="56" t="str">
        <f ca="1">IFERROR(OFFSET(INDIRECT($H$3 &amp; "!A125"), 13, 0), "")</f>
        <v>에브리피디아</v>
      </c>
      <c r="L69" s="39">
        <f t="shared" ca="1" si="18"/>
        <v>25.2</v>
      </c>
      <c r="M69" s="77">
        <f t="shared" ca="1" si="19"/>
        <v>-3.0769230799999998E-2</v>
      </c>
      <c r="N69" s="86">
        <f t="shared" ca="1" si="23"/>
        <v>468033285.2930578</v>
      </c>
      <c r="O69" s="56" t="str">
        <f ca="1">IFERROR(OFFSET(INDIRECT($H$3 &amp; "!A152"), 13, 0), "")</f>
        <v>모스코인</v>
      </c>
      <c r="P69" s="39">
        <f t="shared" ca="1" si="20"/>
        <v>183</v>
      </c>
      <c r="Q69" s="77">
        <f t="shared" ca="1" si="21"/>
        <v>-4.6875E-2</v>
      </c>
      <c r="R69" s="86">
        <f t="shared" ca="1" si="24"/>
        <v>41802761.203183129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-1.44927536E-2</v>
      </c>
      <c r="E70" s="93">
        <v>456522035.9273926</v>
      </c>
      <c r="F70" s="35"/>
      <c r="G70" s="56" t="str">
        <f ca="1">IFERROR(OFFSET(INDIRECT($H$3 &amp; "!A179"), 14, 0), "")</f>
        <v>펀디엑스</v>
      </c>
      <c r="H70" s="39">
        <f t="shared" ca="1" si="25"/>
        <v>3655</v>
      </c>
      <c r="I70" s="77">
        <f t="shared" ca="1" si="26"/>
        <v>-1.21621622E-2</v>
      </c>
      <c r="J70" s="90">
        <f t="shared" ca="1" si="22"/>
        <v>8789443.3629891109</v>
      </c>
      <c r="K70" s="58" t="str">
        <f ca="1">IFERROR(OFFSET(INDIRECT($H$3 &amp; "!A125"), 14, 0), "")</f>
        <v>엠블</v>
      </c>
      <c r="L70" s="44">
        <f t="shared" ca="1" si="18"/>
        <v>28.2</v>
      </c>
      <c r="M70" s="78">
        <f t="shared" ca="1" si="19"/>
        <v>-3.0927835099999999E-2</v>
      </c>
      <c r="N70" s="90">
        <f t="shared" ca="1" si="23"/>
        <v>844665255.39558899</v>
      </c>
      <c r="O70" s="58" t="str">
        <f ca="1">IFERROR(OFFSET(INDIRECT($H$3 &amp; "!A152"), 14, 0), "")</f>
        <v>디카르고</v>
      </c>
      <c r="P70" s="44">
        <f t="shared" ca="1" si="20"/>
        <v>252</v>
      </c>
      <c r="Q70" s="78">
        <f t="shared" ca="1" si="21"/>
        <v>-2.7027026999999999E-2</v>
      </c>
      <c r="R70" s="90">
        <f t="shared" ca="1" si="24"/>
        <v>53527528.864518993</v>
      </c>
    </row>
    <row r="71" spans="1:18">
      <c r="A71" s="40" t="s">
        <v>215</v>
      </c>
      <c r="B71" s="11" t="s">
        <v>216</v>
      </c>
      <c r="C71" s="95">
        <v>437</v>
      </c>
      <c r="D71" s="92">
        <v>-1.5765765800000001E-2</v>
      </c>
      <c r="E71" s="93">
        <v>10528132.163361641</v>
      </c>
      <c r="F71" s="35"/>
      <c r="G71" s="60" t="str">
        <f ca="1">IFERROR(OFFSET(INDIRECT($H$3 &amp; "!A179"), 15, 0), "")</f>
        <v>메타디움</v>
      </c>
      <c r="H71" s="45">
        <f t="shared" ca="1" si="25"/>
        <v>209</v>
      </c>
      <c r="I71" s="80">
        <f t="shared" ca="1" si="26"/>
        <v>-4.12844037E-2</v>
      </c>
      <c r="J71" s="99">
        <f t="shared" ca="1" si="22"/>
        <v>170454089.41107896</v>
      </c>
      <c r="K71" s="56" t="str">
        <f ca="1">IFERROR(OFFSET(INDIRECT($H$3 &amp; "!A125"), 15, 0), "")</f>
        <v>시아코인</v>
      </c>
      <c r="L71" s="39">
        <f t="shared" ca="1" si="18"/>
        <v>48.1</v>
      </c>
      <c r="M71" s="77">
        <f t="shared" ca="1" si="19"/>
        <v>6.6518847000000006E-2</v>
      </c>
      <c r="N71" s="99">
        <f t="shared" ca="1" si="23"/>
        <v>1071901612.4734033</v>
      </c>
      <c r="O71" s="56" t="str">
        <f ca="1">IFERROR(OFFSET(INDIRECT($H$3 &amp; "!A152"), 15, 0), "")</f>
        <v>헤데라해시그래프</v>
      </c>
      <c r="P71" s="39">
        <f t="shared" ca="1" si="20"/>
        <v>363</v>
      </c>
      <c r="Q71" s="77">
        <f t="shared" ca="1" si="21"/>
        <v>2.54237288E-2</v>
      </c>
      <c r="R71" s="99">
        <f t="shared" ca="1" si="24"/>
        <v>29563685.345697869</v>
      </c>
    </row>
    <row r="72" spans="1:18">
      <c r="A72" s="40" t="s">
        <v>267</v>
      </c>
      <c r="B72" s="11" t="s">
        <v>268</v>
      </c>
      <c r="C72" s="95">
        <v>97.9</v>
      </c>
      <c r="D72" s="92">
        <v>-2.1000000000000001E-2</v>
      </c>
      <c r="E72" s="93">
        <v>193222613.34294394</v>
      </c>
      <c r="F72" s="35"/>
      <c r="G72" s="56" t="str">
        <f ca="1">IFERROR(OFFSET(INDIRECT($H$3 &amp; "!A179"), 16, 0), "")</f>
        <v>휴먼스케이프</v>
      </c>
      <c r="H72" s="39">
        <f t="shared" ca="1" si="25"/>
        <v>174</v>
      </c>
      <c r="I72" s="77">
        <f t="shared" ca="1" si="26"/>
        <v>-3.8674033099999998E-2</v>
      </c>
      <c r="J72" s="86">
        <f t="shared" ca="1" si="22"/>
        <v>37446982.78779427</v>
      </c>
      <c r="K72" s="56" t="str">
        <f ca="1">IFERROR(OFFSET(INDIRECT($H$3 &amp; "!A125"), 16, 0), "")</f>
        <v>스톰엑스</v>
      </c>
      <c r="L72" s="39">
        <f t="shared" ca="1" si="18"/>
        <v>63.8</v>
      </c>
      <c r="M72" s="77">
        <f t="shared" ca="1" si="19"/>
        <v>3.7398373999999998E-2</v>
      </c>
      <c r="N72" s="86">
        <f t="shared" ca="1" si="23"/>
        <v>250781325.114618</v>
      </c>
      <c r="O72" s="56" t="str">
        <f ca="1">IFERROR(OFFSET(INDIRECT($H$3 &amp; "!A152"), 16, 0), "")</f>
        <v>메타디움</v>
      </c>
      <c r="P72" s="39">
        <f t="shared" ca="1" si="20"/>
        <v>209</v>
      </c>
      <c r="Q72" s="77">
        <f t="shared" ca="1" si="21"/>
        <v>-4.12844037E-2</v>
      </c>
      <c r="R72" s="86">
        <f t="shared" ca="1" si="24"/>
        <v>170454089.41107896</v>
      </c>
    </row>
    <row r="73" spans="1:18">
      <c r="A73" s="40" t="s">
        <v>179</v>
      </c>
      <c r="B73" s="11" t="s">
        <v>180</v>
      </c>
      <c r="C73" s="95">
        <v>4605</v>
      </c>
      <c r="D73" s="92">
        <v>-2.1253985100000001E-2</v>
      </c>
      <c r="E73" s="93">
        <v>5800824.3007577099</v>
      </c>
      <c r="F73" s="35"/>
      <c r="G73" s="56" t="str">
        <f ca="1">IFERROR(OFFSET(INDIRECT($H$3 &amp; "!A179"), 17, 0), "")</f>
        <v>피르마체인</v>
      </c>
      <c r="H73" s="39">
        <f t="shared" ca="1" si="25"/>
        <v>192</v>
      </c>
      <c r="I73" s="77">
        <f t="shared" ca="1" si="26"/>
        <v>-0.04</v>
      </c>
      <c r="J73" s="86">
        <f t="shared" ca="1" si="22"/>
        <v>31996024.062507462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휴먼스케이프</v>
      </c>
      <c r="P73" s="39">
        <f t="shared" ca="1" si="20"/>
        <v>174</v>
      </c>
      <c r="Q73" s="77">
        <f t="shared" ca="1" si="21"/>
        <v>-3.8674033099999998E-2</v>
      </c>
      <c r="R73" s="86">
        <f t="shared" ca="1" si="24"/>
        <v>37446982.78779427</v>
      </c>
    </row>
    <row r="74" spans="1:18">
      <c r="A74" s="40" t="s">
        <v>207</v>
      </c>
      <c r="B74" s="11" t="s">
        <v>208</v>
      </c>
      <c r="C74" s="95">
        <v>491</v>
      </c>
      <c r="D74" s="92">
        <v>-2.1912350600000002E-2</v>
      </c>
      <c r="E74" s="93">
        <v>54478487.962108962</v>
      </c>
      <c r="F74" s="35"/>
      <c r="G74" s="56" t="str">
        <f ca="1">IFERROR(OFFSET(INDIRECT($H$3 &amp; "!A179"), 18, 0), "")</f>
        <v>스톰엑스</v>
      </c>
      <c r="H74" s="39">
        <f t="shared" ca="1" si="25"/>
        <v>63.8</v>
      </c>
      <c r="I74" s="77">
        <f t="shared" ca="1" si="26"/>
        <v>3.7398373999999998E-2</v>
      </c>
      <c r="J74" s="86">
        <f t="shared" ca="1" si="22"/>
        <v>250781325.114618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피르마체인</v>
      </c>
      <c r="P74" s="39">
        <f t="shared" ca="1" si="20"/>
        <v>192</v>
      </c>
      <c r="Q74" s="77">
        <f t="shared" ca="1" si="21"/>
        <v>-0.04</v>
      </c>
      <c r="R74" s="86">
        <f t="shared" ca="1" si="24"/>
        <v>31996024.062507462</v>
      </c>
    </row>
    <row r="75" spans="1:18" ht="17.25" thickBot="1">
      <c r="A75" s="40" t="s">
        <v>263</v>
      </c>
      <c r="B75" s="11" t="s">
        <v>264</v>
      </c>
      <c r="C75" s="95">
        <v>171</v>
      </c>
      <c r="D75" s="92">
        <v>-2.2857142899999999E-2</v>
      </c>
      <c r="E75" s="93">
        <v>22284340.94604037</v>
      </c>
      <c r="F75" s="35"/>
      <c r="G75" s="57" t="str">
        <f ca="1">IFERROR(OFFSET(INDIRECT($H$3 &amp; "!A179"), 19, 0), "")</f>
        <v>메디블록</v>
      </c>
      <c r="H75" s="37">
        <f t="shared" ca="1" si="25"/>
        <v>151</v>
      </c>
      <c r="I75" s="79">
        <f t="shared" ca="1" si="26"/>
        <v>-3.2051282100000002E-2</v>
      </c>
      <c r="J75" s="87">
        <f t="shared" ca="1" si="22"/>
        <v>891889446.87335825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메디블록</v>
      </c>
      <c r="P75" s="37">
        <f t="shared" ca="1" si="20"/>
        <v>151</v>
      </c>
      <c r="Q75" s="79">
        <f t="shared" ca="1" si="21"/>
        <v>-3.2051282100000002E-2</v>
      </c>
      <c r="R75" s="87">
        <f t="shared" ca="1" si="24"/>
        <v>891889446.87335825</v>
      </c>
    </row>
    <row r="76" spans="1:18">
      <c r="A76" s="40" t="s">
        <v>169</v>
      </c>
      <c r="B76" s="11" t="s">
        <v>170</v>
      </c>
      <c r="C76" s="95">
        <v>500</v>
      </c>
      <c r="D76" s="92">
        <v>-2.34375E-2</v>
      </c>
      <c r="E76" s="93">
        <v>6917029.6036598701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500</v>
      </c>
      <c r="D77" s="92">
        <v>-2.34375E-2</v>
      </c>
      <c r="E77" s="93">
        <v>10261350.591761939</v>
      </c>
      <c r="F77" s="35"/>
      <c r="G77" s="35"/>
      <c r="H77" s="35"/>
      <c r="I77" s="35"/>
    </row>
    <row r="78" spans="1:18">
      <c r="A78" s="40" t="s">
        <v>227</v>
      </c>
      <c r="B78" s="11" t="s">
        <v>228</v>
      </c>
      <c r="C78" s="95">
        <v>18.3</v>
      </c>
      <c r="D78" s="92">
        <v>-2.65957447E-2</v>
      </c>
      <c r="E78" s="93">
        <v>1172907883.6609769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2010</v>
      </c>
      <c r="D79" s="92">
        <v>-2.6634382599999999E-2</v>
      </c>
      <c r="E79" s="93">
        <v>16681110.513193861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25.3</v>
      </c>
      <c r="D80" s="92">
        <v>-2.6923076899999999E-2</v>
      </c>
      <c r="E80" s="93">
        <v>329619953.87800837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21.6</v>
      </c>
      <c r="D81" s="92">
        <v>-2.7027026999999999E-2</v>
      </c>
      <c r="E81" s="93">
        <v>881817346.93783426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252</v>
      </c>
      <c r="D82" s="92">
        <v>-2.7027026999999999E-2</v>
      </c>
      <c r="E82" s="93">
        <v>53527528.864518993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72900</v>
      </c>
      <c r="D83" s="92">
        <v>-2.7351567699999999E-2</v>
      </c>
      <c r="E83" s="93">
        <v>687988.95225336996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212</v>
      </c>
      <c r="D84" s="92">
        <v>-2.7522935799999999E-2</v>
      </c>
      <c r="E84" s="93">
        <v>17975086.352689389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21.1</v>
      </c>
      <c r="D85" s="92">
        <v>-2.7649769599999999E-2</v>
      </c>
      <c r="E85" s="93">
        <v>977231794.63484716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272</v>
      </c>
      <c r="D86" s="92">
        <v>-2.85714286E-2</v>
      </c>
      <c r="E86" s="93">
        <v>42046202.738422252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368</v>
      </c>
      <c r="D87" s="92">
        <v>-2.9023746699999999E-2</v>
      </c>
      <c r="E87" s="93">
        <v>16031589.07605402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2500</v>
      </c>
      <c r="D88" s="92">
        <v>-2.9126213599999999E-2</v>
      </c>
      <c r="E88" s="93">
        <v>10428988.65431143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290</v>
      </c>
      <c r="D89" s="92">
        <v>-3.0100334400000001E-2</v>
      </c>
      <c r="E89" s="93">
        <v>17831386.720922962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25.2</v>
      </c>
      <c r="D90" s="92">
        <v>-3.0769230799999998E-2</v>
      </c>
      <c r="E90" s="93">
        <v>468033285.2930578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28.2</v>
      </c>
      <c r="D91" s="92">
        <v>-3.0927835099999999E-2</v>
      </c>
      <c r="E91" s="93">
        <v>844665255.39558899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18.2</v>
      </c>
      <c r="D92" s="92">
        <v>-3.1914893600000001E-2</v>
      </c>
      <c r="E92" s="93">
        <v>345109183.51581961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5">
        <v>151</v>
      </c>
      <c r="D93" s="92">
        <v>-3.2051282100000002E-2</v>
      </c>
      <c r="E93" s="93">
        <v>891889446.87335825</v>
      </c>
      <c r="F93" s="35"/>
      <c r="G93" s="35"/>
      <c r="H93" s="35"/>
      <c r="I93" s="35"/>
    </row>
    <row r="94" spans="1:9">
      <c r="A94" s="40" t="s">
        <v>283</v>
      </c>
      <c r="B94" s="11" t="s">
        <v>284</v>
      </c>
      <c r="C94" s="95">
        <v>435</v>
      </c>
      <c r="D94" s="92">
        <v>-3.3333333299999997E-2</v>
      </c>
      <c r="E94" s="93">
        <v>17608084.72672464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171</v>
      </c>
      <c r="D95" s="92">
        <v>-3.3898305099999998E-2</v>
      </c>
      <c r="E95" s="93">
        <v>34776067.882585168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28.4</v>
      </c>
      <c r="D96" s="92">
        <v>-3.4013605400000001E-2</v>
      </c>
      <c r="E96" s="93">
        <v>479254995.97838718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715</v>
      </c>
      <c r="D97" s="92">
        <v>-3.50877193E-2</v>
      </c>
      <c r="E97" s="93">
        <v>11484846.61658787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160</v>
      </c>
      <c r="D98" s="92">
        <v>-3.6144578300000001E-2</v>
      </c>
      <c r="E98" s="93">
        <v>22729554.143001981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68</v>
      </c>
      <c r="D99" s="92">
        <v>-3.68271955E-2</v>
      </c>
      <c r="E99" s="93">
        <v>131101101.0055737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39190</v>
      </c>
      <c r="D100" s="92">
        <v>-3.6864094399999998E-2</v>
      </c>
      <c r="E100" s="93">
        <v>1255253.8800957699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6865</v>
      </c>
      <c r="D101" s="92">
        <v>-3.7166900400000001E-2</v>
      </c>
      <c r="E101" s="93">
        <v>1056400.6853910801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1370</v>
      </c>
      <c r="D102" s="92">
        <v>-3.8596491199999999E-2</v>
      </c>
      <c r="E102" s="93">
        <v>4013478.9410298001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174</v>
      </c>
      <c r="D103" s="92">
        <v>-3.8674033099999998E-2</v>
      </c>
      <c r="E103" s="93">
        <v>37446982.78779427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392</v>
      </c>
      <c r="D104" s="92">
        <v>-3.9215686299999997E-2</v>
      </c>
      <c r="E104" s="93">
        <v>17746061.286648698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21.9</v>
      </c>
      <c r="D105" s="92">
        <v>-3.9473684199999998E-2</v>
      </c>
      <c r="E105" s="93">
        <v>519071540.804075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192</v>
      </c>
      <c r="D106" s="92">
        <v>-0.04</v>
      </c>
      <c r="E106" s="93">
        <v>31996024.062507462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209</v>
      </c>
      <c r="D107" s="92">
        <v>-4.12844037E-2</v>
      </c>
      <c r="E107" s="93">
        <v>170454089.41107896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1505</v>
      </c>
      <c r="D108" s="92">
        <v>-4.14012739E-2</v>
      </c>
      <c r="E108" s="93">
        <v>8978220.4465404209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114</v>
      </c>
      <c r="D109" s="92">
        <v>-4.2016806699999999E-2</v>
      </c>
      <c r="E109" s="41">
        <v>139813423.26705644</v>
      </c>
    </row>
    <row r="110" spans="1:9">
      <c r="A110" s="40" t="s">
        <v>193</v>
      </c>
      <c r="B110" s="11" t="s">
        <v>194</v>
      </c>
      <c r="C110" s="95">
        <v>14090</v>
      </c>
      <c r="D110" s="92">
        <v>-4.2148198499999998E-2</v>
      </c>
      <c r="E110" s="41">
        <v>1019821.40502865</v>
      </c>
    </row>
    <row r="111" spans="1:9">
      <c r="A111" s="40" t="s">
        <v>251</v>
      </c>
      <c r="B111" s="11" t="s">
        <v>252</v>
      </c>
      <c r="C111" s="95">
        <v>536</v>
      </c>
      <c r="D111" s="92">
        <v>-4.2857142899999999E-2</v>
      </c>
      <c r="E111" s="41">
        <v>20424526.34099159</v>
      </c>
    </row>
    <row r="112" spans="1:9">
      <c r="A112" s="40" t="s">
        <v>239</v>
      </c>
      <c r="B112" s="11" t="s">
        <v>240</v>
      </c>
      <c r="C112" s="95">
        <v>183</v>
      </c>
      <c r="D112" s="92">
        <v>-4.6875E-2</v>
      </c>
      <c r="E112" s="41">
        <v>41802761.203183129</v>
      </c>
    </row>
    <row r="113" spans="1:5">
      <c r="A113" s="40" t="s">
        <v>253</v>
      </c>
      <c r="B113" s="11" t="s">
        <v>254</v>
      </c>
      <c r="C113" s="95">
        <v>86.5</v>
      </c>
      <c r="D113" s="92">
        <v>-4.7356828199999999E-2</v>
      </c>
      <c r="E113" s="41">
        <v>125808288.29301614</v>
      </c>
    </row>
    <row r="114" spans="1:5">
      <c r="A114" s="40" t="s">
        <v>259</v>
      </c>
      <c r="B114" s="11" t="s">
        <v>260</v>
      </c>
      <c r="C114" s="95">
        <v>119</v>
      </c>
      <c r="D114" s="92">
        <v>-4.8000000000000001E-2</v>
      </c>
      <c r="E114" s="41">
        <v>151316009.9363023</v>
      </c>
    </row>
    <row r="115" spans="1:5">
      <c r="A115" s="40" t="s">
        <v>163</v>
      </c>
      <c r="B115" s="11" t="s">
        <v>164</v>
      </c>
      <c r="C115" s="95">
        <v>41950</v>
      </c>
      <c r="D115" s="92">
        <v>-5.2191595100000002E-2</v>
      </c>
      <c r="E115" s="41">
        <v>6090268.6939234799</v>
      </c>
    </row>
    <row r="116" spans="1:5">
      <c r="A116" s="40" t="s">
        <v>203</v>
      </c>
      <c r="B116" s="11" t="s">
        <v>204</v>
      </c>
      <c r="C116" s="95">
        <v>8680</v>
      </c>
      <c r="D116" s="92">
        <v>-5.2401746700000001E-2</v>
      </c>
      <c r="E116" s="41">
        <v>24606528.088886969</v>
      </c>
    </row>
    <row r="117" spans="1:5">
      <c r="A117" s="40" t="s">
        <v>66</v>
      </c>
      <c r="B117" s="11" t="s">
        <v>67</v>
      </c>
      <c r="C117" s="95">
        <v>8680</v>
      </c>
      <c r="D117" s="92">
        <v>-5.3435114499999999E-2</v>
      </c>
      <c r="E117" s="41">
        <v>1943059.20264596</v>
      </c>
    </row>
    <row r="118" spans="1:5">
      <c r="A118" s="40" t="s">
        <v>275</v>
      </c>
      <c r="B118" s="11" t="s">
        <v>276</v>
      </c>
      <c r="C118" s="95">
        <v>4470</v>
      </c>
      <c r="D118" s="92">
        <v>-5.8947368399999998E-2</v>
      </c>
      <c r="E118" s="41">
        <v>6088529.4724995997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7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F1" workbookViewId="0">
      <selection activeCell="U21" sqref="U21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77</v>
      </c>
      <c r="B2" s="11" t="s">
        <v>78</v>
      </c>
      <c r="C2" s="95">
        <v>1499000</v>
      </c>
      <c r="D2" s="92">
        <v>0.24501661129999999</v>
      </c>
      <c r="E2" s="93">
        <v>590289.28425621998</v>
      </c>
      <c r="F2" s="35"/>
      <c r="G2" s="54"/>
      <c r="H2" s="35"/>
      <c r="I2" s="35"/>
    </row>
    <row r="3" spans="1:18" ht="17.25" thickBot="1">
      <c r="A3" s="40" t="s">
        <v>295</v>
      </c>
      <c r="B3" s="11" t="s">
        <v>296</v>
      </c>
      <c r="C3" s="95">
        <v>793</v>
      </c>
      <c r="D3" s="92">
        <v>0.1748148148</v>
      </c>
      <c r="E3" s="93">
        <v>9687280794.9657383</v>
      </c>
      <c r="F3" s="35"/>
      <c r="G3" s="229" t="s">
        <v>290</v>
      </c>
      <c r="H3" s="241" t="s">
        <v>322</v>
      </c>
      <c r="I3" s="241"/>
      <c r="K3" s="185" t="s">
        <v>34</v>
      </c>
      <c r="L3" s="186"/>
      <c r="M3" s="186"/>
      <c r="N3" s="187"/>
      <c r="O3" s="185" t="s">
        <v>291</v>
      </c>
      <c r="P3" s="186"/>
      <c r="Q3" s="186"/>
      <c r="R3" s="187"/>
    </row>
    <row r="4" spans="1:18" ht="17.25" thickBot="1">
      <c r="A4" s="40" t="s">
        <v>85</v>
      </c>
      <c r="B4" s="11" t="s">
        <v>86</v>
      </c>
      <c r="C4" s="95">
        <v>9085</v>
      </c>
      <c r="D4" s="92">
        <v>0.1370463079</v>
      </c>
      <c r="E4" s="93">
        <v>73474557.025203943</v>
      </c>
      <c r="F4" s="35"/>
      <c r="G4" s="230"/>
      <c r="H4" s="242"/>
      <c r="I4" s="242"/>
      <c r="K4" s="222" t="s">
        <v>55</v>
      </c>
      <c r="L4" s="238">
        <f ca="1">NOW()</f>
        <v>44321.914210995368</v>
      </c>
      <c r="M4" s="239"/>
      <c r="N4" s="240"/>
      <c r="O4" s="237" t="s">
        <v>55</v>
      </c>
      <c r="P4" s="238">
        <f ca="1">NOW()</f>
        <v>44321.914210995368</v>
      </c>
      <c r="Q4" s="239"/>
      <c r="R4" s="240"/>
    </row>
    <row r="5" spans="1:18" ht="17.25" thickBot="1">
      <c r="A5" s="40" t="s">
        <v>97</v>
      </c>
      <c r="B5" s="11" t="s">
        <v>98</v>
      </c>
      <c r="C5" s="95">
        <v>7790</v>
      </c>
      <c r="D5" s="92">
        <v>0.1273516643</v>
      </c>
      <c r="E5" s="93">
        <v>14831053.36069325</v>
      </c>
      <c r="F5" s="35"/>
      <c r="K5" s="230"/>
      <c r="L5" s="51" t="s">
        <v>58</v>
      </c>
      <c r="M5" s="73" t="s">
        <v>59</v>
      </c>
      <c r="N5" s="69" t="s">
        <v>294</v>
      </c>
      <c r="O5" s="208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89</v>
      </c>
      <c r="B6" s="11" t="s">
        <v>90</v>
      </c>
      <c r="C6" s="95">
        <v>456450</v>
      </c>
      <c r="D6" s="92">
        <v>0.1093693037</v>
      </c>
      <c r="E6" s="93">
        <v>146810.30682172999</v>
      </c>
      <c r="F6" s="35"/>
      <c r="G6" s="185" t="s">
        <v>52</v>
      </c>
      <c r="H6" s="186"/>
      <c r="I6" s="187"/>
      <c r="K6" s="55" t="str">
        <f ca="1">IFERROR(OFFSET(INDIRECT($H$3 &amp; "!A17"), 0, 0), "")</f>
        <v>도지코인</v>
      </c>
      <c r="L6" s="38">
        <f t="shared" ref="L6:L25" ca="1" si="0">_xlfn.IFNA(VLOOKUP(K6, $B$2:$D$200, 2, FALSE), "")</f>
        <v>793</v>
      </c>
      <c r="M6" s="76">
        <f t="shared" ref="M6:M25" ca="1" si="1">_xlfn.IFNA(VLOOKUP(K6, $B$2:$D$200, 3, FALSE), "")</f>
        <v>0.1748148148</v>
      </c>
      <c r="N6" s="85">
        <f ca="1">_xlfn.IFNA(VLOOKUP(K6, $B$2:$E$200, 4, FALSE), "")</f>
        <v>9687280794.9657383</v>
      </c>
      <c r="O6" s="72" t="s">
        <v>78</v>
      </c>
      <c r="P6" s="38">
        <f t="shared" ref="P6:P25" si="2">_xlfn.IFNA(VLOOKUP(O6, $B$2:$D$200, 2, FALSE), "")</f>
        <v>1499000</v>
      </c>
      <c r="Q6" s="76">
        <f t="shared" ref="Q6:Q25" si="3">_xlfn.IFNA(VLOOKUP(O6, $B$2:$D$200, 3, FALSE), "")</f>
        <v>0.24501661129999999</v>
      </c>
      <c r="R6" s="85">
        <f>_xlfn.IFNA(VLOOKUP(O6, $B$2:$E$200, 4, FALSE), "")</f>
        <v>590289.28425621998</v>
      </c>
    </row>
    <row r="7" spans="1:18">
      <c r="A7" s="40" t="s">
        <v>107</v>
      </c>
      <c r="B7" s="11" t="s">
        <v>108</v>
      </c>
      <c r="C7" s="95">
        <v>60960</v>
      </c>
      <c r="D7" s="92">
        <v>0.1033484163</v>
      </c>
      <c r="E7" s="93">
        <v>2027480.25333357</v>
      </c>
      <c r="F7" s="35"/>
      <c r="G7" s="213" t="s">
        <v>36</v>
      </c>
      <c r="H7" s="214"/>
      <c r="I7" s="215"/>
      <c r="K7" s="56" t="str">
        <f ca="1">IFERROR(OFFSET(INDIRECT($H$3 &amp; "!A17"), 1, 0), "")</f>
        <v>이더리움클래식</v>
      </c>
      <c r="L7" s="39">
        <f t="shared" ca="1" si="0"/>
        <v>89100</v>
      </c>
      <c r="M7" s="77">
        <f t="shared" ca="1" si="1"/>
        <v>3.6046511599999997E-2</v>
      </c>
      <c r="N7" s="86">
        <f t="shared" ref="N7:N25" ca="1" si="4">_xlfn.IFNA(VLOOKUP(K7, $B$2:$E$200, 4, FALSE), "")</f>
        <v>33260532.911876</v>
      </c>
      <c r="O7" s="88" t="s">
        <v>296</v>
      </c>
      <c r="P7" s="39">
        <f t="shared" si="2"/>
        <v>793</v>
      </c>
      <c r="Q7" s="77">
        <f t="shared" si="3"/>
        <v>0.1748148148</v>
      </c>
      <c r="R7" s="86">
        <f t="shared" ref="R7:R25" si="5">_xlfn.IFNA(VLOOKUP(O7, $B$2:$E$200, 4, FALSE), "")</f>
        <v>9687280794.9657383</v>
      </c>
    </row>
    <row r="8" spans="1:18" ht="17.25" thickBot="1">
      <c r="A8" s="40" t="s">
        <v>91</v>
      </c>
      <c r="B8" s="11" t="s">
        <v>92</v>
      </c>
      <c r="C8" s="95">
        <v>1910</v>
      </c>
      <c r="D8" s="92">
        <v>9.4555873900000004E-2</v>
      </c>
      <c r="E8" s="93">
        <v>801785644.42336464</v>
      </c>
      <c r="F8" s="35"/>
      <c r="G8" s="206"/>
      <c r="H8" s="207"/>
      <c r="I8" s="208"/>
      <c r="K8" s="56" t="str">
        <f ca="1">IFERROR(OFFSET(INDIRECT($H$3 &amp; "!A17"), 2, 0), "")</f>
        <v>웨이브</v>
      </c>
      <c r="L8" s="39">
        <f t="shared" ca="1" si="0"/>
        <v>41950</v>
      </c>
      <c r="M8" s="77">
        <f t="shared" ca="1" si="1"/>
        <v>-5.2191595100000002E-2</v>
      </c>
      <c r="N8" s="86">
        <f t="shared" ca="1" si="4"/>
        <v>6090268.6939234799</v>
      </c>
      <c r="O8" s="88" t="s">
        <v>86</v>
      </c>
      <c r="P8" s="39">
        <f t="shared" si="2"/>
        <v>9085</v>
      </c>
      <c r="Q8" s="77">
        <f t="shared" si="3"/>
        <v>0.1370463079</v>
      </c>
      <c r="R8" s="86">
        <f t="shared" si="5"/>
        <v>73474557.025203943</v>
      </c>
    </row>
    <row r="9" spans="1:18" ht="17.25" thickBot="1">
      <c r="A9" s="40" t="s">
        <v>103</v>
      </c>
      <c r="B9" s="11" t="s">
        <v>104</v>
      </c>
      <c r="C9" s="95">
        <v>2410</v>
      </c>
      <c r="D9" s="92">
        <v>8.55855856E-2</v>
      </c>
      <c r="E9" s="93">
        <v>20712635.43127244</v>
      </c>
      <c r="F9" s="35"/>
      <c r="G9" s="50" t="s">
        <v>38</v>
      </c>
      <c r="H9" s="186" t="s">
        <v>37</v>
      </c>
      <c r="I9" s="187"/>
      <c r="K9" s="56" t="str">
        <f ca="1">IFERROR(OFFSET(INDIRECT($H$3 &amp; "!A17"), 3, 0), "")</f>
        <v>비트코인골드</v>
      </c>
      <c r="L9" s="39">
        <f t="shared" ca="1" si="0"/>
        <v>140550</v>
      </c>
      <c r="M9" s="77">
        <f t="shared" ca="1" si="1"/>
        <v>3.3455882399999998E-2</v>
      </c>
      <c r="N9" s="86">
        <f t="shared" ca="1" si="4"/>
        <v>2594338.12153788</v>
      </c>
      <c r="O9" s="88" t="s">
        <v>98</v>
      </c>
      <c r="P9" s="39">
        <f t="shared" si="2"/>
        <v>7790</v>
      </c>
      <c r="Q9" s="77">
        <f t="shared" si="3"/>
        <v>0.1273516643</v>
      </c>
      <c r="R9" s="86">
        <f t="shared" si="5"/>
        <v>14831053.36069325</v>
      </c>
    </row>
    <row r="10" spans="1:18">
      <c r="A10" s="40" t="s">
        <v>137</v>
      </c>
      <c r="B10" s="11" t="s">
        <v>138</v>
      </c>
      <c r="C10" s="95">
        <v>47280</v>
      </c>
      <c r="D10" s="92">
        <v>8.4403669700000003E-2</v>
      </c>
      <c r="E10" s="93">
        <v>1616356.0333565599</v>
      </c>
      <c r="F10" s="35"/>
      <c r="G10" s="231">
        <f>_xlfn.IFNA(VLOOKUP(G7, $B$2:$D$200, 3, FALSE), "-")</f>
        <v>1.0743838800000001E-2</v>
      </c>
      <c r="H10" s="233">
        <f>_xlfn.IFNA(VLOOKUP(G7, $B$2:$D$200, 2, FALSE), "-")</f>
        <v>67547000</v>
      </c>
      <c r="I10" s="234"/>
      <c r="K10" s="58" t="str">
        <f ca="1">IFERROR(OFFSET(INDIRECT($H$3 &amp; "!A17"), 4, 0), "")</f>
        <v>플로우</v>
      </c>
      <c r="L10" s="44">
        <f t="shared" ca="1" si="0"/>
        <v>39190</v>
      </c>
      <c r="M10" s="78">
        <f t="shared" ca="1" si="1"/>
        <v>-3.6864094399999998E-2</v>
      </c>
      <c r="N10" s="90">
        <f t="shared" ca="1" si="4"/>
        <v>1255253.8800957699</v>
      </c>
      <c r="O10" s="88" t="s">
        <v>90</v>
      </c>
      <c r="P10" s="39">
        <f t="shared" si="2"/>
        <v>456450</v>
      </c>
      <c r="Q10" s="77">
        <f t="shared" si="3"/>
        <v>0.1093693037</v>
      </c>
      <c r="R10" s="90">
        <f t="shared" si="5"/>
        <v>146810.30682172999</v>
      </c>
    </row>
    <row r="11" spans="1:18" ht="17.25" thickBot="1">
      <c r="A11" s="40" t="s">
        <v>141</v>
      </c>
      <c r="B11" s="11" t="s">
        <v>142</v>
      </c>
      <c r="C11" s="95">
        <v>447</v>
      </c>
      <c r="D11" s="92">
        <v>8.2324455199999994E-2</v>
      </c>
      <c r="E11" s="93">
        <v>333937950.0207364</v>
      </c>
      <c r="F11" s="35"/>
      <c r="G11" s="232"/>
      <c r="H11" s="235"/>
      <c r="I11" s="236"/>
      <c r="K11" s="56" t="str">
        <f ca="1">IFERROR(OFFSET(INDIRECT($H$3 &amp; "!A17"), 5, 0), "")</f>
        <v>라이트코인</v>
      </c>
      <c r="L11" s="39">
        <f t="shared" ca="1" si="0"/>
        <v>412800</v>
      </c>
      <c r="M11" s="77">
        <f t="shared" ca="1" si="1"/>
        <v>7.3881373599999994E-2</v>
      </c>
      <c r="N11" s="99">
        <f t="shared" ca="1" si="4"/>
        <v>503706.61746472999</v>
      </c>
      <c r="O11" s="89" t="s">
        <v>108</v>
      </c>
      <c r="P11" s="45">
        <f t="shared" si="2"/>
        <v>60960</v>
      </c>
      <c r="Q11" s="80">
        <f t="shared" si="3"/>
        <v>0.1033484163</v>
      </c>
      <c r="R11" s="99">
        <f t="shared" si="5"/>
        <v>2027480.25333357</v>
      </c>
    </row>
    <row r="12" spans="1:18" ht="17.25" thickBot="1">
      <c r="A12" s="40" t="s">
        <v>50</v>
      </c>
      <c r="B12" s="11" t="s">
        <v>51</v>
      </c>
      <c r="C12" s="95">
        <v>679</v>
      </c>
      <c r="D12" s="92">
        <v>7.6069730599999996E-2</v>
      </c>
      <c r="E12" s="93">
        <v>94414367.870606452</v>
      </c>
      <c r="F12" s="35"/>
      <c r="K12" s="56" t="str">
        <f ca="1">IFERROR(OFFSET(INDIRECT($H$3 &amp; "!A17"), 6, 0), "")</f>
        <v>에스티피</v>
      </c>
      <c r="L12" s="39">
        <f t="shared" ca="1" si="0"/>
        <v>102</v>
      </c>
      <c r="M12" s="77">
        <f t="shared" ca="1" si="1"/>
        <v>9.9009900999999997E-3</v>
      </c>
      <c r="N12" s="86">
        <f t="shared" ca="1" si="4"/>
        <v>530754049.02658969</v>
      </c>
      <c r="O12" s="88" t="s">
        <v>92</v>
      </c>
      <c r="P12" s="39">
        <f t="shared" si="2"/>
        <v>1910</v>
      </c>
      <c r="Q12" s="77">
        <f t="shared" si="3"/>
        <v>9.4555873900000004E-2</v>
      </c>
      <c r="R12" s="86">
        <f t="shared" si="5"/>
        <v>801785644.42336464</v>
      </c>
    </row>
    <row r="13" spans="1:18" ht="17.25" thickBot="1">
      <c r="A13" s="40" t="s">
        <v>73</v>
      </c>
      <c r="B13" s="11" t="s">
        <v>74</v>
      </c>
      <c r="C13" s="95">
        <v>28330</v>
      </c>
      <c r="D13" s="92">
        <v>7.3919636100000005E-2</v>
      </c>
      <c r="E13" s="93">
        <v>915712.57551777002</v>
      </c>
      <c r="F13" s="35"/>
      <c r="G13" s="185" t="s">
        <v>70</v>
      </c>
      <c r="H13" s="186"/>
      <c r="I13" s="187"/>
      <c r="K13" s="56" t="str">
        <f ca="1">IFERROR(OFFSET(INDIRECT($H$3 &amp; "!A17"), 7, 0), "")</f>
        <v>체인링크</v>
      </c>
      <c r="L13" s="39">
        <f t="shared" ca="1" si="0"/>
        <v>58390</v>
      </c>
      <c r="M13" s="77">
        <f t="shared" ca="1" si="1"/>
        <v>2.0804195800000001E-2</v>
      </c>
      <c r="N13" s="86">
        <f t="shared" ca="1" si="4"/>
        <v>6176247.4284650404</v>
      </c>
      <c r="O13" s="88" t="s">
        <v>104</v>
      </c>
      <c r="P13" s="39">
        <f t="shared" si="2"/>
        <v>2410</v>
      </c>
      <c r="Q13" s="77">
        <f t="shared" si="3"/>
        <v>8.55855856E-2</v>
      </c>
      <c r="R13" s="86">
        <f t="shared" si="5"/>
        <v>20712635.43127244</v>
      </c>
    </row>
    <row r="14" spans="1:18">
      <c r="A14" s="40" t="s">
        <v>129</v>
      </c>
      <c r="B14" s="11" t="s">
        <v>130</v>
      </c>
      <c r="C14" s="95">
        <v>412800</v>
      </c>
      <c r="D14" s="92">
        <v>7.3881373599999994E-2</v>
      </c>
      <c r="E14" s="93">
        <v>503706.61746472999</v>
      </c>
      <c r="F14" s="35"/>
      <c r="G14" s="213" t="s">
        <v>36</v>
      </c>
      <c r="H14" s="214"/>
      <c r="I14" s="215"/>
      <c r="K14" s="56" t="str">
        <f ca="1">IFERROR(OFFSET(INDIRECT($H$3 &amp; "!A17"), 8, 0), "")</f>
        <v>비트코인캐시에이비씨</v>
      </c>
      <c r="L14" s="39">
        <f t="shared" ca="1" si="0"/>
        <v>60960</v>
      </c>
      <c r="M14" s="77">
        <f t="shared" ca="1" si="1"/>
        <v>0.1033484163</v>
      </c>
      <c r="N14" s="86">
        <f t="shared" ca="1" si="4"/>
        <v>2027480.25333357</v>
      </c>
      <c r="O14" s="88" t="s">
        <v>138</v>
      </c>
      <c r="P14" s="39">
        <f t="shared" si="2"/>
        <v>47280</v>
      </c>
      <c r="Q14" s="77">
        <f t="shared" si="3"/>
        <v>8.4403669700000003E-2</v>
      </c>
      <c r="R14" s="86">
        <f t="shared" si="5"/>
        <v>1616356.0333565599</v>
      </c>
    </row>
    <row r="15" spans="1:18" ht="17.25" thickBot="1">
      <c r="A15" s="40" t="s">
        <v>62</v>
      </c>
      <c r="B15" s="11" t="s">
        <v>63</v>
      </c>
      <c r="C15" s="95">
        <v>130100</v>
      </c>
      <c r="D15" s="92">
        <v>7.2989690699999998E-2</v>
      </c>
      <c r="E15" s="93">
        <v>1710749.6996764001</v>
      </c>
      <c r="F15" s="35"/>
      <c r="G15" s="206"/>
      <c r="H15" s="207"/>
      <c r="I15" s="208"/>
      <c r="K15" s="57" t="str">
        <f ca="1">IFERROR(OFFSET(INDIRECT($H$3 &amp; "!A17"), 9, 0), "")</f>
        <v>스택스</v>
      </c>
      <c r="L15" s="37">
        <f t="shared" ca="1" si="0"/>
        <v>2500</v>
      </c>
      <c r="M15" s="79">
        <f t="shared" ca="1" si="1"/>
        <v>-2.9126213599999999E-2</v>
      </c>
      <c r="N15" s="87">
        <f t="shared" ca="1" si="4"/>
        <v>10428988.65431143</v>
      </c>
      <c r="O15" s="74" t="s">
        <v>142</v>
      </c>
      <c r="P15" s="37">
        <f t="shared" si="2"/>
        <v>447</v>
      </c>
      <c r="Q15" s="79">
        <f t="shared" si="3"/>
        <v>8.2324455199999994E-2</v>
      </c>
      <c r="R15" s="87">
        <f t="shared" si="5"/>
        <v>333937950.0207364</v>
      </c>
    </row>
    <row r="16" spans="1:18" ht="17.25" thickBot="1">
      <c r="A16" s="40" t="s">
        <v>143</v>
      </c>
      <c r="B16" s="11" t="s">
        <v>144</v>
      </c>
      <c r="C16" s="95">
        <v>11710</v>
      </c>
      <c r="D16" s="92">
        <v>7.23443223E-2</v>
      </c>
      <c r="E16" s="93">
        <v>10232075.953636371</v>
      </c>
      <c r="F16" s="35"/>
      <c r="G16" s="50" t="s">
        <v>38</v>
      </c>
      <c r="H16" s="186" t="s">
        <v>37</v>
      </c>
      <c r="I16" s="187"/>
      <c r="K16" s="55" t="str">
        <f ca="1">IFERROR(OFFSET(INDIRECT($H$3 &amp; "!A17"), 10, 0), "")</f>
        <v>메인프레임</v>
      </c>
      <c r="L16" s="38">
        <f t="shared" ca="1" si="0"/>
        <v>21.6</v>
      </c>
      <c r="M16" s="76">
        <f t="shared" ca="1" si="1"/>
        <v>-2.7027026999999999E-2</v>
      </c>
      <c r="N16" s="85">
        <f t="shared" ca="1" si="4"/>
        <v>881817346.93783426</v>
      </c>
      <c r="O16" s="72" t="s">
        <v>51</v>
      </c>
      <c r="P16" s="38">
        <f t="shared" si="2"/>
        <v>679</v>
      </c>
      <c r="Q16" s="76">
        <f t="shared" si="3"/>
        <v>7.6069730599999996E-2</v>
      </c>
      <c r="R16" s="85">
        <f t="shared" si="5"/>
        <v>94414367.870606452</v>
      </c>
    </row>
    <row r="17" spans="1:18">
      <c r="A17" s="40" t="s">
        <v>159</v>
      </c>
      <c r="B17" s="11" t="s">
        <v>160</v>
      </c>
      <c r="C17" s="95">
        <v>3140</v>
      </c>
      <c r="D17" s="92">
        <v>7.1672354899999999E-2</v>
      </c>
      <c r="E17" s="93">
        <v>3382740.8227436198</v>
      </c>
      <c r="F17" s="35"/>
      <c r="G17" s="231">
        <f>_xlfn.IFNA(VLOOKUP(G14, $B$2:$D$200, 3, FALSE), "-")</f>
        <v>1.0743838800000001E-2</v>
      </c>
      <c r="H17" s="233">
        <f>_xlfn.IFNA(VLOOKUP(G14, $B$2:$D$200, 2, FALSE), "-")</f>
        <v>67547000</v>
      </c>
      <c r="I17" s="234"/>
      <c r="K17" s="56" t="str">
        <f ca="1">IFERROR(OFFSET(INDIRECT($H$3 &amp; "!A17"), 11, 0), "")</f>
        <v>스트라티스</v>
      </c>
      <c r="L17" s="39">
        <f t="shared" ca="1" si="0"/>
        <v>4470</v>
      </c>
      <c r="M17" s="77">
        <f t="shared" ca="1" si="1"/>
        <v>-5.8947368399999998E-2</v>
      </c>
      <c r="N17" s="86">
        <f t="shared" ca="1" si="4"/>
        <v>6088529.4724995997</v>
      </c>
      <c r="O17" s="88" t="s">
        <v>74</v>
      </c>
      <c r="P17" s="39">
        <f t="shared" si="2"/>
        <v>28330</v>
      </c>
      <c r="Q17" s="77">
        <f t="shared" si="3"/>
        <v>7.3919636100000005E-2</v>
      </c>
      <c r="R17" s="86">
        <f t="shared" si="5"/>
        <v>915712.57551777002</v>
      </c>
    </row>
    <row r="18" spans="1:18" ht="17.25" thickBot="1">
      <c r="A18" s="40" t="s">
        <v>187</v>
      </c>
      <c r="B18" s="11" t="s">
        <v>188</v>
      </c>
      <c r="C18" s="95">
        <v>18560</v>
      </c>
      <c r="D18" s="92">
        <v>6.7280045999999996E-2</v>
      </c>
      <c r="E18" s="93">
        <v>8034177.5309121404</v>
      </c>
      <c r="F18" s="35"/>
      <c r="G18" s="232"/>
      <c r="H18" s="235"/>
      <c r="I18" s="236"/>
      <c r="K18" s="56" t="str">
        <f ca="1">IFERROR(OFFSET(INDIRECT($H$3 &amp; "!A17"), 12, 0), "")</f>
        <v>오미세고</v>
      </c>
      <c r="L18" s="39">
        <f t="shared" ca="1" si="0"/>
        <v>11710</v>
      </c>
      <c r="M18" s="77">
        <f t="shared" ca="1" si="1"/>
        <v>7.23443223E-2</v>
      </c>
      <c r="N18" s="86">
        <f t="shared" ca="1" si="4"/>
        <v>10232075.953636371</v>
      </c>
      <c r="O18" s="88" t="s">
        <v>130</v>
      </c>
      <c r="P18" s="39">
        <f t="shared" si="2"/>
        <v>412800</v>
      </c>
      <c r="Q18" s="77">
        <f t="shared" si="3"/>
        <v>7.3881373599999994E-2</v>
      </c>
      <c r="R18" s="86">
        <f t="shared" si="5"/>
        <v>503706.61746472999</v>
      </c>
    </row>
    <row r="19" spans="1:18" ht="17.25" thickBot="1">
      <c r="A19" s="40" t="s">
        <v>155</v>
      </c>
      <c r="B19" s="11" t="s">
        <v>156</v>
      </c>
      <c r="C19" s="95">
        <v>160</v>
      </c>
      <c r="D19" s="92">
        <v>6.6666666700000002E-2</v>
      </c>
      <c r="E19" s="93">
        <v>820457429.91056979</v>
      </c>
      <c r="F19" s="35"/>
      <c r="K19" s="56" t="str">
        <f ca="1">IFERROR(OFFSET(INDIRECT($H$3 &amp; "!A17"), 13, 0), "")</f>
        <v>비트코인에스브이</v>
      </c>
      <c r="L19" s="39">
        <f t="shared" ca="1" si="0"/>
        <v>456450</v>
      </c>
      <c r="M19" s="77">
        <f t="shared" ca="1" si="1"/>
        <v>0.1093693037</v>
      </c>
      <c r="N19" s="86">
        <f t="shared" ca="1" si="4"/>
        <v>146810.30682172999</v>
      </c>
      <c r="O19" s="88" t="s">
        <v>63</v>
      </c>
      <c r="P19" s="39">
        <f t="shared" si="2"/>
        <v>130100</v>
      </c>
      <c r="Q19" s="77">
        <f t="shared" si="3"/>
        <v>7.2989690699999998E-2</v>
      </c>
      <c r="R19" s="86">
        <f t="shared" si="5"/>
        <v>1710749.6996764001</v>
      </c>
    </row>
    <row r="20" spans="1:18" ht="17.25" thickBot="1">
      <c r="A20" s="40" t="s">
        <v>151</v>
      </c>
      <c r="B20" s="11" t="s">
        <v>152</v>
      </c>
      <c r="C20" s="95">
        <v>48.1</v>
      </c>
      <c r="D20" s="92">
        <v>6.6518847000000006E-2</v>
      </c>
      <c r="E20" s="93">
        <v>1071901612.4734033</v>
      </c>
      <c r="F20" s="35"/>
      <c r="G20" s="185" t="s">
        <v>286</v>
      </c>
      <c r="H20" s="186"/>
      <c r="I20" s="187"/>
      <c r="K20" s="58" t="str">
        <f ca="1">IFERROR(OFFSET(INDIRECT($H$3 &amp; "!A17"), 14, 0), "")</f>
        <v>이오스</v>
      </c>
      <c r="L20" s="44">
        <f t="shared" ca="1" si="0"/>
        <v>9085</v>
      </c>
      <c r="M20" s="78">
        <f t="shared" ca="1" si="1"/>
        <v>0.1370463079</v>
      </c>
      <c r="N20" s="90">
        <f t="shared" ca="1" si="4"/>
        <v>73474557.025203943</v>
      </c>
      <c r="O20" s="88" t="s">
        <v>144</v>
      </c>
      <c r="P20" s="39">
        <f t="shared" si="2"/>
        <v>11710</v>
      </c>
      <c r="Q20" s="77">
        <f t="shared" si="3"/>
        <v>7.23443223E-2</v>
      </c>
      <c r="R20" s="90">
        <f t="shared" si="5"/>
        <v>10232075.953636371</v>
      </c>
    </row>
    <row r="21" spans="1:18">
      <c r="A21" s="40" t="s">
        <v>117</v>
      </c>
      <c r="B21" s="11" t="s">
        <v>118</v>
      </c>
      <c r="C21" s="95">
        <v>7520</v>
      </c>
      <c r="D21" s="92">
        <v>5.9154929600000003E-2</v>
      </c>
      <c r="E21" s="93">
        <v>1439062.0466517101</v>
      </c>
      <c r="F21" s="35"/>
      <c r="G21" s="213" t="s">
        <v>36</v>
      </c>
      <c r="H21" s="214"/>
      <c r="I21" s="215"/>
      <c r="K21" s="56" t="str">
        <f ca="1">IFERROR(OFFSET(INDIRECT($H$3 &amp; "!A17"), 15, 0), "")</f>
        <v>이더리움</v>
      </c>
      <c r="L21" s="39">
        <f t="shared" ca="1" si="0"/>
        <v>4095000</v>
      </c>
      <c r="M21" s="77">
        <f t="shared" ca="1" si="1"/>
        <v>3.4305316999999999E-3</v>
      </c>
      <c r="N21" s="99">
        <f t="shared" ca="1" si="4"/>
        <v>150469.46036796001</v>
      </c>
      <c r="O21" s="89" t="s">
        <v>160</v>
      </c>
      <c r="P21" s="45">
        <f t="shared" si="2"/>
        <v>3140</v>
      </c>
      <c r="Q21" s="80">
        <f t="shared" si="3"/>
        <v>7.1672354899999999E-2</v>
      </c>
      <c r="R21" s="99">
        <f t="shared" si="5"/>
        <v>3382740.8227436198</v>
      </c>
    </row>
    <row r="22" spans="1:18" ht="17.25" thickBot="1">
      <c r="A22" s="40" t="s">
        <v>83</v>
      </c>
      <c r="B22" s="11" t="s">
        <v>84</v>
      </c>
      <c r="C22" s="95">
        <v>1680</v>
      </c>
      <c r="D22" s="92">
        <v>5.6603773599999997E-2</v>
      </c>
      <c r="E22" s="93">
        <v>45262558.782516547</v>
      </c>
      <c r="F22" s="35"/>
      <c r="G22" s="206"/>
      <c r="H22" s="207"/>
      <c r="I22" s="208"/>
      <c r="K22" s="56" t="str">
        <f ca="1">IFERROR(OFFSET(INDIRECT($H$3 &amp; "!A17"), 16, 0), "")</f>
        <v>비트코인캐시</v>
      </c>
      <c r="L22" s="39">
        <f t="shared" ca="1" si="0"/>
        <v>1499000</v>
      </c>
      <c r="M22" s="77">
        <f t="shared" ca="1" si="1"/>
        <v>0.24501661129999999</v>
      </c>
      <c r="N22" s="86">
        <f t="shared" ca="1" si="4"/>
        <v>590289.28425621998</v>
      </c>
      <c r="O22" s="88" t="s">
        <v>188</v>
      </c>
      <c r="P22" s="39">
        <f t="shared" si="2"/>
        <v>18560</v>
      </c>
      <c r="Q22" s="77">
        <f t="shared" si="3"/>
        <v>6.7280045999999996E-2</v>
      </c>
      <c r="R22" s="86">
        <f t="shared" si="5"/>
        <v>8034177.5309121404</v>
      </c>
    </row>
    <row r="23" spans="1:18" ht="17.25" thickBot="1">
      <c r="A23" s="40" t="s">
        <v>99</v>
      </c>
      <c r="B23" s="11" t="s">
        <v>100</v>
      </c>
      <c r="C23" s="95">
        <v>8.4600000000000009</v>
      </c>
      <c r="D23" s="92">
        <v>5.6179775299999998E-2</v>
      </c>
      <c r="E23" s="93">
        <v>129544497788.26314</v>
      </c>
      <c r="F23" s="35"/>
      <c r="G23" s="50" t="s">
        <v>38</v>
      </c>
      <c r="H23" s="186" t="s">
        <v>37</v>
      </c>
      <c r="I23" s="187"/>
      <c r="K23" s="56" t="str">
        <f ca="1">IFERROR(OFFSET(INDIRECT($H$3 &amp; "!A17"), 17, 0), "")</f>
        <v>코스모스</v>
      </c>
      <c r="L23" s="39">
        <f t="shared" ca="1" si="0"/>
        <v>28330</v>
      </c>
      <c r="M23" s="77">
        <f t="shared" ca="1" si="1"/>
        <v>7.3919636100000005E-2</v>
      </c>
      <c r="N23" s="86">
        <f t="shared" ca="1" si="4"/>
        <v>915712.57551777002</v>
      </c>
      <c r="O23" s="88" t="s">
        <v>156</v>
      </c>
      <c r="P23" s="39">
        <f t="shared" si="2"/>
        <v>160</v>
      </c>
      <c r="Q23" s="77">
        <f t="shared" si="3"/>
        <v>6.6666666700000002E-2</v>
      </c>
      <c r="R23" s="86">
        <f t="shared" si="5"/>
        <v>820457429.91056979</v>
      </c>
    </row>
    <row r="24" spans="1:18">
      <c r="A24" s="40" t="s">
        <v>183</v>
      </c>
      <c r="B24" s="11" t="s">
        <v>184</v>
      </c>
      <c r="C24" s="95">
        <v>2505</v>
      </c>
      <c r="D24" s="92">
        <v>5.4736842100000002E-2</v>
      </c>
      <c r="E24" s="93">
        <v>1997180.8614181201</v>
      </c>
      <c r="F24" s="35"/>
      <c r="G24" s="231">
        <f>_xlfn.IFNA(VLOOKUP(G21, $B$2:$D$200, 3, FALSE), "-")</f>
        <v>1.0743838800000001E-2</v>
      </c>
      <c r="H24" s="233">
        <f>_xlfn.IFNA(VLOOKUP(G21, $B$2:$D$200, 2, FALSE), "-")</f>
        <v>67547000</v>
      </c>
      <c r="I24" s="234"/>
      <c r="K24" s="56" t="str">
        <f ca="1">IFERROR(OFFSET(INDIRECT($H$3 &amp; "!A17"), 18, 0), "")</f>
        <v>리스크</v>
      </c>
      <c r="L24" s="39">
        <f t="shared" ca="1" si="0"/>
        <v>6715</v>
      </c>
      <c r="M24" s="77">
        <f t="shared" ca="1" si="1"/>
        <v>2.9873040000000001E-3</v>
      </c>
      <c r="N24" s="86">
        <f t="shared" ca="1" si="4"/>
        <v>2249802.3838810502</v>
      </c>
      <c r="O24" s="88" t="s">
        <v>152</v>
      </c>
      <c r="P24" s="39">
        <f t="shared" si="2"/>
        <v>48.1</v>
      </c>
      <c r="Q24" s="77">
        <f t="shared" si="3"/>
        <v>6.6518847000000006E-2</v>
      </c>
      <c r="R24" s="86">
        <f t="shared" si="5"/>
        <v>1071901612.4734033</v>
      </c>
    </row>
    <row r="25" spans="1:18" ht="17.25" thickBot="1">
      <c r="A25" s="40" t="s">
        <v>167</v>
      </c>
      <c r="B25" s="11" t="s">
        <v>168</v>
      </c>
      <c r="C25" s="95">
        <v>208</v>
      </c>
      <c r="D25" s="92">
        <v>5.0505050500000002E-2</v>
      </c>
      <c r="E25" s="93">
        <v>202083509.32465702</v>
      </c>
      <c r="F25" s="35"/>
      <c r="G25" s="232"/>
      <c r="H25" s="235"/>
      <c r="I25" s="236"/>
      <c r="K25" s="57" t="str">
        <f ca="1">IFERROR(OFFSET(INDIRECT($H$3 &amp; "!A17"), 19, 0), "")</f>
        <v>테조스</v>
      </c>
      <c r="L25" s="37">
        <f t="shared" ca="1" si="0"/>
        <v>7790</v>
      </c>
      <c r="M25" s="79">
        <f t="shared" ca="1" si="1"/>
        <v>0.1273516643</v>
      </c>
      <c r="N25" s="87">
        <f t="shared" ca="1" si="4"/>
        <v>14831053.36069325</v>
      </c>
      <c r="O25" s="74" t="s">
        <v>118</v>
      </c>
      <c r="P25" s="37">
        <f t="shared" si="2"/>
        <v>7520</v>
      </c>
      <c r="Q25" s="79">
        <f t="shared" si="3"/>
        <v>5.9154929600000003E-2</v>
      </c>
      <c r="R25" s="87">
        <f t="shared" si="5"/>
        <v>1439062.0466517101</v>
      </c>
    </row>
    <row r="26" spans="1:18">
      <c r="A26" s="40" t="s">
        <v>105</v>
      </c>
      <c r="B26" s="11" t="s">
        <v>106</v>
      </c>
      <c r="C26" s="95">
        <v>2215</v>
      </c>
      <c r="D26" s="92">
        <v>4.9763033200000001E-2</v>
      </c>
      <c r="E26" s="93">
        <v>4765302.6511858096</v>
      </c>
      <c r="F26" s="35"/>
    </row>
    <row r="27" spans="1:18" ht="17.25" thickBot="1">
      <c r="A27" s="40" t="s">
        <v>177</v>
      </c>
      <c r="B27" s="11" t="s">
        <v>178</v>
      </c>
      <c r="C27" s="95">
        <v>51330</v>
      </c>
      <c r="D27" s="92">
        <v>4.7764849999999998E-2</v>
      </c>
      <c r="E27" s="93">
        <v>477908.28643579001</v>
      </c>
      <c r="F27" s="35"/>
    </row>
    <row r="28" spans="1:18" ht="17.25" thickBot="1">
      <c r="A28" s="40" t="s">
        <v>131</v>
      </c>
      <c r="B28" s="11" t="s">
        <v>132</v>
      </c>
      <c r="C28" s="95">
        <v>246</v>
      </c>
      <c r="D28" s="92">
        <v>4.6808510599999999E-2</v>
      </c>
      <c r="E28" s="93">
        <v>954413567.04047132</v>
      </c>
      <c r="F28" s="35"/>
      <c r="G28" s="185" t="s">
        <v>46</v>
      </c>
      <c r="H28" s="186"/>
      <c r="I28" s="186"/>
      <c r="J28" s="187"/>
      <c r="K28" s="185" t="s">
        <v>44</v>
      </c>
      <c r="L28" s="186"/>
      <c r="M28" s="186"/>
      <c r="N28" s="187"/>
      <c r="O28" s="185" t="s">
        <v>45</v>
      </c>
      <c r="P28" s="186"/>
      <c r="Q28" s="186"/>
      <c r="R28" s="187"/>
    </row>
    <row r="29" spans="1:18" ht="17.25" thickBot="1">
      <c r="A29" s="40" t="s">
        <v>79</v>
      </c>
      <c r="B29" s="11" t="s">
        <v>80</v>
      </c>
      <c r="C29" s="95">
        <v>1530</v>
      </c>
      <c r="D29" s="92">
        <v>4.4368600699999997E-2</v>
      </c>
      <c r="E29" s="93">
        <v>6614909.91793417</v>
      </c>
      <c r="F29" s="35"/>
      <c r="G29" s="222" t="s">
        <v>55</v>
      </c>
      <c r="H29" s="238">
        <f ca="1">NOW()</f>
        <v>44321.914210995368</v>
      </c>
      <c r="I29" s="239"/>
      <c r="J29" s="240"/>
      <c r="K29" s="237" t="s">
        <v>55</v>
      </c>
      <c r="L29" s="238">
        <f ca="1">NOW()</f>
        <v>44321.914210995368</v>
      </c>
      <c r="M29" s="239"/>
      <c r="N29" s="240"/>
      <c r="O29" s="237" t="s">
        <v>55</v>
      </c>
      <c r="P29" s="238">
        <f ca="1">NOW()</f>
        <v>44321.914210995368</v>
      </c>
      <c r="Q29" s="239"/>
      <c r="R29" s="240"/>
    </row>
    <row r="30" spans="1:18" ht="17.25" thickBot="1">
      <c r="A30" s="40" t="s">
        <v>135</v>
      </c>
      <c r="B30" s="11" t="s">
        <v>136</v>
      </c>
      <c r="C30" s="95">
        <v>253</v>
      </c>
      <c r="D30" s="92">
        <v>4.11522634E-2</v>
      </c>
      <c r="E30" s="93">
        <v>41091568.767330043</v>
      </c>
      <c r="F30" s="35"/>
      <c r="G30" s="230"/>
      <c r="H30" s="51" t="s">
        <v>58</v>
      </c>
      <c r="I30" s="73" t="s">
        <v>59</v>
      </c>
      <c r="J30" s="69" t="s">
        <v>294</v>
      </c>
      <c r="K30" s="208"/>
      <c r="L30" s="51" t="s">
        <v>58</v>
      </c>
      <c r="M30" s="73" t="s">
        <v>59</v>
      </c>
      <c r="N30" s="91" t="s">
        <v>294</v>
      </c>
      <c r="O30" s="208"/>
      <c r="P30" s="51" t="s">
        <v>58</v>
      </c>
      <c r="Q30" s="73" t="s">
        <v>59</v>
      </c>
      <c r="R30" s="91" t="s">
        <v>294</v>
      </c>
    </row>
    <row r="31" spans="1:18">
      <c r="A31" s="40" t="s">
        <v>277</v>
      </c>
      <c r="B31" s="11" t="s">
        <v>278</v>
      </c>
      <c r="C31" s="95">
        <v>156</v>
      </c>
      <c r="D31" s="92">
        <v>0.04</v>
      </c>
      <c r="E31" s="93">
        <v>80896438.284581363</v>
      </c>
      <c r="F31" s="35"/>
      <c r="G31" s="52" t="s">
        <v>78</v>
      </c>
      <c r="H31" s="38">
        <f t="shared" ref="H31:H50" si="6">_xlfn.IFNA(VLOOKUP(G31, $B$2:$D$200, 2, FALSE), "")</f>
        <v>1499000</v>
      </c>
      <c r="I31" s="76">
        <f t="shared" ref="I31:I50" si="7">_xlfn.IFNA(VLOOKUP(G31, $B$2:$D$200, 3, FALSE), "")</f>
        <v>0.24501661129999999</v>
      </c>
      <c r="J31" s="85">
        <f>_xlfn.IFNA(VLOOKUP(G31, $B$2:$E$200, 4, FALSE), "")</f>
        <v>590289.28425621998</v>
      </c>
      <c r="K31" s="81" t="s">
        <v>152</v>
      </c>
      <c r="L31" s="38">
        <f t="shared" ref="L31:L50" si="8">_xlfn.IFNA(VLOOKUP(K31, $B$2:$D$200, 2, FALSE), "")</f>
        <v>48.1</v>
      </c>
      <c r="M31" s="76">
        <f t="shared" ref="M31:M50" si="9">_xlfn.IFNA(VLOOKUP(K31, $B$2:$D$200, 3, FALSE), "")</f>
        <v>6.6518847000000006E-2</v>
      </c>
      <c r="N31" s="85">
        <f>_xlfn.IFNA(VLOOKUP(K31, $B$2:$E$200, 4, FALSE), "")</f>
        <v>1071901612.4734033</v>
      </c>
      <c r="O31" s="81" t="s">
        <v>296</v>
      </c>
      <c r="P31" s="38">
        <f t="shared" ref="P31:P50" si="10">_xlfn.IFNA(VLOOKUP(O31, $B$2:$D$200, 2, FALSE), "")</f>
        <v>793</v>
      </c>
      <c r="Q31" s="76">
        <f t="shared" ref="Q31:Q50" si="11">_xlfn.IFNA(VLOOKUP(O31, $B$2:$D$200, 3, FALSE), "")</f>
        <v>0.1748148148</v>
      </c>
      <c r="R31" s="85">
        <f>_xlfn.IFNA(VLOOKUP(O31, $B$2:$E$200, 4, FALSE), "")</f>
        <v>9687280794.9657383</v>
      </c>
    </row>
    <row r="32" spans="1:18">
      <c r="A32" s="40" t="s">
        <v>165</v>
      </c>
      <c r="B32" s="11" t="s">
        <v>166</v>
      </c>
      <c r="C32" s="95">
        <v>2360</v>
      </c>
      <c r="D32" s="92">
        <v>3.9647577099999998E-2</v>
      </c>
      <c r="E32" s="93">
        <v>2419616.2652432201</v>
      </c>
      <c r="F32" s="35"/>
      <c r="G32" s="47" t="s">
        <v>296</v>
      </c>
      <c r="H32" s="39">
        <f t="shared" si="6"/>
        <v>793</v>
      </c>
      <c r="I32" s="77">
        <f t="shared" si="7"/>
        <v>0.1748148148</v>
      </c>
      <c r="J32" s="86">
        <f t="shared" ref="J32:J50" si="12">_xlfn.IFNA(VLOOKUP(G32, $B$2:$E$200, 4, FALSE), "")</f>
        <v>9687280794.9657383</v>
      </c>
      <c r="K32" s="82" t="s">
        <v>100</v>
      </c>
      <c r="L32" s="39">
        <f t="shared" si="8"/>
        <v>8.4600000000000009</v>
      </c>
      <c r="M32" s="77">
        <f t="shared" si="9"/>
        <v>5.6179775299999998E-2</v>
      </c>
      <c r="N32" s="86">
        <f t="shared" ref="N32:N50" si="13">_xlfn.IFNA(VLOOKUP(K32, $B$2:$E$200, 4, FALSE), "")</f>
        <v>129544497788.26314</v>
      </c>
      <c r="O32" s="82" t="s">
        <v>142</v>
      </c>
      <c r="P32" s="39">
        <f t="shared" si="10"/>
        <v>447</v>
      </c>
      <c r="Q32" s="77">
        <f t="shared" si="11"/>
        <v>8.2324455199999994E-2</v>
      </c>
      <c r="R32" s="86">
        <f t="shared" ref="R32:R50" si="14">_xlfn.IFNA(VLOOKUP(O32, $B$2:$E$200, 4, FALSE), "")</f>
        <v>333937950.0207364</v>
      </c>
    </row>
    <row r="33" spans="1:18">
      <c r="A33" s="40" t="s">
        <v>125</v>
      </c>
      <c r="B33" s="11" t="s">
        <v>126</v>
      </c>
      <c r="C33" s="95">
        <v>63.8</v>
      </c>
      <c r="D33" s="92">
        <v>3.7398373999999998E-2</v>
      </c>
      <c r="E33" s="93">
        <v>250781325.114618</v>
      </c>
      <c r="F33" s="35"/>
      <c r="G33" s="47" t="s">
        <v>86</v>
      </c>
      <c r="H33" s="39">
        <f t="shared" si="6"/>
        <v>9085</v>
      </c>
      <c r="I33" s="77">
        <f t="shared" si="7"/>
        <v>0.1370463079</v>
      </c>
      <c r="J33" s="86">
        <f t="shared" si="12"/>
        <v>73474557.025203943</v>
      </c>
      <c r="K33" s="82" t="s">
        <v>126</v>
      </c>
      <c r="L33" s="39">
        <f t="shared" si="8"/>
        <v>63.8</v>
      </c>
      <c r="M33" s="77">
        <f t="shared" si="9"/>
        <v>3.7398373999999998E-2</v>
      </c>
      <c r="N33" s="86">
        <f t="shared" si="13"/>
        <v>250781325.114618</v>
      </c>
      <c r="O33" s="82" t="s">
        <v>51</v>
      </c>
      <c r="P33" s="39">
        <f t="shared" si="10"/>
        <v>679</v>
      </c>
      <c r="Q33" s="77">
        <f t="shared" si="11"/>
        <v>7.6069730599999996E-2</v>
      </c>
      <c r="R33" s="86">
        <f t="shared" si="14"/>
        <v>94414367.870606452</v>
      </c>
    </row>
    <row r="34" spans="1:18">
      <c r="A34" s="40" t="s">
        <v>101</v>
      </c>
      <c r="B34" s="11" t="s">
        <v>102</v>
      </c>
      <c r="C34" s="95">
        <v>89100</v>
      </c>
      <c r="D34" s="92">
        <v>3.6046511599999997E-2</v>
      </c>
      <c r="E34" s="93">
        <v>33260532.911876</v>
      </c>
      <c r="F34" s="35"/>
      <c r="G34" s="47" t="s">
        <v>98</v>
      </c>
      <c r="H34" s="39">
        <f t="shared" si="6"/>
        <v>7790</v>
      </c>
      <c r="I34" s="77">
        <f t="shared" si="7"/>
        <v>0.1273516643</v>
      </c>
      <c r="J34" s="86">
        <f t="shared" si="12"/>
        <v>14831053.36069325</v>
      </c>
      <c r="K34" s="82" t="s">
        <v>72</v>
      </c>
      <c r="L34" s="39">
        <f t="shared" si="8"/>
        <v>35.1</v>
      </c>
      <c r="M34" s="77">
        <f t="shared" si="9"/>
        <v>1.15273775E-2</v>
      </c>
      <c r="N34" s="86">
        <f t="shared" si="13"/>
        <v>98100673.969439045</v>
      </c>
      <c r="O34" s="82" t="s">
        <v>156</v>
      </c>
      <c r="P34" s="39">
        <f t="shared" si="10"/>
        <v>160</v>
      </c>
      <c r="Q34" s="77">
        <f t="shared" si="11"/>
        <v>6.6666666700000002E-2</v>
      </c>
      <c r="R34" s="86">
        <f t="shared" si="14"/>
        <v>820457429.91056979</v>
      </c>
    </row>
    <row r="35" spans="1:18">
      <c r="A35" s="40" t="s">
        <v>60</v>
      </c>
      <c r="B35" s="11" t="s">
        <v>61</v>
      </c>
      <c r="C35" s="95">
        <v>1650</v>
      </c>
      <c r="D35" s="92">
        <v>3.4482758600000003E-2</v>
      </c>
      <c r="E35" s="93">
        <v>28218291.13143773</v>
      </c>
      <c r="F35" s="35"/>
      <c r="G35" s="47" t="s">
        <v>90</v>
      </c>
      <c r="H35" s="44">
        <f t="shared" si="6"/>
        <v>456450</v>
      </c>
      <c r="I35" s="78">
        <f t="shared" si="7"/>
        <v>0.1093693037</v>
      </c>
      <c r="J35" s="90">
        <f t="shared" si="12"/>
        <v>146810.30682172999</v>
      </c>
      <c r="K35" s="83" t="s">
        <v>65</v>
      </c>
      <c r="L35" s="44">
        <f t="shared" si="8"/>
        <v>72.099999999999994</v>
      </c>
      <c r="M35" s="78">
        <f t="shared" si="9"/>
        <v>1.12201964E-2</v>
      </c>
      <c r="N35" s="90">
        <f t="shared" si="13"/>
        <v>126784402.20551597</v>
      </c>
      <c r="O35" s="83" t="s">
        <v>168</v>
      </c>
      <c r="P35" s="44">
        <f t="shared" si="10"/>
        <v>208</v>
      </c>
      <c r="Q35" s="78">
        <f t="shared" si="11"/>
        <v>5.0505050500000002E-2</v>
      </c>
      <c r="R35" s="90">
        <f t="shared" si="14"/>
        <v>202083509.32465702</v>
      </c>
    </row>
    <row r="36" spans="1:18">
      <c r="A36" s="40" t="s">
        <v>93</v>
      </c>
      <c r="B36" s="11" t="s">
        <v>94</v>
      </c>
      <c r="C36" s="95">
        <v>140550</v>
      </c>
      <c r="D36" s="92">
        <v>3.3455882399999998E-2</v>
      </c>
      <c r="E36" s="93">
        <v>2594338.12153788</v>
      </c>
      <c r="F36" s="35"/>
      <c r="G36" s="49" t="s">
        <v>108</v>
      </c>
      <c r="H36" s="39">
        <f t="shared" si="6"/>
        <v>60960</v>
      </c>
      <c r="I36" s="77">
        <f t="shared" si="7"/>
        <v>0.1033484163</v>
      </c>
      <c r="J36" s="99">
        <f t="shared" si="12"/>
        <v>2027480.25333357</v>
      </c>
      <c r="K36" s="82" t="s">
        <v>196</v>
      </c>
      <c r="L36" s="39">
        <f t="shared" si="8"/>
        <v>20.399999999999999</v>
      </c>
      <c r="M36" s="77">
        <f t="shared" si="9"/>
        <v>-1.44927536E-2</v>
      </c>
      <c r="N36" s="99">
        <f t="shared" si="13"/>
        <v>456522035.9273926</v>
      </c>
      <c r="O36" s="82" t="s">
        <v>132</v>
      </c>
      <c r="P36" s="39">
        <f t="shared" si="10"/>
        <v>246</v>
      </c>
      <c r="Q36" s="77">
        <f t="shared" si="11"/>
        <v>4.6808510599999999E-2</v>
      </c>
      <c r="R36" s="99">
        <f t="shared" si="14"/>
        <v>954413567.04047132</v>
      </c>
    </row>
    <row r="37" spans="1:18">
      <c r="A37" s="40" t="s">
        <v>68</v>
      </c>
      <c r="B37" s="11" t="s">
        <v>69</v>
      </c>
      <c r="C37" s="95">
        <v>13480</v>
      </c>
      <c r="D37" s="92">
        <v>2.9793735700000001E-2</v>
      </c>
      <c r="E37" s="93">
        <v>2623999.0234211399</v>
      </c>
      <c r="F37" s="35"/>
      <c r="G37" s="47" t="s">
        <v>92</v>
      </c>
      <c r="H37" s="39">
        <f t="shared" si="6"/>
        <v>1910</v>
      </c>
      <c r="I37" s="77">
        <f t="shared" si="7"/>
        <v>9.4555873900000004E-2</v>
      </c>
      <c r="J37" s="86">
        <f t="shared" si="12"/>
        <v>801785644.42336464</v>
      </c>
      <c r="K37" s="82" t="s">
        <v>268</v>
      </c>
      <c r="L37" s="39">
        <f t="shared" si="8"/>
        <v>97.9</v>
      </c>
      <c r="M37" s="77">
        <f t="shared" si="9"/>
        <v>-2.1000000000000001E-2</v>
      </c>
      <c r="N37" s="86">
        <f t="shared" si="13"/>
        <v>193222613.34294394</v>
      </c>
      <c r="O37" s="82" t="s">
        <v>136</v>
      </c>
      <c r="P37" s="39">
        <f t="shared" si="10"/>
        <v>253</v>
      </c>
      <c r="Q37" s="77">
        <f t="shared" si="11"/>
        <v>4.11522634E-2</v>
      </c>
      <c r="R37" s="86">
        <f t="shared" si="14"/>
        <v>41091568.767330043</v>
      </c>
    </row>
    <row r="38" spans="1:18">
      <c r="A38" s="40" t="s">
        <v>109</v>
      </c>
      <c r="B38" s="11" t="s">
        <v>110</v>
      </c>
      <c r="C38" s="95">
        <v>2790</v>
      </c>
      <c r="D38" s="92">
        <v>2.9520295200000001E-2</v>
      </c>
      <c r="E38" s="93">
        <v>1642132.4171315399</v>
      </c>
      <c r="F38" s="35"/>
      <c r="G38" s="47" t="s">
        <v>104</v>
      </c>
      <c r="H38" s="39">
        <f t="shared" si="6"/>
        <v>2410</v>
      </c>
      <c r="I38" s="77">
        <f t="shared" si="7"/>
        <v>8.55855856E-2</v>
      </c>
      <c r="J38" s="86">
        <f t="shared" si="12"/>
        <v>20712635.43127244</v>
      </c>
      <c r="K38" s="82" t="s">
        <v>228</v>
      </c>
      <c r="L38" s="39">
        <f t="shared" si="8"/>
        <v>18.3</v>
      </c>
      <c r="M38" s="77">
        <f t="shared" si="9"/>
        <v>-2.65957447E-2</v>
      </c>
      <c r="N38" s="86">
        <f t="shared" si="13"/>
        <v>1172907883.6609769</v>
      </c>
      <c r="O38" s="82" t="s">
        <v>278</v>
      </c>
      <c r="P38" s="39">
        <f t="shared" si="10"/>
        <v>156</v>
      </c>
      <c r="Q38" s="77">
        <f t="shared" si="11"/>
        <v>0.04</v>
      </c>
      <c r="R38" s="86">
        <f t="shared" si="14"/>
        <v>80896438.284581363</v>
      </c>
    </row>
    <row r="39" spans="1:18">
      <c r="A39" s="40" t="s">
        <v>149</v>
      </c>
      <c r="B39" s="11" t="s">
        <v>150</v>
      </c>
      <c r="C39" s="95">
        <v>6105</v>
      </c>
      <c r="D39" s="92">
        <v>2.9510961200000001E-2</v>
      </c>
      <c r="E39" s="93">
        <v>9162502.8752822001</v>
      </c>
      <c r="F39" s="35"/>
      <c r="G39" s="47" t="s">
        <v>138</v>
      </c>
      <c r="H39" s="39">
        <f t="shared" si="6"/>
        <v>47280</v>
      </c>
      <c r="I39" s="77">
        <f t="shared" si="7"/>
        <v>8.4403669700000003E-2</v>
      </c>
      <c r="J39" s="86">
        <f t="shared" si="12"/>
        <v>1616356.0333565599</v>
      </c>
      <c r="K39" s="82" t="s">
        <v>172</v>
      </c>
      <c r="L39" s="39">
        <f t="shared" si="8"/>
        <v>25.3</v>
      </c>
      <c r="M39" s="77">
        <f t="shared" si="9"/>
        <v>-2.6923076899999999E-2</v>
      </c>
      <c r="N39" s="86">
        <f t="shared" si="13"/>
        <v>329619953.87800837</v>
      </c>
      <c r="O39" s="82" t="s">
        <v>57</v>
      </c>
      <c r="P39" s="39">
        <f t="shared" si="10"/>
        <v>401</v>
      </c>
      <c r="Q39" s="77">
        <f t="shared" si="11"/>
        <v>2.8205128199999999E-2</v>
      </c>
      <c r="R39" s="86">
        <f t="shared" si="14"/>
        <v>90016975.861390784</v>
      </c>
    </row>
    <row r="40" spans="1:18" ht="17.25" thickBot="1">
      <c r="A40" s="40" t="s">
        <v>56</v>
      </c>
      <c r="B40" s="11" t="s">
        <v>57</v>
      </c>
      <c r="C40" s="95">
        <v>401</v>
      </c>
      <c r="D40" s="92">
        <v>2.8205128199999999E-2</v>
      </c>
      <c r="E40" s="93">
        <v>90016975.861390784</v>
      </c>
      <c r="F40" s="35"/>
      <c r="G40" s="53" t="s">
        <v>142</v>
      </c>
      <c r="H40" s="37">
        <f t="shared" si="6"/>
        <v>447</v>
      </c>
      <c r="I40" s="79">
        <f t="shared" si="7"/>
        <v>8.2324455199999994E-2</v>
      </c>
      <c r="J40" s="87">
        <f t="shared" si="12"/>
        <v>333937950.0207364</v>
      </c>
      <c r="K40" s="84" t="s">
        <v>220</v>
      </c>
      <c r="L40" s="37">
        <f t="shared" si="8"/>
        <v>21.6</v>
      </c>
      <c r="M40" s="79">
        <f t="shared" si="9"/>
        <v>-2.7027026999999999E-2</v>
      </c>
      <c r="N40" s="87">
        <f t="shared" si="13"/>
        <v>881817346.93783426</v>
      </c>
      <c r="O40" s="84" t="s">
        <v>88</v>
      </c>
      <c r="P40" s="37">
        <f t="shared" si="10"/>
        <v>630</v>
      </c>
      <c r="Q40" s="79">
        <f t="shared" si="11"/>
        <v>2.7732463299999999E-2</v>
      </c>
      <c r="R40" s="87">
        <f t="shared" si="14"/>
        <v>111764827.53557502</v>
      </c>
    </row>
    <row r="41" spans="1:18">
      <c r="A41" s="40" t="s">
        <v>113</v>
      </c>
      <c r="B41" s="11" t="s">
        <v>114</v>
      </c>
      <c r="C41" s="95">
        <v>13200</v>
      </c>
      <c r="D41" s="92">
        <v>2.8037383200000002E-2</v>
      </c>
      <c r="E41" s="93">
        <v>4059367.2345598098</v>
      </c>
      <c r="F41" s="35"/>
      <c r="G41" s="52" t="s">
        <v>51</v>
      </c>
      <c r="H41" s="38">
        <f t="shared" si="6"/>
        <v>679</v>
      </c>
      <c r="I41" s="76">
        <f t="shared" si="7"/>
        <v>7.6069730599999996E-2</v>
      </c>
      <c r="J41" s="85">
        <f t="shared" si="12"/>
        <v>94414367.870606452</v>
      </c>
      <c r="K41" s="81" t="s">
        <v>154</v>
      </c>
      <c r="L41" s="38">
        <f t="shared" si="8"/>
        <v>21.1</v>
      </c>
      <c r="M41" s="76">
        <f t="shared" si="9"/>
        <v>-2.7649769599999999E-2</v>
      </c>
      <c r="N41" s="85">
        <f t="shared" si="13"/>
        <v>977231794.63484716</v>
      </c>
      <c r="O41" s="81" t="s">
        <v>54</v>
      </c>
      <c r="P41" s="38">
        <f t="shared" si="10"/>
        <v>363</v>
      </c>
      <c r="Q41" s="76">
        <f t="shared" si="11"/>
        <v>2.54237288E-2</v>
      </c>
      <c r="R41" s="85">
        <f t="shared" si="14"/>
        <v>29563685.345697869</v>
      </c>
    </row>
    <row r="42" spans="1:18">
      <c r="A42" s="40" t="s">
        <v>87</v>
      </c>
      <c r="B42" s="11" t="s">
        <v>88</v>
      </c>
      <c r="C42" s="95">
        <v>630</v>
      </c>
      <c r="D42" s="92">
        <v>2.7732463299999999E-2</v>
      </c>
      <c r="E42" s="93">
        <v>111764827.53557502</v>
      </c>
      <c r="F42" s="35"/>
      <c r="G42" s="47" t="s">
        <v>74</v>
      </c>
      <c r="H42" s="39">
        <f t="shared" si="6"/>
        <v>28330</v>
      </c>
      <c r="I42" s="77">
        <f t="shared" si="7"/>
        <v>7.3919636100000005E-2</v>
      </c>
      <c r="J42" s="86">
        <f t="shared" si="12"/>
        <v>915712.57551777002</v>
      </c>
      <c r="K42" s="82" t="s">
        <v>186</v>
      </c>
      <c r="L42" s="39">
        <f t="shared" si="8"/>
        <v>25.2</v>
      </c>
      <c r="M42" s="77">
        <f t="shared" si="9"/>
        <v>-3.0769230799999998E-2</v>
      </c>
      <c r="N42" s="86">
        <f t="shared" si="13"/>
        <v>468033285.2930578</v>
      </c>
      <c r="O42" s="82" t="s">
        <v>120</v>
      </c>
      <c r="P42" s="39">
        <f t="shared" si="10"/>
        <v>212</v>
      </c>
      <c r="Q42" s="77">
        <f t="shared" si="11"/>
        <v>2.4154589399999999E-2</v>
      </c>
      <c r="R42" s="86">
        <f t="shared" si="14"/>
        <v>99920654.550936162</v>
      </c>
    </row>
    <row r="43" spans="1:18">
      <c r="A43" s="40" t="s">
        <v>145</v>
      </c>
      <c r="B43" s="11" t="s">
        <v>146</v>
      </c>
      <c r="C43" s="95">
        <v>18590</v>
      </c>
      <c r="D43" s="92">
        <v>2.5938189800000001E-2</v>
      </c>
      <c r="E43" s="93">
        <v>2094632.5517172101</v>
      </c>
      <c r="F43" s="35"/>
      <c r="G43" s="47" t="s">
        <v>130</v>
      </c>
      <c r="H43" s="39">
        <f t="shared" si="6"/>
        <v>412800</v>
      </c>
      <c r="I43" s="77">
        <f t="shared" si="7"/>
        <v>7.3881373599999994E-2</v>
      </c>
      <c r="J43" s="86">
        <f t="shared" si="12"/>
        <v>503706.61746472999</v>
      </c>
      <c r="K43" s="82" t="s">
        <v>198</v>
      </c>
      <c r="L43" s="39">
        <f t="shared" si="8"/>
        <v>28.2</v>
      </c>
      <c r="M43" s="77">
        <f t="shared" si="9"/>
        <v>-3.0927835099999999E-2</v>
      </c>
      <c r="N43" s="86">
        <f t="shared" si="13"/>
        <v>844665255.39558899</v>
      </c>
      <c r="O43" s="82" t="s">
        <v>128</v>
      </c>
      <c r="P43" s="39">
        <f t="shared" si="10"/>
        <v>681</v>
      </c>
      <c r="Q43" s="77">
        <f t="shared" si="11"/>
        <v>2.0989505200000001E-2</v>
      </c>
      <c r="R43" s="86">
        <f t="shared" si="14"/>
        <v>13553031.815857731</v>
      </c>
    </row>
    <row r="44" spans="1:18">
      <c r="A44" s="40" t="s">
        <v>53</v>
      </c>
      <c r="B44" s="11" t="s">
        <v>54</v>
      </c>
      <c r="C44" s="95">
        <v>363</v>
      </c>
      <c r="D44" s="92">
        <v>2.54237288E-2</v>
      </c>
      <c r="E44" s="93">
        <v>29563685.345697869</v>
      </c>
      <c r="F44" s="35"/>
      <c r="G44" s="47" t="s">
        <v>63</v>
      </c>
      <c r="H44" s="39">
        <f t="shared" si="6"/>
        <v>130100</v>
      </c>
      <c r="I44" s="77">
        <f t="shared" si="7"/>
        <v>7.2989690699999998E-2</v>
      </c>
      <c r="J44" s="86">
        <f t="shared" si="12"/>
        <v>1710749.6996764001</v>
      </c>
      <c r="K44" s="82" t="s">
        <v>222</v>
      </c>
      <c r="L44" s="39">
        <f t="shared" si="8"/>
        <v>18.2</v>
      </c>
      <c r="M44" s="77">
        <f t="shared" si="9"/>
        <v>-3.1914893600000001E-2</v>
      </c>
      <c r="N44" s="86">
        <f t="shared" si="13"/>
        <v>345109183.51581961</v>
      </c>
      <c r="O44" s="82" t="s">
        <v>148</v>
      </c>
      <c r="P44" s="39">
        <f t="shared" si="10"/>
        <v>196</v>
      </c>
      <c r="Q44" s="77">
        <f t="shared" si="11"/>
        <v>1.03092784E-2</v>
      </c>
      <c r="R44" s="86">
        <f t="shared" si="14"/>
        <v>81020957.756107375</v>
      </c>
    </row>
    <row r="45" spans="1:18">
      <c r="A45" s="40" t="s">
        <v>139</v>
      </c>
      <c r="B45" s="11" t="s">
        <v>140</v>
      </c>
      <c r="C45" s="95">
        <v>3835</v>
      </c>
      <c r="D45" s="92">
        <v>2.5401069500000002E-2</v>
      </c>
      <c r="E45" s="93">
        <v>1672676.79176047</v>
      </c>
      <c r="F45" s="35"/>
      <c r="G45" s="47" t="s">
        <v>144</v>
      </c>
      <c r="H45" s="44">
        <f t="shared" si="6"/>
        <v>11710</v>
      </c>
      <c r="I45" s="78">
        <f t="shared" si="7"/>
        <v>7.23443223E-2</v>
      </c>
      <c r="J45" s="90">
        <f t="shared" si="12"/>
        <v>10232075.953636371</v>
      </c>
      <c r="K45" s="83" t="s">
        <v>218</v>
      </c>
      <c r="L45" s="44">
        <f t="shared" si="8"/>
        <v>28.4</v>
      </c>
      <c r="M45" s="78">
        <f t="shared" si="9"/>
        <v>-3.4013605400000001E-2</v>
      </c>
      <c r="N45" s="90">
        <f t="shared" si="13"/>
        <v>479254995.97838718</v>
      </c>
      <c r="O45" s="83" t="s">
        <v>266</v>
      </c>
      <c r="P45" s="44">
        <f t="shared" si="10"/>
        <v>102</v>
      </c>
      <c r="Q45" s="78">
        <f t="shared" si="11"/>
        <v>9.9009900999999997E-3</v>
      </c>
      <c r="R45" s="90">
        <f t="shared" si="14"/>
        <v>530754049.02658969</v>
      </c>
    </row>
    <row r="46" spans="1:18">
      <c r="A46" s="40" t="s">
        <v>119</v>
      </c>
      <c r="B46" s="11" t="s">
        <v>120</v>
      </c>
      <c r="C46" s="95">
        <v>212</v>
      </c>
      <c r="D46" s="92">
        <v>2.4154589399999999E-2</v>
      </c>
      <c r="E46" s="93">
        <v>99920654.550936162</v>
      </c>
      <c r="F46" s="35"/>
      <c r="G46" s="49" t="s">
        <v>160</v>
      </c>
      <c r="H46" s="39">
        <f t="shared" si="6"/>
        <v>3140</v>
      </c>
      <c r="I46" s="77">
        <f t="shared" si="7"/>
        <v>7.1672354899999999E-2</v>
      </c>
      <c r="J46" s="99">
        <f t="shared" si="12"/>
        <v>3382740.8227436198</v>
      </c>
      <c r="K46" s="82" t="s">
        <v>236</v>
      </c>
      <c r="L46" s="39">
        <f t="shared" si="8"/>
        <v>68</v>
      </c>
      <c r="M46" s="77">
        <f t="shared" si="9"/>
        <v>-3.68271955E-2</v>
      </c>
      <c r="N46" s="99">
        <f t="shared" si="13"/>
        <v>131101101.0055737</v>
      </c>
      <c r="O46" s="82" t="s">
        <v>270</v>
      </c>
      <c r="P46" s="39">
        <f t="shared" si="10"/>
        <v>570</v>
      </c>
      <c r="Q46" s="77">
        <f t="shared" si="11"/>
        <v>8.8495575000000007E-3</v>
      </c>
      <c r="R46" s="99">
        <f t="shared" si="14"/>
        <v>8736694.5996166002</v>
      </c>
    </row>
    <row r="47" spans="1:18">
      <c r="A47" s="40" t="s">
        <v>191</v>
      </c>
      <c r="B47" s="11" t="s">
        <v>192</v>
      </c>
      <c r="C47" s="95">
        <v>1115</v>
      </c>
      <c r="D47" s="92">
        <v>2.29357798E-2</v>
      </c>
      <c r="E47" s="93">
        <v>7633421.6718555903</v>
      </c>
      <c r="F47" s="35"/>
      <c r="G47" s="47" t="s">
        <v>188</v>
      </c>
      <c r="H47" s="39">
        <f t="shared" si="6"/>
        <v>18560</v>
      </c>
      <c r="I47" s="77">
        <f t="shared" si="7"/>
        <v>6.7280045999999996E-2</v>
      </c>
      <c r="J47" s="86">
        <f t="shared" si="12"/>
        <v>8034177.5309121404</v>
      </c>
      <c r="K47" s="82" t="s">
        <v>214</v>
      </c>
      <c r="L47" s="39">
        <f t="shared" si="8"/>
        <v>21.9</v>
      </c>
      <c r="M47" s="77">
        <f t="shared" si="9"/>
        <v>-3.9473684199999998E-2</v>
      </c>
      <c r="N47" s="86">
        <f t="shared" si="13"/>
        <v>519071540.804075</v>
      </c>
      <c r="O47" s="82" t="s">
        <v>182</v>
      </c>
      <c r="P47" s="39">
        <f t="shared" si="10"/>
        <v>461</v>
      </c>
      <c r="Q47" s="77">
        <f t="shared" si="11"/>
        <v>8.7527352000000003E-3</v>
      </c>
      <c r="R47" s="86">
        <f t="shared" si="14"/>
        <v>7552645.6200632602</v>
      </c>
    </row>
    <row r="48" spans="1:18">
      <c r="A48" s="40" t="s">
        <v>127</v>
      </c>
      <c r="B48" s="11" t="s">
        <v>128</v>
      </c>
      <c r="C48" s="95">
        <v>681</v>
      </c>
      <c r="D48" s="92">
        <v>2.0989505200000001E-2</v>
      </c>
      <c r="E48" s="93">
        <v>13553031.815857731</v>
      </c>
      <c r="F48" s="35"/>
      <c r="G48" s="47" t="s">
        <v>156</v>
      </c>
      <c r="H48" s="39">
        <f t="shared" si="6"/>
        <v>160</v>
      </c>
      <c r="I48" s="77">
        <f t="shared" si="7"/>
        <v>6.6666666700000002E-2</v>
      </c>
      <c r="J48" s="86">
        <f t="shared" si="12"/>
        <v>820457429.91056979</v>
      </c>
      <c r="K48" s="82" t="s">
        <v>254</v>
      </c>
      <c r="L48" s="39">
        <f t="shared" si="8"/>
        <v>86.5</v>
      </c>
      <c r="M48" s="77">
        <f t="shared" si="9"/>
        <v>-4.7356828199999999E-2</v>
      </c>
      <c r="N48" s="86">
        <f t="shared" si="13"/>
        <v>125808288.29301614</v>
      </c>
      <c r="O48" s="82" t="s">
        <v>116</v>
      </c>
      <c r="P48" s="39">
        <f t="shared" si="10"/>
        <v>727</v>
      </c>
      <c r="Q48" s="77">
        <f t="shared" si="11"/>
        <v>8.3217753000000005E-3</v>
      </c>
      <c r="R48" s="86">
        <f t="shared" si="14"/>
        <v>36006704.37329182</v>
      </c>
    </row>
    <row r="49" spans="1:18">
      <c r="A49" s="40" t="s">
        <v>75</v>
      </c>
      <c r="B49" s="11" t="s">
        <v>76</v>
      </c>
      <c r="C49" s="95">
        <v>58390</v>
      </c>
      <c r="D49" s="92">
        <v>2.0804195800000001E-2</v>
      </c>
      <c r="E49" s="93">
        <v>6176247.4284650404</v>
      </c>
      <c r="F49" s="35"/>
      <c r="G49" s="47" t="s">
        <v>152</v>
      </c>
      <c r="H49" s="39">
        <f t="shared" si="6"/>
        <v>48.1</v>
      </c>
      <c r="I49" s="77">
        <f t="shared" si="7"/>
        <v>6.6518847000000006E-2</v>
      </c>
      <c r="J49" s="86">
        <f t="shared" si="12"/>
        <v>1071901612.4734033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256</v>
      </c>
      <c r="P49" s="39">
        <f t="shared" si="10"/>
        <v>262</v>
      </c>
      <c r="Q49" s="77">
        <f t="shared" si="11"/>
        <v>0</v>
      </c>
      <c r="R49" s="86">
        <f t="shared" si="14"/>
        <v>14708006.73010176</v>
      </c>
    </row>
    <row r="50" spans="1:18" ht="17.25" thickBot="1">
      <c r="A50" s="40" t="s">
        <v>71</v>
      </c>
      <c r="B50" s="11" t="s">
        <v>72</v>
      </c>
      <c r="C50" s="95">
        <v>35.1</v>
      </c>
      <c r="D50" s="92">
        <v>1.15273775E-2</v>
      </c>
      <c r="E50" s="93">
        <v>98100673.969439045</v>
      </c>
      <c r="F50" s="35"/>
      <c r="G50" s="53" t="s">
        <v>118</v>
      </c>
      <c r="H50" s="37">
        <f t="shared" si="6"/>
        <v>7520</v>
      </c>
      <c r="I50" s="79">
        <f t="shared" si="7"/>
        <v>5.9154929600000003E-2</v>
      </c>
      <c r="J50" s="87">
        <f t="shared" si="12"/>
        <v>1439062.0466517101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134</v>
      </c>
      <c r="P50" s="37">
        <f t="shared" si="10"/>
        <v>147</v>
      </c>
      <c r="Q50" s="79">
        <f t="shared" si="11"/>
        <v>0</v>
      </c>
      <c r="R50" s="87">
        <f t="shared" si="14"/>
        <v>71441569.16319637</v>
      </c>
    </row>
    <row r="51" spans="1:18">
      <c r="A51" s="40" t="s">
        <v>64</v>
      </c>
      <c r="B51" s="11" t="s">
        <v>65</v>
      </c>
      <c r="C51" s="95">
        <v>72.099999999999994</v>
      </c>
      <c r="D51" s="92">
        <v>1.12201964E-2</v>
      </c>
      <c r="E51" s="93">
        <v>126784402.20551597</v>
      </c>
      <c r="F51" s="35"/>
    </row>
    <row r="52" spans="1:18" ht="17.25" thickBot="1">
      <c r="A52" s="40" t="s">
        <v>48</v>
      </c>
      <c r="B52" s="11" t="s">
        <v>49</v>
      </c>
      <c r="C52" s="95">
        <v>67547000</v>
      </c>
      <c r="D52" s="92">
        <v>1.0743838800000001E-2</v>
      </c>
      <c r="E52" s="93">
        <v>6101.32978697</v>
      </c>
      <c r="F52" s="35"/>
    </row>
    <row r="53" spans="1:18" ht="17.25" thickBot="1">
      <c r="A53" s="40" t="s">
        <v>147</v>
      </c>
      <c r="B53" s="11" t="s">
        <v>148</v>
      </c>
      <c r="C53" s="95">
        <v>196</v>
      </c>
      <c r="D53" s="92">
        <v>1.03092784E-2</v>
      </c>
      <c r="E53" s="93">
        <v>81020957.756107375</v>
      </c>
      <c r="F53" s="35"/>
      <c r="G53" s="185" t="s">
        <v>285</v>
      </c>
      <c r="H53" s="186"/>
      <c r="I53" s="186"/>
      <c r="J53" s="187"/>
      <c r="K53" s="185" t="s">
        <v>288</v>
      </c>
      <c r="L53" s="186"/>
      <c r="M53" s="186"/>
      <c r="N53" s="187"/>
      <c r="O53" s="185" t="s">
        <v>289</v>
      </c>
      <c r="P53" s="186"/>
      <c r="Q53" s="186"/>
      <c r="R53" s="187"/>
    </row>
    <row r="54" spans="1:18" ht="17.25" thickBot="1">
      <c r="A54" s="40" t="s">
        <v>265</v>
      </c>
      <c r="B54" s="11" t="s">
        <v>266</v>
      </c>
      <c r="C54" s="95">
        <v>102</v>
      </c>
      <c r="D54" s="92">
        <v>9.9009900999999997E-3</v>
      </c>
      <c r="E54" s="93">
        <v>530754049.02658969</v>
      </c>
      <c r="F54" s="35"/>
      <c r="G54" s="222" t="s">
        <v>55</v>
      </c>
      <c r="H54" s="238">
        <f ca="1">NOW()</f>
        <v>44321.914210995368</v>
      </c>
      <c r="I54" s="239"/>
      <c r="J54" s="240"/>
      <c r="K54" s="237" t="s">
        <v>55</v>
      </c>
      <c r="L54" s="238">
        <f ca="1">NOW()</f>
        <v>44321.914210995368</v>
      </c>
      <c r="M54" s="239"/>
      <c r="N54" s="240"/>
      <c r="O54" s="237" t="s">
        <v>55</v>
      </c>
      <c r="P54" s="238">
        <f ca="1">NOW()</f>
        <v>44321.914210995368</v>
      </c>
      <c r="Q54" s="239"/>
      <c r="R54" s="240"/>
    </row>
    <row r="55" spans="1:18" ht="17.25" thickBot="1">
      <c r="A55" s="40" t="s">
        <v>261</v>
      </c>
      <c r="B55" s="11" t="s">
        <v>262</v>
      </c>
      <c r="C55" s="95">
        <v>1040</v>
      </c>
      <c r="D55" s="92">
        <v>9.7087379000000001E-3</v>
      </c>
      <c r="E55" s="93">
        <v>13222301.845063141</v>
      </c>
      <c r="F55" s="35"/>
      <c r="G55" s="230"/>
      <c r="H55" s="51" t="s">
        <v>58</v>
      </c>
      <c r="I55" s="73" t="s">
        <v>59</v>
      </c>
      <c r="J55" s="69" t="s">
        <v>294</v>
      </c>
      <c r="K55" s="208"/>
      <c r="L55" s="51" t="s">
        <v>58</v>
      </c>
      <c r="M55" s="73" t="s">
        <v>59</v>
      </c>
      <c r="N55" s="69" t="s">
        <v>294</v>
      </c>
      <c r="O55" s="208"/>
      <c r="P55" s="51" t="s">
        <v>58</v>
      </c>
      <c r="Q55" s="73" t="s">
        <v>59</v>
      </c>
      <c r="R55" s="69" t="s">
        <v>294</v>
      </c>
    </row>
    <row r="56" spans="1:18">
      <c r="A56" s="40" t="s">
        <v>269</v>
      </c>
      <c r="B56" s="11" t="s">
        <v>270</v>
      </c>
      <c r="C56" s="95">
        <v>570</v>
      </c>
      <c r="D56" s="92">
        <v>8.8495575000000007E-3</v>
      </c>
      <c r="E56" s="93">
        <v>8736694.5996166002</v>
      </c>
      <c r="F56" s="35"/>
      <c r="G56" s="55" t="s">
        <v>236</v>
      </c>
      <c r="H56" s="38">
        <f t="shared" ref="H56:H75" si="15">_xlfn.IFNA(VLOOKUP(G56, $B$2:$D$200, 2, FALSE), "")</f>
        <v>68</v>
      </c>
      <c r="I56" s="76">
        <f t="shared" ref="I56:I65" si="16">_xlfn.IFNA(VLOOKUP(G56, $B$2:$D$200, 3, FALSE), "")</f>
        <v>-3.68271955E-2</v>
      </c>
      <c r="J56" s="85">
        <f>_xlfn.IFNA(VLOOKUP(G56, $B$2:$E$200, 4, FALSE), "")</f>
        <v>131101101.0055737</v>
      </c>
      <c r="K56" s="81" t="s">
        <v>152</v>
      </c>
      <c r="L56" s="38">
        <f t="shared" ref="L56:L75" si="17">_xlfn.IFNA(VLOOKUP(K56, $B$2:$D$200, 2, FALSE), "")</f>
        <v>48.1</v>
      </c>
      <c r="M56" s="76">
        <f t="shared" ref="M56:M75" si="18">_xlfn.IFNA(VLOOKUP(K56, $B$2:$D$200, 3, FALSE), "")</f>
        <v>6.6518847000000006E-2</v>
      </c>
      <c r="N56" s="85">
        <f>_xlfn.IFNA(VLOOKUP(K56, $B$2:$E$200, 4, FALSE), "")</f>
        <v>1071901612.4734033</v>
      </c>
      <c r="O56" s="81" t="s">
        <v>170</v>
      </c>
      <c r="P56" s="38">
        <f t="shared" ref="P56:P75" si="19">_xlfn.IFNA(VLOOKUP(O56, $B$2:$D$200, 2, FALSE), "")</f>
        <v>500</v>
      </c>
      <c r="Q56" s="76">
        <f t="shared" ref="Q56:Q75" si="20">_xlfn.IFNA(VLOOKUP(O56, $B$2:$D$200, 3, FALSE), "")</f>
        <v>-2.34375E-2</v>
      </c>
      <c r="R56" s="85">
        <f>_xlfn.IFNA(VLOOKUP(O56, $B$2:$E$200, 4, FALSE), "")</f>
        <v>6917029.6036598701</v>
      </c>
    </row>
    <row r="57" spans="1:18">
      <c r="A57" s="40" t="s">
        <v>181</v>
      </c>
      <c r="B57" s="11" t="s">
        <v>182</v>
      </c>
      <c r="C57" s="95">
        <v>461</v>
      </c>
      <c r="D57" s="92">
        <v>8.7527352000000003E-3</v>
      </c>
      <c r="E57" s="93">
        <v>7552645.6200632602</v>
      </c>
      <c r="F57" s="35"/>
      <c r="G57" s="56" t="s">
        <v>206</v>
      </c>
      <c r="H57" s="39">
        <f t="shared" si="15"/>
        <v>39190</v>
      </c>
      <c r="I57" s="77">
        <f t="shared" si="16"/>
        <v>-3.6864094399999998E-2</v>
      </c>
      <c r="J57" s="86">
        <f t="shared" ref="J57:J75" si="21">_xlfn.IFNA(VLOOKUP(G57, $B$2:$E$200, 4, FALSE), "")</f>
        <v>1255253.8800957699</v>
      </c>
      <c r="K57" s="82" t="s">
        <v>100</v>
      </c>
      <c r="L57" s="39">
        <f t="shared" si="17"/>
        <v>8.4600000000000009</v>
      </c>
      <c r="M57" s="77">
        <f t="shared" si="18"/>
        <v>5.6179775299999998E-2</v>
      </c>
      <c r="N57" s="86">
        <f t="shared" ref="N57:N75" si="22">_xlfn.IFNA(VLOOKUP(K57, $B$2:$E$200, 4, FALSE), "")</f>
        <v>129544497788.26314</v>
      </c>
      <c r="O57" s="82" t="s">
        <v>226</v>
      </c>
      <c r="P57" s="39">
        <f t="shared" si="19"/>
        <v>500</v>
      </c>
      <c r="Q57" s="77">
        <f t="shared" si="20"/>
        <v>-2.34375E-2</v>
      </c>
      <c r="R57" s="86">
        <f t="shared" ref="R57:R75" si="23">_xlfn.IFNA(VLOOKUP(O57, $B$2:$E$200, 4, FALSE), "")</f>
        <v>10261350.591761939</v>
      </c>
    </row>
    <row r="58" spans="1:18">
      <c r="A58" s="40" t="s">
        <v>115</v>
      </c>
      <c r="B58" s="11" t="s">
        <v>116</v>
      </c>
      <c r="C58" s="95">
        <v>727</v>
      </c>
      <c r="D58" s="92">
        <v>8.3217753000000005E-3</v>
      </c>
      <c r="E58" s="93">
        <v>36006704.37329182</v>
      </c>
      <c r="F58" s="35"/>
      <c r="G58" s="56" t="s">
        <v>124</v>
      </c>
      <c r="H58" s="39">
        <f t="shared" si="15"/>
        <v>6865</v>
      </c>
      <c r="I58" s="77">
        <f t="shared" si="16"/>
        <v>-3.7166900400000001E-2</v>
      </c>
      <c r="J58" s="86">
        <f t="shared" si="21"/>
        <v>1056400.6853910801</v>
      </c>
      <c r="K58" s="82" t="s">
        <v>126</v>
      </c>
      <c r="L58" s="39">
        <f t="shared" si="17"/>
        <v>63.8</v>
      </c>
      <c r="M58" s="77">
        <f t="shared" si="18"/>
        <v>3.7398373999999998E-2</v>
      </c>
      <c r="N58" s="86">
        <f t="shared" si="22"/>
        <v>250781325.114618</v>
      </c>
      <c r="O58" s="82" t="s">
        <v>112</v>
      </c>
      <c r="P58" s="39">
        <f t="shared" si="19"/>
        <v>252</v>
      </c>
      <c r="Q58" s="77">
        <f t="shared" si="20"/>
        <v>-2.7027026999999999E-2</v>
      </c>
      <c r="R58" s="86">
        <f t="shared" si="23"/>
        <v>53527528.864518993</v>
      </c>
    </row>
    <row r="59" spans="1:18">
      <c r="A59" s="40" t="s">
        <v>273</v>
      </c>
      <c r="B59" s="11" t="s">
        <v>274</v>
      </c>
      <c r="C59" s="95">
        <v>8740</v>
      </c>
      <c r="D59" s="92">
        <v>4.5977010999999996E-3</v>
      </c>
      <c r="E59" s="93">
        <v>514136.34871798003</v>
      </c>
      <c r="F59" s="35"/>
      <c r="G59" s="56" t="s">
        <v>234</v>
      </c>
      <c r="H59" s="39">
        <f t="shared" si="15"/>
        <v>1370</v>
      </c>
      <c r="I59" s="77">
        <f t="shared" si="16"/>
        <v>-3.8596491199999999E-2</v>
      </c>
      <c r="J59" s="86">
        <f t="shared" si="21"/>
        <v>4013478.9410298001</v>
      </c>
      <c r="K59" s="82" t="s">
        <v>72</v>
      </c>
      <c r="L59" s="39">
        <f t="shared" si="17"/>
        <v>35.1</v>
      </c>
      <c r="M59" s="77">
        <f t="shared" si="18"/>
        <v>1.15273775E-2</v>
      </c>
      <c r="N59" s="86">
        <f t="shared" si="22"/>
        <v>98100673.969439045</v>
      </c>
      <c r="O59" s="82" t="s">
        <v>250</v>
      </c>
      <c r="P59" s="39">
        <f t="shared" si="19"/>
        <v>212</v>
      </c>
      <c r="Q59" s="77">
        <f t="shared" si="20"/>
        <v>-2.7522935799999999E-2</v>
      </c>
      <c r="R59" s="86">
        <f t="shared" si="23"/>
        <v>17975086.352689389</v>
      </c>
    </row>
    <row r="60" spans="1:18">
      <c r="A60" s="40" t="s">
        <v>95</v>
      </c>
      <c r="B60" s="11" t="s">
        <v>96</v>
      </c>
      <c r="C60" s="95">
        <v>4095000</v>
      </c>
      <c r="D60" s="92">
        <v>3.4305316999999999E-3</v>
      </c>
      <c r="E60" s="93">
        <v>150469.46036796001</v>
      </c>
      <c r="F60" s="35"/>
      <c r="G60" s="56" t="s">
        <v>230</v>
      </c>
      <c r="H60" s="39">
        <f t="shared" si="15"/>
        <v>174</v>
      </c>
      <c r="I60" s="77">
        <f t="shared" si="16"/>
        <v>-3.8674033099999998E-2</v>
      </c>
      <c r="J60" s="90">
        <f t="shared" si="21"/>
        <v>37446982.78779427</v>
      </c>
      <c r="K60" s="83" t="s">
        <v>65</v>
      </c>
      <c r="L60" s="44">
        <f t="shared" si="17"/>
        <v>72.099999999999994</v>
      </c>
      <c r="M60" s="78">
        <f t="shared" si="18"/>
        <v>1.12201964E-2</v>
      </c>
      <c r="N60" s="90">
        <f t="shared" si="22"/>
        <v>126784402.20551597</v>
      </c>
      <c r="O60" s="83" t="s">
        <v>174</v>
      </c>
      <c r="P60" s="44">
        <f t="shared" si="19"/>
        <v>272</v>
      </c>
      <c r="Q60" s="78">
        <f t="shared" si="20"/>
        <v>-2.85714286E-2</v>
      </c>
      <c r="R60" s="90">
        <f t="shared" si="23"/>
        <v>42046202.738422252</v>
      </c>
    </row>
    <row r="61" spans="1:18">
      <c r="A61" s="40" t="s">
        <v>241</v>
      </c>
      <c r="B61" s="11" t="s">
        <v>242</v>
      </c>
      <c r="C61" s="95">
        <v>6715</v>
      </c>
      <c r="D61" s="92">
        <v>2.9873040000000001E-3</v>
      </c>
      <c r="E61" s="93">
        <v>2249802.3838810502</v>
      </c>
      <c r="F61" s="35"/>
      <c r="G61" s="60" t="s">
        <v>246</v>
      </c>
      <c r="H61" s="45">
        <f t="shared" si="15"/>
        <v>392</v>
      </c>
      <c r="I61" s="80">
        <f t="shared" si="16"/>
        <v>-3.9215686299999997E-2</v>
      </c>
      <c r="J61" s="99">
        <f t="shared" si="21"/>
        <v>17746061.286648698</v>
      </c>
      <c r="K61" s="82" t="s">
        <v>196</v>
      </c>
      <c r="L61" s="39">
        <f t="shared" si="17"/>
        <v>20.399999999999999</v>
      </c>
      <c r="M61" s="77">
        <f t="shared" si="18"/>
        <v>-1.44927536E-2</v>
      </c>
      <c r="N61" s="99">
        <f t="shared" si="22"/>
        <v>456522035.9273926</v>
      </c>
      <c r="O61" s="82" t="s">
        <v>200</v>
      </c>
      <c r="P61" s="39">
        <f t="shared" si="19"/>
        <v>368</v>
      </c>
      <c r="Q61" s="77">
        <f t="shared" si="20"/>
        <v>-2.9023746699999999E-2</v>
      </c>
      <c r="R61" s="99">
        <f t="shared" si="23"/>
        <v>16031589.07605402</v>
      </c>
    </row>
    <row r="62" spans="1:18">
      <c r="A62" s="40" t="s">
        <v>255</v>
      </c>
      <c r="B62" s="11" t="s">
        <v>256</v>
      </c>
      <c r="C62" s="95">
        <v>262</v>
      </c>
      <c r="D62" s="92">
        <v>0</v>
      </c>
      <c r="E62" s="93">
        <v>14708006.73010176</v>
      </c>
      <c r="F62" s="35"/>
      <c r="G62" s="56" t="s">
        <v>214</v>
      </c>
      <c r="H62" s="39">
        <f t="shared" si="15"/>
        <v>21.9</v>
      </c>
      <c r="I62" s="77">
        <f t="shared" si="16"/>
        <v>-3.9473684199999998E-2</v>
      </c>
      <c r="J62" s="86">
        <f t="shared" si="21"/>
        <v>519071540.804075</v>
      </c>
      <c r="K62" s="82" t="s">
        <v>268</v>
      </c>
      <c r="L62" s="39">
        <f t="shared" si="17"/>
        <v>97.9</v>
      </c>
      <c r="M62" s="77">
        <f t="shared" si="18"/>
        <v>-2.1000000000000001E-2</v>
      </c>
      <c r="N62" s="86">
        <f t="shared" si="22"/>
        <v>193222613.34294394</v>
      </c>
      <c r="O62" s="82" t="s">
        <v>238</v>
      </c>
      <c r="P62" s="39">
        <f t="shared" si="19"/>
        <v>290</v>
      </c>
      <c r="Q62" s="77">
        <f t="shared" si="20"/>
        <v>-3.0100334400000001E-2</v>
      </c>
      <c r="R62" s="86">
        <f t="shared" si="23"/>
        <v>17831386.720922962</v>
      </c>
    </row>
    <row r="63" spans="1:18">
      <c r="A63" s="40" t="s">
        <v>133</v>
      </c>
      <c r="B63" s="11" t="s">
        <v>134</v>
      </c>
      <c r="C63" s="95">
        <v>147</v>
      </c>
      <c r="D63" s="92">
        <v>0</v>
      </c>
      <c r="E63" s="93">
        <v>71441569.16319637</v>
      </c>
      <c r="F63" s="35"/>
      <c r="G63" s="56" t="s">
        <v>210</v>
      </c>
      <c r="H63" s="39">
        <f t="shared" si="15"/>
        <v>192</v>
      </c>
      <c r="I63" s="77">
        <f t="shared" si="16"/>
        <v>-0.04</v>
      </c>
      <c r="J63" s="86">
        <f t="shared" si="21"/>
        <v>31996024.062507462</v>
      </c>
      <c r="K63" s="82" t="s">
        <v>228</v>
      </c>
      <c r="L63" s="39">
        <f t="shared" si="17"/>
        <v>18.3</v>
      </c>
      <c r="M63" s="77">
        <f t="shared" si="18"/>
        <v>-2.65957447E-2</v>
      </c>
      <c r="N63" s="86">
        <f t="shared" si="22"/>
        <v>1172907883.6609769</v>
      </c>
      <c r="O63" s="82" t="s">
        <v>212</v>
      </c>
      <c r="P63" s="39">
        <f t="shared" si="19"/>
        <v>151</v>
      </c>
      <c r="Q63" s="77">
        <f t="shared" si="20"/>
        <v>-3.2051282100000002E-2</v>
      </c>
      <c r="R63" s="86">
        <f t="shared" si="23"/>
        <v>891889446.87335825</v>
      </c>
    </row>
    <row r="64" spans="1:18">
      <c r="A64" s="40" t="s">
        <v>161</v>
      </c>
      <c r="B64" s="11" t="s">
        <v>162</v>
      </c>
      <c r="C64" s="95">
        <v>2025</v>
      </c>
      <c r="D64" s="92">
        <v>0</v>
      </c>
      <c r="E64" s="93">
        <v>13744054.528333619</v>
      </c>
      <c r="F64" s="35"/>
      <c r="G64" s="56" t="s">
        <v>202</v>
      </c>
      <c r="H64" s="39">
        <f t="shared" si="15"/>
        <v>209</v>
      </c>
      <c r="I64" s="77">
        <f t="shared" si="16"/>
        <v>-4.12844037E-2</v>
      </c>
      <c r="J64" s="86">
        <f t="shared" si="21"/>
        <v>170454089.41107896</v>
      </c>
      <c r="K64" s="82" t="s">
        <v>172</v>
      </c>
      <c r="L64" s="39">
        <f t="shared" si="17"/>
        <v>25.3</v>
      </c>
      <c r="M64" s="77">
        <f t="shared" si="18"/>
        <v>-2.6923076899999999E-2</v>
      </c>
      <c r="N64" s="86">
        <f t="shared" si="22"/>
        <v>329619953.87800837</v>
      </c>
      <c r="O64" s="82" t="s">
        <v>284</v>
      </c>
      <c r="P64" s="39">
        <f t="shared" si="19"/>
        <v>435</v>
      </c>
      <c r="Q64" s="77">
        <f t="shared" si="20"/>
        <v>-3.3333333299999997E-2</v>
      </c>
      <c r="R64" s="86">
        <f t="shared" si="23"/>
        <v>17608084.72672464</v>
      </c>
    </row>
    <row r="65" spans="1:18" ht="17.25" thickBot="1">
      <c r="A65" s="40" t="s">
        <v>157</v>
      </c>
      <c r="B65" s="11" t="s">
        <v>158</v>
      </c>
      <c r="C65" s="95">
        <v>10140</v>
      </c>
      <c r="D65" s="92">
        <v>-1.9685038999999998E-3</v>
      </c>
      <c r="E65" s="93">
        <v>1929962.4203083101</v>
      </c>
      <c r="F65" s="35"/>
      <c r="G65" s="57" t="s">
        <v>82</v>
      </c>
      <c r="H65" s="37">
        <f t="shared" si="15"/>
        <v>1505</v>
      </c>
      <c r="I65" s="79">
        <f t="shared" si="16"/>
        <v>-4.14012739E-2</v>
      </c>
      <c r="J65" s="87">
        <f t="shared" si="21"/>
        <v>8978220.4465404209</v>
      </c>
      <c r="K65" s="84" t="s">
        <v>220</v>
      </c>
      <c r="L65" s="37">
        <f t="shared" si="17"/>
        <v>21.6</v>
      </c>
      <c r="M65" s="79">
        <f t="shared" si="18"/>
        <v>-2.7027026999999999E-2</v>
      </c>
      <c r="N65" s="87">
        <f t="shared" si="22"/>
        <v>881817346.93783426</v>
      </c>
      <c r="O65" s="84" t="s">
        <v>232</v>
      </c>
      <c r="P65" s="37">
        <f t="shared" si="19"/>
        <v>171</v>
      </c>
      <c r="Q65" s="79">
        <f t="shared" si="20"/>
        <v>-3.3898305099999998E-2</v>
      </c>
      <c r="R65" s="87">
        <f t="shared" si="23"/>
        <v>34776067.882585168</v>
      </c>
    </row>
    <row r="66" spans="1:18">
      <c r="A66" s="40" t="s">
        <v>279</v>
      </c>
      <c r="B66" s="11" t="s">
        <v>280</v>
      </c>
      <c r="C66" s="95">
        <v>1635</v>
      </c>
      <c r="D66" s="92">
        <v>-6.0790274E-3</v>
      </c>
      <c r="E66" s="93">
        <v>6981935.1002670601</v>
      </c>
      <c r="F66" s="35"/>
      <c r="G66" s="56" t="s">
        <v>122</v>
      </c>
      <c r="H66" s="38">
        <f t="shared" si="15"/>
        <v>114</v>
      </c>
      <c r="I66" s="76">
        <f t="shared" ref="I66:I75" si="24">_xlfn.IFNA(VLOOKUP(G66, $B$2:$D$200, 3, FALSE), "")</f>
        <v>-4.2016806699999999E-2</v>
      </c>
      <c r="J66" s="85">
        <f t="shared" si="21"/>
        <v>139813423.26705644</v>
      </c>
      <c r="K66" s="81" t="s">
        <v>154</v>
      </c>
      <c r="L66" s="38">
        <f t="shared" si="17"/>
        <v>21.1</v>
      </c>
      <c r="M66" s="76">
        <f t="shared" si="18"/>
        <v>-2.7649769599999999E-2</v>
      </c>
      <c r="N66" s="85">
        <f t="shared" si="22"/>
        <v>977231794.63484716</v>
      </c>
      <c r="O66" s="81" t="s">
        <v>258</v>
      </c>
      <c r="P66" s="38">
        <f t="shared" si="19"/>
        <v>715</v>
      </c>
      <c r="Q66" s="76">
        <f t="shared" si="20"/>
        <v>-3.50877193E-2</v>
      </c>
      <c r="R66" s="85">
        <f t="shared" si="23"/>
        <v>11484846.61658787</v>
      </c>
    </row>
    <row r="67" spans="1:18">
      <c r="A67" s="40" t="s">
        <v>247</v>
      </c>
      <c r="B67" s="11" t="s">
        <v>248</v>
      </c>
      <c r="C67" s="95">
        <v>3170</v>
      </c>
      <c r="D67" s="92">
        <v>-6.2695924999999998E-3</v>
      </c>
      <c r="E67" s="93">
        <v>1947351.78864665</v>
      </c>
      <c r="F67" s="35"/>
      <c r="G67" s="56" t="s">
        <v>194</v>
      </c>
      <c r="H67" s="39">
        <f t="shared" si="15"/>
        <v>14090</v>
      </c>
      <c r="I67" s="77">
        <f t="shared" si="24"/>
        <v>-4.2148198499999998E-2</v>
      </c>
      <c r="J67" s="86">
        <f t="shared" si="21"/>
        <v>1019821.40502865</v>
      </c>
      <c r="K67" s="82" t="s">
        <v>186</v>
      </c>
      <c r="L67" s="39">
        <f t="shared" si="17"/>
        <v>25.2</v>
      </c>
      <c r="M67" s="77">
        <f t="shared" si="18"/>
        <v>-3.0769230799999998E-2</v>
      </c>
      <c r="N67" s="86">
        <f t="shared" si="22"/>
        <v>468033285.2930578</v>
      </c>
      <c r="O67" s="82" t="s">
        <v>282</v>
      </c>
      <c r="P67" s="39">
        <f t="shared" si="19"/>
        <v>160</v>
      </c>
      <c r="Q67" s="77">
        <f t="shared" si="20"/>
        <v>-3.6144578300000001E-2</v>
      </c>
      <c r="R67" s="86">
        <f t="shared" si="23"/>
        <v>22729554.143001981</v>
      </c>
    </row>
    <row r="68" spans="1:18">
      <c r="A68" s="40" t="s">
        <v>271</v>
      </c>
      <c r="B68" s="11" t="s">
        <v>272</v>
      </c>
      <c r="C68" s="95">
        <v>2310</v>
      </c>
      <c r="D68" s="92">
        <v>-6.4516128999999997E-3</v>
      </c>
      <c r="E68" s="93">
        <v>11598244.04440197</v>
      </c>
      <c r="F68" s="35"/>
      <c r="G68" s="56" t="s">
        <v>252</v>
      </c>
      <c r="H68" s="39">
        <f t="shared" si="15"/>
        <v>536</v>
      </c>
      <c r="I68" s="77">
        <f t="shared" si="24"/>
        <v>-4.2857142899999999E-2</v>
      </c>
      <c r="J68" s="86">
        <f t="shared" si="21"/>
        <v>20424526.34099159</v>
      </c>
      <c r="K68" s="82" t="s">
        <v>198</v>
      </c>
      <c r="L68" s="39">
        <f t="shared" si="17"/>
        <v>28.2</v>
      </c>
      <c r="M68" s="77">
        <f t="shared" si="18"/>
        <v>-3.0927835099999999E-2</v>
      </c>
      <c r="N68" s="86">
        <f t="shared" si="22"/>
        <v>844665255.39558899</v>
      </c>
      <c r="O68" s="82" t="s">
        <v>230</v>
      </c>
      <c r="P68" s="39">
        <f t="shared" si="19"/>
        <v>174</v>
      </c>
      <c r="Q68" s="77">
        <f t="shared" si="20"/>
        <v>-3.8674033099999998E-2</v>
      </c>
      <c r="R68" s="86">
        <f t="shared" si="23"/>
        <v>37446982.78779427</v>
      </c>
    </row>
    <row r="69" spans="1:18">
      <c r="A69" s="40" t="s">
        <v>243</v>
      </c>
      <c r="B69" s="11" t="s">
        <v>244</v>
      </c>
      <c r="C69" s="95">
        <v>3655</v>
      </c>
      <c r="D69" s="92">
        <v>-1.21621622E-2</v>
      </c>
      <c r="E69" s="93">
        <v>8789443.3629891109</v>
      </c>
      <c r="F69" s="35"/>
      <c r="G69" s="56" t="s">
        <v>240</v>
      </c>
      <c r="H69" s="39">
        <f t="shared" si="15"/>
        <v>183</v>
      </c>
      <c r="I69" s="77">
        <f t="shared" si="24"/>
        <v>-4.6875E-2</v>
      </c>
      <c r="J69" s="86">
        <f t="shared" si="21"/>
        <v>41802761.203183129</v>
      </c>
      <c r="K69" s="82" t="s">
        <v>222</v>
      </c>
      <c r="L69" s="39">
        <f t="shared" si="17"/>
        <v>18.2</v>
      </c>
      <c r="M69" s="77">
        <f t="shared" si="18"/>
        <v>-3.1914893600000001E-2</v>
      </c>
      <c r="N69" s="86">
        <f t="shared" si="22"/>
        <v>345109183.51581961</v>
      </c>
      <c r="O69" s="82" t="s">
        <v>246</v>
      </c>
      <c r="P69" s="39">
        <f t="shared" si="19"/>
        <v>392</v>
      </c>
      <c r="Q69" s="77">
        <f t="shared" si="20"/>
        <v>-3.9215686299999997E-2</v>
      </c>
      <c r="R69" s="86">
        <f t="shared" si="23"/>
        <v>17746061.286648698</v>
      </c>
    </row>
    <row r="70" spans="1:18">
      <c r="A70" s="40" t="s">
        <v>195</v>
      </c>
      <c r="B70" s="11" t="s">
        <v>196</v>
      </c>
      <c r="C70" s="95">
        <v>20.399999999999999</v>
      </c>
      <c r="D70" s="92">
        <v>-1.44927536E-2</v>
      </c>
      <c r="E70" s="93">
        <v>456522035.9273926</v>
      </c>
      <c r="F70" s="35"/>
      <c r="G70" s="56" t="s">
        <v>254</v>
      </c>
      <c r="H70" s="39">
        <f t="shared" si="15"/>
        <v>86.5</v>
      </c>
      <c r="I70" s="77">
        <f t="shared" si="24"/>
        <v>-4.7356828199999999E-2</v>
      </c>
      <c r="J70" s="90">
        <f t="shared" si="21"/>
        <v>125808288.29301614</v>
      </c>
      <c r="K70" s="83" t="s">
        <v>218</v>
      </c>
      <c r="L70" s="44">
        <f t="shared" si="17"/>
        <v>28.4</v>
      </c>
      <c r="M70" s="78">
        <f t="shared" si="18"/>
        <v>-3.4013605400000001E-2</v>
      </c>
      <c r="N70" s="90">
        <f t="shared" si="22"/>
        <v>479254995.97838718</v>
      </c>
      <c r="O70" s="83" t="s">
        <v>210</v>
      </c>
      <c r="P70" s="44">
        <f t="shared" si="19"/>
        <v>192</v>
      </c>
      <c r="Q70" s="78">
        <f t="shared" si="20"/>
        <v>-0.04</v>
      </c>
      <c r="R70" s="90">
        <f t="shared" si="23"/>
        <v>31996024.062507462</v>
      </c>
    </row>
    <row r="71" spans="1:18">
      <c r="A71" s="40" t="s">
        <v>215</v>
      </c>
      <c r="B71" s="11" t="s">
        <v>216</v>
      </c>
      <c r="C71" s="95">
        <v>437</v>
      </c>
      <c r="D71" s="92">
        <v>-1.5765765800000001E-2</v>
      </c>
      <c r="E71" s="93">
        <v>10528132.163361641</v>
      </c>
      <c r="F71" s="35"/>
      <c r="G71" s="60" t="s">
        <v>260</v>
      </c>
      <c r="H71" s="45">
        <f t="shared" si="15"/>
        <v>119</v>
      </c>
      <c r="I71" s="80">
        <f t="shared" si="24"/>
        <v>-4.8000000000000001E-2</v>
      </c>
      <c r="J71" s="99">
        <f t="shared" si="21"/>
        <v>151316009.9363023</v>
      </c>
      <c r="K71" s="82" t="s">
        <v>236</v>
      </c>
      <c r="L71" s="39">
        <f t="shared" si="17"/>
        <v>68</v>
      </c>
      <c r="M71" s="77">
        <f t="shared" si="18"/>
        <v>-3.68271955E-2</v>
      </c>
      <c r="N71" s="99">
        <f t="shared" si="22"/>
        <v>131101101.0055737</v>
      </c>
      <c r="O71" s="82" t="s">
        <v>202</v>
      </c>
      <c r="P71" s="39">
        <f t="shared" si="19"/>
        <v>209</v>
      </c>
      <c r="Q71" s="77">
        <f t="shared" si="20"/>
        <v>-4.12844037E-2</v>
      </c>
      <c r="R71" s="99">
        <f t="shared" si="23"/>
        <v>170454089.41107896</v>
      </c>
    </row>
    <row r="72" spans="1:18">
      <c r="A72" s="40" t="s">
        <v>267</v>
      </c>
      <c r="B72" s="11" t="s">
        <v>268</v>
      </c>
      <c r="C72" s="95">
        <v>97.9</v>
      </c>
      <c r="D72" s="92">
        <v>-2.1000000000000001E-2</v>
      </c>
      <c r="E72" s="93">
        <v>193222613.34294394</v>
      </c>
      <c r="F72" s="35"/>
      <c r="G72" s="56" t="s">
        <v>164</v>
      </c>
      <c r="H72" s="39">
        <f t="shared" si="15"/>
        <v>41950</v>
      </c>
      <c r="I72" s="77">
        <f t="shared" si="24"/>
        <v>-5.2191595100000002E-2</v>
      </c>
      <c r="J72" s="86">
        <f t="shared" si="21"/>
        <v>6090268.6939234799</v>
      </c>
      <c r="K72" s="82" t="s">
        <v>214</v>
      </c>
      <c r="L72" s="39">
        <f t="shared" si="17"/>
        <v>21.9</v>
      </c>
      <c r="M72" s="77">
        <f t="shared" si="18"/>
        <v>-3.9473684199999998E-2</v>
      </c>
      <c r="N72" s="86">
        <f t="shared" si="22"/>
        <v>519071540.804075</v>
      </c>
      <c r="O72" s="82" t="s">
        <v>122</v>
      </c>
      <c r="P72" s="39">
        <f t="shared" si="19"/>
        <v>114</v>
      </c>
      <c r="Q72" s="77">
        <f t="shared" si="20"/>
        <v>-4.2016806699999999E-2</v>
      </c>
      <c r="R72" s="86">
        <f t="shared" si="23"/>
        <v>139813423.26705644</v>
      </c>
    </row>
    <row r="73" spans="1:18">
      <c r="A73" s="40" t="s">
        <v>179</v>
      </c>
      <c r="B73" s="11" t="s">
        <v>180</v>
      </c>
      <c r="C73" s="95">
        <v>4605</v>
      </c>
      <c r="D73" s="92">
        <v>-2.1253985100000001E-2</v>
      </c>
      <c r="E73" s="93">
        <v>5800824.3007577099</v>
      </c>
      <c r="F73" s="35"/>
      <c r="G73" s="56" t="s">
        <v>204</v>
      </c>
      <c r="H73" s="39">
        <f t="shared" si="15"/>
        <v>8680</v>
      </c>
      <c r="I73" s="77">
        <f t="shared" si="24"/>
        <v>-5.2401746700000001E-2</v>
      </c>
      <c r="J73" s="86">
        <f t="shared" si="21"/>
        <v>24606528.088886969</v>
      </c>
      <c r="K73" s="82" t="s">
        <v>254</v>
      </c>
      <c r="L73" s="39">
        <f t="shared" si="17"/>
        <v>86.5</v>
      </c>
      <c r="M73" s="77">
        <f t="shared" si="18"/>
        <v>-4.7356828199999999E-2</v>
      </c>
      <c r="N73" s="86">
        <f t="shared" si="22"/>
        <v>125808288.29301614</v>
      </c>
      <c r="O73" s="82" t="s">
        <v>252</v>
      </c>
      <c r="P73" s="39">
        <f t="shared" si="19"/>
        <v>536</v>
      </c>
      <c r="Q73" s="77">
        <f t="shared" si="20"/>
        <v>-4.2857142899999999E-2</v>
      </c>
      <c r="R73" s="86">
        <f t="shared" si="23"/>
        <v>20424526.34099159</v>
      </c>
    </row>
    <row r="74" spans="1:18">
      <c r="A74" s="40" t="s">
        <v>207</v>
      </c>
      <c r="B74" s="11" t="s">
        <v>208</v>
      </c>
      <c r="C74" s="95">
        <v>491</v>
      </c>
      <c r="D74" s="92">
        <v>-2.1912350600000002E-2</v>
      </c>
      <c r="E74" s="93">
        <v>54478487.962108962</v>
      </c>
      <c r="F74" s="35"/>
      <c r="G74" s="56" t="s">
        <v>67</v>
      </c>
      <c r="H74" s="39">
        <f t="shared" si="15"/>
        <v>8680</v>
      </c>
      <c r="I74" s="77">
        <f t="shared" si="24"/>
        <v>-5.3435114499999999E-2</v>
      </c>
      <c r="J74" s="86">
        <f t="shared" si="21"/>
        <v>1943059.20264596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240</v>
      </c>
      <c r="P74" s="39">
        <f t="shared" si="19"/>
        <v>183</v>
      </c>
      <c r="Q74" s="77">
        <f t="shared" si="20"/>
        <v>-4.6875E-2</v>
      </c>
      <c r="R74" s="86">
        <f t="shared" si="23"/>
        <v>41802761.203183129</v>
      </c>
    </row>
    <row r="75" spans="1:18" ht="17.25" thickBot="1">
      <c r="A75" s="40" t="s">
        <v>263</v>
      </c>
      <c r="B75" s="11" t="s">
        <v>264</v>
      </c>
      <c r="C75" s="95">
        <v>171</v>
      </c>
      <c r="D75" s="92">
        <v>-2.2857142899999999E-2</v>
      </c>
      <c r="E75" s="93">
        <v>22284340.94604037</v>
      </c>
      <c r="F75" s="35"/>
      <c r="G75" s="57" t="s">
        <v>276</v>
      </c>
      <c r="H75" s="37">
        <f t="shared" si="15"/>
        <v>4470</v>
      </c>
      <c r="I75" s="79">
        <f t="shared" si="24"/>
        <v>-5.8947368399999998E-2</v>
      </c>
      <c r="J75" s="87">
        <f t="shared" si="21"/>
        <v>6088529.4724995997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260</v>
      </c>
      <c r="P75" s="37">
        <f t="shared" si="19"/>
        <v>119</v>
      </c>
      <c r="Q75" s="79">
        <f t="shared" si="20"/>
        <v>-4.8000000000000001E-2</v>
      </c>
      <c r="R75" s="87">
        <f t="shared" si="23"/>
        <v>151316009.9363023</v>
      </c>
    </row>
    <row r="76" spans="1:18">
      <c r="A76" s="40" t="s">
        <v>169</v>
      </c>
      <c r="B76" s="11" t="s">
        <v>170</v>
      </c>
      <c r="C76" s="95">
        <v>500</v>
      </c>
      <c r="D76" s="92">
        <v>-2.34375E-2</v>
      </c>
      <c r="E76" s="93">
        <v>6917029.6036598701</v>
      </c>
      <c r="F76" s="35"/>
      <c r="G76" s="35"/>
      <c r="H76" s="35"/>
      <c r="I76" s="35"/>
    </row>
    <row r="77" spans="1:18">
      <c r="A77" s="40" t="s">
        <v>225</v>
      </c>
      <c r="B77" s="11" t="s">
        <v>226</v>
      </c>
      <c r="C77" s="95">
        <v>500</v>
      </c>
      <c r="D77" s="92">
        <v>-2.34375E-2</v>
      </c>
      <c r="E77" s="93">
        <v>10261350.591761939</v>
      </c>
      <c r="F77" s="35"/>
      <c r="G77" s="35"/>
      <c r="H77" s="35"/>
      <c r="I77" s="35"/>
    </row>
    <row r="78" spans="1:18">
      <c r="A78" s="40" t="s">
        <v>227</v>
      </c>
      <c r="B78" s="11" t="s">
        <v>228</v>
      </c>
      <c r="C78" s="95">
        <v>18.3</v>
      </c>
      <c r="D78" s="92">
        <v>-2.65957447E-2</v>
      </c>
      <c r="E78" s="93">
        <v>1172907883.6609769</v>
      </c>
      <c r="F78" s="35"/>
      <c r="G78" s="35"/>
      <c r="H78" s="35"/>
      <c r="I78" s="35"/>
    </row>
    <row r="79" spans="1:18">
      <c r="A79" s="40" t="s">
        <v>223</v>
      </c>
      <c r="B79" s="11" t="s">
        <v>224</v>
      </c>
      <c r="C79" s="95">
        <v>2010</v>
      </c>
      <c r="D79" s="92">
        <v>-2.6634382599999999E-2</v>
      </c>
      <c r="E79" s="93">
        <v>16681110.513193861</v>
      </c>
      <c r="F79" s="35"/>
      <c r="G79" s="35"/>
      <c r="H79" s="35"/>
      <c r="I79" s="35"/>
    </row>
    <row r="80" spans="1:18">
      <c r="A80" s="40" t="s">
        <v>171</v>
      </c>
      <c r="B80" s="11" t="s">
        <v>172</v>
      </c>
      <c r="C80" s="95">
        <v>25.3</v>
      </c>
      <c r="D80" s="92">
        <v>-2.6923076899999999E-2</v>
      </c>
      <c r="E80" s="93">
        <v>329619953.87800837</v>
      </c>
      <c r="F80" s="35"/>
      <c r="G80" s="35"/>
      <c r="H80" s="35"/>
      <c r="I80" s="35"/>
    </row>
    <row r="81" spans="1:9">
      <c r="A81" s="40" t="s">
        <v>219</v>
      </c>
      <c r="B81" s="11" t="s">
        <v>220</v>
      </c>
      <c r="C81" s="95">
        <v>21.6</v>
      </c>
      <c r="D81" s="92">
        <v>-2.7027026999999999E-2</v>
      </c>
      <c r="E81" s="93">
        <v>881817346.93783426</v>
      </c>
      <c r="F81" s="35"/>
      <c r="G81" s="35"/>
      <c r="H81" s="35"/>
      <c r="I81" s="35"/>
    </row>
    <row r="82" spans="1:9">
      <c r="A82" s="40" t="s">
        <v>111</v>
      </c>
      <c r="B82" s="11" t="s">
        <v>112</v>
      </c>
      <c r="C82" s="95">
        <v>252</v>
      </c>
      <c r="D82" s="92">
        <v>-2.7027026999999999E-2</v>
      </c>
      <c r="E82" s="93">
        <v>53527528.864518993</v>
      </c>
      <c r="F82" s="35"/>
      <c r="G82" s="35"/>
      <c r="H82" s="35"/>
      <c r="I82" s="35"/>
    </row>
    <row r="83" spans="1:9">
      <c r="A83" s="40" t="s">
        <v>189</v>
      </c>
      <c r="B83" s="11" t="s">
        <v>190</v>
      </c>
      <c r="C83" s="95">
        <v>72900</v>
      </c>
      <c r="D83" s="92">
        <v>-2.7351567699999999E-2</v>
      </c>
      <c r="E83" s="93">
        <v>687988.95225336996</v>
      </c>
      <c r="F83" s="35"/>
      <c r="G83" s="35"/>
      <c r="H83" s="35"/>
      <c r="I83" s="35"/>
    </row>
    <row r="84" spans="1:9">
      <c r="A84" s="40" t="s">
        <v>249</v>
      </c>
      <c r="B84" s="11" t="s">
        <v>250</v>
      </c>
      <c r="C84" s="95">
        <v>212</v>
      </c>
      <c r="D84" s="92">
        <v>-2.7522935799999999E-2</v>
      </c>
      <c r="E84" s="93">
        <v>17975086.352689389</v>
      </c>
      <c r="F84" s="35"/>
      <c r="G84" s="35"/>
      <c r="H84" s="35"/>
      <c r="I84" s="35"/>
    </row>
    <row r="85" spans="1:9">
      <c r="A85" s="40" t="s">
        <v>153</v>
      </c>
      <c r="B85" s="11" t="s">
        <v>154</v>
      </c>
      <c r="C85" s="95">
        <v>21.1</v>
      </c>
      <c r="D85" s="92">
        <v>-2.7649769599999999E-2</v>
      </c>
      <c r="E85" s="93">
        <v>977231794.63484716</v>
      </c>
      <c r="F85" s="35"/>
      <c r="G85" s="35"/>
      <c r="H85" s="35"/>
      <c r="I85" s="35"/>
    </row>
    <row r="86" spans="1:9">
      <c r="A86" s="40" t="s">
        <v>173</v>
      </c>
      <c r="B86" s="11" t="s">
        <v>174</v>
      </c>
      <c r="C86" s="95">
        <v>272</v>
      </c>
      <c r="D86" s="92">
        <v>-2.85714286E-2</v>
      </c>
      <c r="E86" s="93">
        <v>42046202.738422252</v>
      </c>
      <c r="F86" s="35"/>
      <c r="G86" s="35"/>
      <c r="H86" s="35"/>
      <c r="I86" s="35"/>
    </row>
    <row r="87" spans="1:9">
      <c r="A87" s="40" t="s">
        <v>199</v>
      </c>
      <c r="B87" s="11" t="s">
        <v>200</v>
      </c>
      <c r="C87" s="95">
        <v>368</v>
      </c>
      <c r="D87" s="92">
        <v>-2.9023746699999999E-2</v>
      </c>
      <c r="E87" s="93">
        <v>16031589.07605402</v>
      </c>
      <c r="F87" s="35"/>
      <c r="G87" s="35"/>
      <c r="H87" s="35"/>
      <c r="I87" s="35"/>
    </row>
    <row r="88" spans="1:9">
      <c r="A88" s="40" t="s">
        <v>175</v>
      </c>
      <c r="B88" s="11" t="s">
        <v>176</v>
      </c>
      <c r="C88" s="95">
        <v>2500</v>
      </c>
      <c r="D88" s="92">
        <v>-2.9126213599999999E-2</v>
      </c>
      <c r="E88" s="93">
        <v>10428988.65431143</v>
      </c>
      <c r="F88" s="35"/>
      <c r="G88" s="35"/>
      <c r="H88" s="35"/>
      <c r="I88" s="35"/>
    </row>
    <row r="89" spans="1:9">
      <c r="A89" s="40" t="s">
        <v>237</v>
      </c>
      <c r="B89" s="11" t="s">
        <v>238</v>
      </c>
      <c r="C89" s="95">
        <v>290</v>
      </c>
      <c r="D89" s="92">
        <v>-3.0100334400000001E-2</v>
      </c>
      <c r="E89" s="93">
        <v>17831386.720922962</v>
      </c>
      <c r="F89" s="35"/>
      <c r="G89" s="35"/>
      <c r="H89" s="35"/>
      <c r="I89" s="35"/>
    </row>
    <row r="90" spans="1:9">
      <c r="A90" s="40" t="s">
        <v>185</v>
      </c>
      <c r="B90" s="11" t="s">
        <v>186</v>
      </c>
      <c r="C90" s="95">
        <v>25.2</v>
      </c>
      <c r="D90" s="92">
        <v>-3.0769230799999998E-2</v>
      </c>
      <c r="E90" s="93">
        <v>468033285.2930578</v>
      </c>
      <c r="F90" s="35"/>
      <c r="G90" s="35"/>
      <c r="H90" s="35"/>
      <c r="I90" s="35"/>
    </row>
    <row r="91" spans="1:9">
      <c r="A91" s="40" t="s">
        <v>197</v>
      </c>
      <c r="B91" s="11" t="s">
        <v>198</v>
      </c>
      <c r="C91" s="95">
        <v>28.2</v>
      </c>
      <c r="D91" s="92">
        <v>-3.0927835099999999E-2</v>
      </c>
      <c r="E91" s="93">
        <v>844665255.39558899</v>
      </c>
      <c r="F91" s="35"/>
      <c r="G91" s="35"/>
      <c r="H91" s="35"/>
      <c r="I91" s="35"/>
    </row>
    <row r="92" spans="1:9">
      <c r="A92" s="40" t="s">
        <v>221</v>
      </c>
      <c r="B92" s="11" t="s">
        <v>222</v>
      </c>
      <c r="C92" s="95">
        <v>18.2</v>
      </c>
      <c r="D92" s="92">
        <v>-3.1914893600000001E-2</v>
      </c>
      <c r="E92" s="93">
        <v>345109183.51581961</v>
      </c>
      <c r="F92" s="35"/>
      <c r="G92" s="35"/>
      <c r="H92" s="35"/>
      <c r="I92" s="35"/>
    </row>
    <row r="93" spans="1:9">
      <c r="A93" s="40" t="s">
        <v>211</v>
      </c>
      <c r="B93" s="11" t="s">
        <v>212</v>
      </c>
      <c r="C93" s="95">
        <v>151</v>
      </c>
      <c r="D93" s="92">
        <v>-3.2051282100000002E-2</v>
      </c>
      <c r="E93" s="93">
        <v>891889446.87335825</v>
      </c>
      <c r="F93" s="35"/>
      <c r="G93" s="35"/>
      <c r="H93" s="35"/>
      <c r="I93" s="35"/>
    </row>
    <row r="94" spans="1:9">
      <c r="A94" s="40" t="s">
        <v>283</v>
      </c>
      <c r="B94" s="11" t="s">
        <v>284</v>
      </c>
      <c r="C94" s="95">
        <v>435</v>
      </c>
      <c r="D94" s="92">
        <v>-3.3333333299999997E-2</v>
      </c>
      <c r="E94" s="93">
        <v>17608084.72672464</v>
      </c>
      <c r="F94" s="35"/>
      <c r="G94" s="35"/>
      <c r="H94" s="35"/>
      <c r="I94" s="35"/>
    </row>
    <row r="95" spans="1:9">
      <c r="A95" s="40" t="s">
        <v>231</v>
      </c>
      <c r="B95" s="11" t="s">
        <v>232</v>
      </c>
      <c r="C95" s="95">
        <v>171</v>
      </c>
      <c r="D95" s="92">
        <v>-3.3898305099999998E-2</v>
      </c>
      <c r="E95" s="93">
        <v>34776067.882585168</v>
      </c>
      <c r="F95" s="35"/>
      <c r="G95" s="35"/>
      <c r="H95" s="35"/>
      <c r="I95" s="35"/>
    </row>
    <row r="96" spans="1:9">
      <c r="A96" s="40" t="s">
        <v>217</v>
      </c>
      <c r="B96" s="11" t="s">
        <v>218</v>
      </c>
      <c r="C96" s="95">
        <v>28.4</v>
      </c>
      <c r="D96" s="92">
        <v>-3.4013605400000001E-2</v>
      </c>
      <c r="E96" s="93">
        <v>479254995.97838718</v>
      </c>
      <c r="F96" s="35"/>
      <c r="G96" s="35"/>
      <c r="H96" s="35"/>
      <c r="I96" s="35"/>
    </row>
    <row r="97" spans="1:9">
      <c r="A97" s="40" t="s">
        <v>257</v>
      </c>
      <c r="B97" s="11" t="s">
        <v>258</v>
      </c>
      <c r="C97" s="95">
        <v>715</v>
      </c>
      <c r="D97" s="92">
        <v>-3.50877193E-2</v>
      </c>
      <c r="E97" s="93">
        <v>11484846.61658787</v>
      </c>
      <c r="F97" s="35"/>
      <c r="G97" s="35"/>
      <c r="H97" s="35"/>
      <c r="I97" s="35"/>
    </row>
    <row r="98" spans="1:9">
      <c r="A98" s="40" t="s">
        <v>281</v>
      </c>
      <c r="B98" s="11" t="s">
        <v>282</v>
      </c>
      <c r="C98" s="95">
        <v>160</v>
      </c>
      <c r="D98" s="92">
        <v>-3.6144578300000001E-2</v>
      </c>
      <c r="E98" s="93">
        <v>22729554.143001981</v>
      </c>
      <c r="F98" s="35"/>
      <c r="G98" s="35"/>
      <c r="H98" s="35"/>
      <c r="I98" s="35"/>
    </row>
    <row r="99" spans="1:9">
      <c r="A99" s="40" t="s">
        <v>235</v>
      </c>
      <c r="B99" s="11" t="s">
        <v>236</v>
      </c>
      <c r="C99" s="95">
        <v>68</v>
      </c>
      <c r="D99" s="92">
        <v>-3.68271955E-2</v>
      </c>
      <c r="E99" s="93">
        <v>131101101.0055737</v>
      </c>
      <c r="F99" s="35"/>
      <c r="G99" s="35"/>
      <c r="H99" s="35"/>
      <c r="I99" s="35"/>
    </row>
    <row r="100" spans="1:9">
      <c r="A100" s="40" t="s">
        <v>205</v>
      </c>
      <c r="B100" s="11" t="s">
        <v>206</v>
      </c>
      <c r="C100" s="95">
        <v>39190</v>
      </c>
      <c r="D100" s="92">
        <v>-3.6864094399999998E-2</v>
      </c>
      <c r="E100" s="93">
        <v>1255253.8800957699</v>
      </c>
      <c r="F100" s="35"/>
      <c r="G100" s="35"/>
      <c r="H100" s="35"/>
      <c r="I100" s="35"/>
    </row>
    <row r="101" spans="1:9">
      <c r="A101" s="40" t="s">
        <v>123</v>
      </c>
      <c r="B101" s="11" t="s">
        <v>124</v>
      </c>
      <c r="C101" s="95">
        <v>6865</v>
      </c>
      <c r="D101" s="92">
        <v>-3.7166900400000001E-2</v>
      </c>
      <c r="E101" s="93">
        <v>1056400.6853910801</v>
      </c>
      <c r="F101" s="35"/>
      <c r="G101" s="35"/>
      <c r="H101" s="35"/>
      <c r="I101" s="35"/>
    </row>
    <row r="102" spans="1:9">
      <c r="A102" s="40" t="s">
        <v>233</v>
      </c>
      <c r="B102" s="11" t="s">
        <v>234</v>
      </c>
      <c r="C102" s="95">
        <v>1370</v>
      </c>
      <c r="D102" s="92">
        <v>-3.8596491199999999E-2</v>
      </c>
      <c r="E102" s="93">
        <v>4013478.9410298001</v>
      </c>
      <c r="F102" s="35"/>
      <c r="G102" s="35"/>
      <c r="H102" s="35"/>
      <c r="I102" s="35"/>
    </row>
    <row r="103" spans="1:9">
      <c r="A103" s="40" t="s">
        <v>229</v>
      </c>
      <c r="B103" s="11" t="s">
        <v>230</v>
      </c>
      <c r="C103" s="95">
        <v>174</v>
      </c>
      <c r="D103" s="92">
        <v>-3.8674033099999998E-2</v>
      </c>
      <c r="E103" s="93">
        <v>37446982.78779427</v>
      </c>
      <c r="F103" s="35"/>
      <c r="G103" s="35"/>
      <c r="H103" s="35"/>
      <c r="I103" s="35"/>
    </row>
    <row r="104" spans="1:9">
      <c r="A104" s="40" t="s">
        <v>245</v>
      </c>
      <c r="B104" s="11" t="s">
        <v>246</v>
      </c>
      <c r="C104" s="95">
        <v>392</v>
      </c>
      <c r="D104" s="92">
        <v>-3.9215686299999997E-2</v>
      </c>
      <c r="E104" s="93">
        <v>17746061.286648698</v>
      </c>
      <c r="F104" s="35"/>
      <c r="G104" s="35"/>
      <c r="H104" s="35"/>
      <c r="I104" s="35"/>
    </row>
    <row r="105" spans="1:9">
      <c r="A105" s="40" t="s">
        <v>213</v>
      </c>
      <c r="B105" s="11" t="s">
        <v>214</v>
      </c>
      <c r="C105" s="95">
        <v>21.9</v>
      </c>
      <c r="D105" s="92">
        <v>-3.9473684199999998E-2</v>
      </c>
      <c r="E105" s="93">
        <v>519071540.804075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192</v>
      </c>
      <c r="D106" s="92">
        <v>-0.04</v>
      </c>
      <c r="E106" s="93">
        <v>31996024.062507462</v>
      </c>
      <c r="F106" s="35"/>
      <c r="G106" s="35"/>
      <c r="H106" s="35"/>
      <c r="I106" s="35"/>
    </row>
    <row r="107" spans="1:9">
      <c r="A107" s="40" t="s">
        <v>201</v>
      </c>
      <c r="B107" s="11" t="s">
        <v>202</v>
      </c>
      <c r="C107" s="95">
        <v>209</v>
      </c>
      <c r="D107" s="92">
        <v>-4.12844037E-2</v>
      </c>
      <c r="E107" s="93">
        <v>170454089.41107896</v>
      </c>
      <c r="F107" s="35"/>
      <c r="G107" s="35"/>
      <c r="H107" s="35"/>
      <c r="I107" s="35"/>
    </row>
    <row r="108" spans="1:9">
      <c r="A108" s="40" t="s">
        <v>81</v>
      </c>
      <c r="B108" s="11" t="s">
        <v>82</v>
      </c>
      <c r="C108" s="95">
        <v>1505</v>
      </c>
      <c r="D108" s="92">
        <v>-4.14012739E-2</v>
      </c>
      <c r="E108" s="93">
        <v>8978220.4465404209</v>
      </c>
      <c r="F108" s="35"/>
      <c r="G108" s="35"/>
      <c r="H108" s="35"/>
      <c r="I108" s="35"/>
    </row>
    <row r="109" spans="1:9">
      <c r="A109" s="40" t="s">
        <v>121</v>
      </c>
      <c r="B109" s="11" t="s">
        <v>122</v>
      </c>
      <c r="C109" s="95">
        <v>114</v>
      </c>
      <c r="D109" s="92">
        <v>-4.2016806699999999E-2</v>
      </c>
      <c r="E109" s="41">
        <v>139813423.26705644</v>
      </c>
    </row>
    <row r="110" spans="1:9">
      <c r="A110" s="40" t="s">
        <v>193</v>
      </c>
      <c r="B110" s="11" t="s">
        <v>194</v>
      </c>
      <c r="C110" s="95">
        <v>14090</v>
      </c>
      <c r="D110" s="92">
        <v>-4.2148198499999998E-2</v>
      </c>
      <c r="E110" s="41">
        <v>1019821.40502865</v>
      </c>
    </row>
    <row r="111" spans="1:9">
      <c r="A111" s="40" t="s">
        <v>251</v>
      </c>
      <c r="B111" s="11" t="s">
        <v>252</v>
      </c>
      <c r="C111" s="95">
        <v>536</v>
      </c>
      <c r="D111" s="92">
        <v>-4.2857142899999999E-2</v>
      </c>
      <c r="E111" s="41">
        <v>20424526.34099159</v>
      </c>
    </row>
    <row r="112" spans="1:9">
      <c r="A112" s="40" t="s">
        <v>239</v>
      </c>
      <c r="B112" s="11" t="s">
        <v>240</v>
      </c>
      <c r="C112" s="95">
        <v>183</v>
      </c>
      <c r="D112" s="92">
        <v>-4.6875E-2</v>
      </c>
      <c r="E112" s="41">
        <v>41802761.203183129</v>
      </c>
    </row>
    <row r="113" spans="1:5">
      <c r="A113" s="40" t="s">
        <v>253</v>
      </c>
      <c r="B113" s="11" t="s">
        <v>254</v>
      </c>
      <c r="C113" s="95">
        <v>86.5</v>
      </c>
      <c r="D113" s="92">
        <v>-4.7356828199999999E-2</v>
      </c>
      <c r="E113" s="41">
        <v>125808288.29301614</v>
      </c>
    </row>
    <row r="114" spans="1:5">
      <c r="A114" s="40" t="s">
        <v>259</v>
      </c>
      <c r="B114" s="11" t="s">
        <v>260</v>
      </c>
      <c r="C114" s="95">
        <v>119</v>
      </c>
      <c r="D114" s="92">
        <v>-4.8000000000000001E-2</v>
      </c>
      <c r="E114" s="41">
        <v>151316009.9363023</v>
      </c>
    </row>
    <row r="115" spans="1:5">
      <c r="A115" s="40" t="s">
        <v>163</v>
      </c>
      <c r="B115" s="11" t="s">
        <v>164</v>
      </c>
      <c r="C115" s="95">
        <v>41950</v>
      </c>
      <c r="D115" s="92">
        <v>-5.2191595100000002E-2</v>
      </c>
      <c r="E115" s="41">
        <v>6090268.6939234799</v>
      </c>
    </row>
    <row r="116" spans="1:5">
      <c r="A116" s="40" t="s">
        <v>203</v>
      </c>
      <c r="B116" s="11" t="s">
        <v>204</v>
      </c>
      <c r="C116" s="95">
        <v>8680</v>
      </c>
      <c r="D116" s="92">
        <v>-5.2401746700000001E-2</v>
      </c>
      <c r="E116" s="41">
        <v>24606528.088886969</v>
      </c>
    </row>
    <row r="117" spans="1:5">
      <c r="A117" s="40" t="s">
        <v>66</v>
      </c>
      <c r="B117" s="11" t="s">
        <v>67</v>
      </c>
      <c r="C117" s="95">
        <v>8680</v>
      </c>
      <c r="D117" s="92">
        <v>-5.3435114499999999E-2</v>
      </c>
      <c r="E117" s="41">
        <v>1943059.20264596</v>
      </c>
    </row>
    <row r="118" spans="1:5">
      <c r="A118" s="40" t="s">
        <v>275</v>
      </c>
      <c r="B118" s="11" t="s">
        <v>276</v>
      </c>
      <c r="C118" s="95">
        <v>4470</v>
      </c>
      <c r="D118" s="92">
        <v>-5.8947368399999998E-2</v>
      </c>
      <c r="E118" s="41">
        <v>6088529.4724995997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7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77"/>
  <sheetViews>
    <sheetView tabSelected="1" workbookViewId="0">
      <selection activeCell="A4" sqref="A4:O39"/>
    </sheetView>
  </sheetViews>
  <sheetFormatPr defaultRowHeight="16.5"/>
  <cols>
    <col min="1" max="1" width="9" style="125"/>
    <col min="2" max="2" width="11.875" style="125" bestFit="1" customWidth="1"/>
    <col min="3" max="4" width="16.25" style="125" bestFit="1" customWidth="1"/>
    <col min="5" max="5" width="9" style="125"/>
    <col min="6" max="6" width="14.375" style="125" bestFit="1" customWidth="1"/>
    <col min="7" max="7" width="16.25" style="125" bestFit="1" customWidth="1"/>
    <col min="8" max="8" width="9" style="125"/>
    <col min="9" max="9" width="14.375" style="125" bestFit="1" customWidth="1"/>
    <col min="10" max="10" width="16.25" style="125" bestFit="1" customWidth="1"/>
    <col min="11" max="11" width="9" style="125"/>
    <col min="12" max="12" width="14.375" style="125" bestFit="1" customWidth="1"/>
    <col min="13" max="13" width="16.25" style="125" bestFit="1" customWidth="1"/>
    <col min="14" max="14" width="9" style="125"/>
    <col min="15" max="15" width="15.25" style="125" bestFit="1" customWidth="1"/>
    <col min="16" max="16384" width="9" style="125"/>
  </cols>
  <sheetData>
    <row r="1" spans="1:15" ht="17.25" thickBot="1">
      <c r="A1" s="185" t="s">
        <v>0</v>
      </c>
      <c r="B1" s="186"/>
      <c r="C1" s="186"/>
      <c r="D1" s="186"/>
      <c r="E1" s="186"/>
      <c r="F1" s="187"/>
      <c r="G1" s="216" t="str">
        <f>TEXT(투자전략!$G$1, "[$-ko-KR]yyyy년 mm월") &amp; " 총결산"</f>
        <v>2021년 05월 총결산</v>
      </c>
      <c r="H1" s="217"/>
      <c r="I1" s="218"/>
      <c r="J1" s="185" t="s">
        <v>1</v>
      </c>
      <c r="K1" s="186"/>
      <c r="L1" s="186"/>
      <c r="M1" s="186"/>
      <c r="N1" s="186"/>
      <c r="O1" s="187"/>
    </row>
    <row r="2" spans="1:15">
      <c r="A2" s="1" t="s">
        <v>3</v>
      </c>
      <c r="B2" s="219" t="s">
        <v>4</v>
      </c>
      <c r="C2" s="220"/>
      <c r="D2" s="220"/>
      <c r="E2" s="220"/>
      <c r="F2" s="221"/>
      <c r="G2" s="213" t="s">
        <v>321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</row>
    <row r="3" spans="1:15" ht="17.25" thickBot="1">
      <c r="A3" s="4" t="s">
        <v>7</v>
      </c>
      <c r="B3" s="210" t="s">
        <v>8</v>
      </c>
      <c r="C3" s="211"/>
      <c r="D3" s="211"/>
      <c r="E3" s="211"/>
      <c r="F3" s="212"/>
      <c r="G3" s="206" t="str">
        <f ca="1" xml:space="preserve"> TEXT($F$49, "#,##0") &amp; " KRW (" &amp; TEXT($E$49, "0.00%)")</f>
        <v>115,295 KRW (6.41%)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</row>
    <row r="4" spans="1:15">
      <c r="A4" s="4" t="s">
        <v>11</v>
      </c>
      <c r="B4" s="210" t="s">
        <v>12</v>
      </c>
      <c r="C4" s="211"/>
      <c r="D4" s="211"/>
      <c r="E4" s="211"/>
      <c r="F4" s="212"/>
      <c r="G4" s="213" t="s">
        <v>310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</row>
    <row r="5" spans="1:15" ht="17.25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 ca="1" xml:space="preserve"> TEXT($F$49, "#,##0") &amp; " KRW (" &amp; TEXT($E$49, "0.00%)")</f>
        <v>115,295 KRW (6.41%)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5">
      <c r="A6" s="4" t="s">
        <v>18</v>
      </c>
      <c r="B6" s="210" t="s">
        <v>19</v>
      </c>
      <c r="C6" s="211"/>
      <c r="D6" s="211"/>
      <c r="E6" s="211"/>
      <c r="F6" s="212"/>
      <c r="G6" s="213" t="s">
        <v>311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5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 ca="1" xml:space="preserve"> TEXT($I$49, "#,##0") &amp; " KRW (" &amp; TEXT($H$49, "0.00%)")</f>
        <v>127,172 KRW (7.07%)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5">
      <c r="A8" s="4" t="s">
        <v>24</v>
      </c>
      <c r="B8" s="210" t="s">
        <v>25</v>
      </c>
      <c r="C8" s="211"/>
      <c r="D8" s="211"/>
      <c r="E8" s="211"/>
      <c r="F8" s="212"/>
      <c r="G8" s="213" t="s">
        <v>312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</row>
    <row r="9" spans="1:15" ht="17.25" thickBot="1">
      <c r="A9" s="4" t="s">
        <v>28</v>
      </c>
      <c r="B9" s="210"/>
      <c r="C9" s="211"/>
      <c r="D9" s="211"/>
      <c r="E9" s="211"/>
      <c r="F9" s="212"/>
      <c r="G9" s="206" t="str">
        <f ca="1" xml:space="preserve"> TEXT($L$49, "#,##0") &amp; " KRW (" &amp; TEXT($K$49, "0.00%)")</f>
        <v>164,702 KRW (9.15%)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</row>
    <row r="10" spans="1:15">
      <c r="A10" s="4" t="s">
        <v>30</v>
      </c>
      <c r="B10" s="210"/>
      <c r="C10" s="211"/>
      <c r="D10" s="211"/>
      <c r="E10" s="211"/>
      <c r="F10" s="212"/>
      <c r="G10" s="213" t="s">
        <v>313</v>
      </c>
      <c r="H10" s="214"/>
      <c r="I10" s="215"/>
      <c r="J10" s="4" t="s">
        <v>30</v>
      </c>
      <c r="K10" s="210"/>
      <c r="L10" s="211"/>
      <c r="M10" s="211"/>
      <c r="N10" s="211"/>
      <c r="O10" s="212"/>
    </row>
    <row r="11" spans="1:15" ht="17.25" thickBot="1">
      <c r="A11" s="7" t="s">
        <v>32</v>
      </c>
      <c r="B11" s="203"/>
      <c r="C11" s="204"/>
      <c r="D11" s="204"/>
      <c r="E11" s="204"/>
      <c r="F11" s="205"/>
      <c r="G11" s="206" t="str">
        <f ca="1" xml:space="preserve"> TEXT($O$49, "#,##0") &amp; " KRW (" &amp; TEXT($N$49, "0.00%)")</f>
        <v>-11,167 KRW (-0.62%)</v>
      </c>
      <c r="H11" s="207"/>
      <c r="I11" s="208"/>
      <c r="J11" s="7" t="s">
        <v>32</v>
      </c>
      <c r="K11" s="203"/>
      <c r="L11" s="204"/>
      <c r="M11" s="204"/>
      <c r="N11" s="204"/>
      <c r="O11" s="205"/>
    </row>
    <row r="13" spans="1:15" ht="17.25" thickBot="1"/>
    <row r="14" spans="1:15" ht="17.25" thickBot="1">
      <c r="A14" s="185" t="str">
        <f>TEXT(투자전략!$G$1, "[$-ko-KR]yyyy년 mm월 ") &amp; "실거래 월말결산"</f>
        <v>2021년 05월 실거래 월말결산</v>
      </c>
      <c r="B14" s="186"/>
      <c r="C14" s="186"/>
      <c r="D14" s="186"/>
      <c r="E14" s="186"/>
      <c r="F14" s="186"/>
      <c r="G14" s="186"/>
      <c r="H14" s="186"/>
      <c r="I14" s="186"/>
      <c r="J14" s="186"/>
      <c r="K14" s="186"/>
      <c r="L14" s="186"/>
      <c r="M14" s="186"/>
      <c r="N14" s="186"/>
      <c r="O14" s="187"/>
    </row>
    <row r="15" spans="1:15" ht="17.25" thickBot="1">
      <c r="A15" s="229" t="s">
        <v>320</v>
      </c>
      <c r="B15" s="206" t="s">
        <v>318</v>
      </c>
      <c r="C15" s="208"/>
      <c r="D15" s="206" t="s">
        <v>310</v>
      </c>
      <c r="E15" s="207"/>
      <c r="F15" s="208"/>
      <c r="G15" s="206" t="s">
        <v>311</v>
      </c>
      <c r="H15" s="207"/>
      <c r="I15" s="208"/>
      <c r="J15" s="206" t="s">
        <v>312</v>
      </c>
      <c r="K15" s="207"/>
      <c r="L15" s="208"/>
      <c r="M15" s="206" t="s">
        <v>313</v>
      </c>
      <c r="N15" s="207"/>
      <c r="O15" s="208"/>
    </row>
    <row r="16" spans="1:15" ht="17.25" thickBot="1">
      <c r="A16" s="222"/>
      <c r="B16" s="149" t="s">
        <v>308</v>
      </c>
      <c r="C16" s="149" t="s">
        <v>42</v>
      </c>
      <c r="D16" s="124" t="s">
        <v>309</v>
      </c>
      <c r="E16" s="136" t="s">
        <v>40</v>
      </c>
      <c r="F16" s="152" t="s">
        <v>41</v>
      </c>
      <c r="G16" s="124" t="s">
        <v>309</v>
      </c>
      <c r="H16" s="136" t="s">
        <v>40</v>
      </c>
      <c r="I16" s="152" t="s">
        <v>41</v>
      </c>
      <c r="J16" s="124" t="s">
        <v>309</v>
      </c>
      <c r="K16" s="136" t="s">
        <v>40</v>
      </c>
      <c r="L16" s="152" t="s">
        <v>41</v>
      </c>
      <c r="M16" s="124" t="s">
        <v>309</v>
      </c>
      <c r="N16" s="136" t="s">
        <v>40</v>
      </c>
      <c r="O16" s="152" t="s">
        <v>41</v>
      </c>
    </row>
    <row r="17" spans="1:15">
      <c r="A17" s="149">
        <v>1</v>
      </c>
      <c r="B17" s="149" t="str">
        <f>TEXT(투자전략!$G$1+0, "[$-ko-KR]yyyy.mm.dd")</f>
        <v>2021.05.01</v>
      </c>
      <c r="C17" s="137">
        <f ca="1">IFERROR(COUNTA(INDIRECT($B17&amp;"!A17:A36")) * INDIRECT($B17&amp;"!B37"), "")</f>
        <v>1500000</v>
      </c>
      <c r="D17" s="145">
        <f ca="1">IFERROR($C17 * (1 + E17), "")</f>
        <v>1537148.5592487582</v>
      </c>
      <c r="E17" s="76">
        <f ca="1">IFERROR(INDIRECT($B17&amp;"!E37"), "")</f>
        <v>2.4765706165838879E-2</v>
      </c>
      <c r="F17" s="144">
        <f ca="1">IFERROR(INDIRECT($B17&amp;"!F37"), "")</f>
        <v>37148.55924875832</v>
      </c>
      <c r="G17" s="145">
        <f ca="1">IFERROR($C17 * (1 + H17), "")</f>
        <v>1524358.7407947064</v>
      </c>
      <c r="H17" s="76">
        <f ca="1">IFERROR(INDIRECT($B17&amp;"!H37"), "")</f>
        <v>1.6239160529804193E-2</v>
      </c>
      <c r="I17" s="144">
        <f ca="1">IFERROR(INDIRECT($B17&amp;"!I37"), "")</f>
        <v>24358.740794706289</v>
      </c>
      <c r="J17" s="145">
        <f ca="1">IFERROR($C17 * (1 + K17), "")</f>
        <v>1541059.6578824846</v>
      </c>
      <c r="K17" s="76">
        <f ca="1">IFERROR(INDIRECT($B17&amp;"!K37"), "")</f>
        <v>2.7373105254989795E-2</v>
      </c>
      <c r="L17" s="144">
        <f ca="1">IFERROR(INDIRECT($B17&amp;"!L37"), "")</f>
        <v>41059.657882484695</v>
      </c>
      <c r="M17" s="145">
        <f ca="1">IFERROR($C17 * (1 + N17), "")</f>
        <v>1525524.8993430813</v>
      </c>
      <c r="N17" s="76">
        <f ca="1">IFERROR(INDIRECT($B17&amp;"!N37"), "")</f>
        <v>1.7016599562054108E-2</v>
      </c>
      <c r="O17" s="144">
        <f ca="1">IFERROR(INDIRECT($B17&amp;"!O37"), "")</f>
        <v>25524.899343081161</v>
      </c>
    </row>
    <row r="18" spans="1:15">
      <c r="A18" s="151">
        <v>2</v>
      </c>
      <c r="B18" s="151" t="str">
        <f>TEXT(투자전략!$G$1+1, "[$-ko-KR]yyyy.mm.dd")</f>
        <v>2021.05.02</v>
      </c>
      <c r="C18" s="138">
        <f t="shared" ref="C18:C47" ca="1" si="0">IFERROR(COUNTA(INDIRECT($B18&amp;"!A17:A36")) * INDIRECT($B18&amp;"!B37"), "")</f>
        <v>1500000</v>
      </c>
      <c r="D18" s="142">
        <f t="shared" ref="D18:D47" ca="1" si="1">IFERROR($C18 * (1 + E18), "")</f>
        <v>1477868.831183566</v>
      </c>
      <c r="E18" s="77">
        <f t="shared" ref="E18:E47" ca="1" si="2">IFERROR(INDIRECT($B18&amp;"!E37"), "")</f>
        <v>-1.4754112544289216E-2</v>
      </c>
      <c r="F18" s="140">
        <f t="shared" ref="F18:F47" ca="1" si="3">IFERROR(INDIRECT($B18&amp;"!F37"), "")</f>
        <v>-22131.168816433827</v>
      </c>
      <c r="G18" s="142">
        <f t="shared" ref="G18:G47" ca="1" si="4">IFERROR($C18 * (1 + H18), "")</f>
        <v>1481878.8005359648</v>
      </c>
      <c r="H18" s="77">
        <f t="shared" ref="H18:H47" ca="1" si="5">IFERROR(INDIRECT($B18&amp;"!H37"), "")</f>
        <v>-1.2080799642690102E-2</v>
      </c>
      <c r="I18" s="140">
        <f t="shared" ref="I18:I47" ca="1" si="6">IFERROR(INDIRECT($B18&amp;"!I37"), "")</f>
        <v>-18121.199464035148</v>
      </c>
      <c r="J18" s="142">
        <f t="shared" ref="J18:J47" ca="1" si="7">IFERROR($C18 * (1 + K18), "")</f>
        <v>1490013.0381251995</v>
      </c>
      <c r="K18" s="77">
        <f t="shared" ref="K18:K47" ca="1" si="8">IFERROR(INDIRECT($B18&amp;"!K37"), "")</f>
        <v>-6.6579745832004086E-3</v>
      </c>
      <c r="L18" s="140">
        <f t="shared" ref="L18:L47" ca="1" si="9">IFERROR(INDIRECT($B18&amp;"!L37"), "")</f>
        <v>-9986.9618748006123</v>
      </c>
      <c r="M18" s="142">
        <f t="shared" ref="M18:M47" ca="1" si="10">IFERROR($C18 * (1 + N18), "")</f>
        <v>1505154.0441810088</v>
      </c>
      <c r="N18" s="77">
        <f t="shared" ref="N18:N47" ca="1" si="11">IFERROR(INDIRECT($B18&amp;"!N37"), "")</f>
        <v>3.4360294540058622E-3</v>
      </c>
      <c r="O18" s="140">
        <f t="shared" ref="O18:O47" ca="1" si="12">IFERROR(INDIRECT($B18&amp;"!O37"), "")</f>
        <v>5154.0441810087932</v>
      </c>
    </row>
    <row r="19" spans="1:15">
      <c r="A19" s="151">
        <v>3</v>
      </c>
      <c r="B19" s="151" t="str">
        <f>TEXT(투자전략!$G$1+2, "[$-ko-KR]yyyy.mm.dd")</f>
        <v>2021.05.03</v>
      </c>
      <c r="C19" s="138">
        <f t="shared" ca="1" si="0"/>
        <v>1500000</v>
      </c>
      <c r="D19" s="142">
        <f t="shared" ca="1" si="1"/>
        <v>1523347.3977118272</v>
      </c>
      <c r="E19" s="77">
        <f t="shared" ca="1" si="2"/>
        <v>1.5564931807884787E-2</v>
      </c>
      <c r="F19" s="140">
        <f t="shared" ca="1" si="3"/>
        <v>23347.397711827187</v>
      </c>
      <c r="G19" s="142">
        <f t="shared" ca="1" si="4"/>
        <v>1560142.7557216759</v>
      </c>
      <c r="H19" s="77">
        <f t="shared" ca="1" si="5"/>
        <v>4.0095170481117118E-2</v>
      </c>
      <c r="I19" s="140">
        <f t="shared" ca="1" si="6"/>
        <v>60142.755721675669</v>
      </c>
      <c r="J19" s="142">
        <f t="shared" ca="1" si="7"/>
        <v>1568682.2171573569</v>
      </c>
      <c r="K19" s="77">
        <f t="shared" ca="1" si="8"/>
        <v>4.5788144771571407E-2</v>
      </c>
      <c r="L19" s="140">
        <f t="shared" ca="1" si="9"/>
        <v>68682.217157357096</v>
      </c>
      <c r="M19" s="142">
        <f t="shared" ca="1" si="10"/>
        <v>1559667.7728955552</v>
      </c>
      <c r="N19" s="77">
        <f t="shared" ca="1" si="11"/>
        <v>3.9778515263703573E-2</v>
      </c>
      <c r="O19" s="140">
        <f t="shared" ca="1" si="12"/>
        <v>59667.772895555361</v>
      </c>
    </row>
    <row r="20" spans="1:15">
      <c r="A20" s="151">
        <v>4</v>
      </c>
      <c r="B20" s="151" t="str">
        <f>TEXT(투자전략!$G$1+3, "[$-ko-KR]yyyy.mm.dd")</f>
        <v>2021.05.04</v>
      </c>
      <c r="C20" s="138">
        <f t="shared" ca="1" si="0"/>
        <v>1500000</v>
      </c>
      <c r="D20" s="142">
        <f t="shared" ca="1" si="1"/>
        <v>1447221.3062181717</v>
      </c>
      <c r="E20" s="77">
        <f t="shared" ca="1" si="2"/>
        <v>-3.5185795854552129E-2</v>
      </c>
      <c r="F20" s="140">
        <f t="shared" ca="1" si="3"/>
        <v>-52778.693781828188</v>
      </c>
      <c r="G20" s="142">
        <f t="shared" ca="1" si="4"/>
        <v>1456602.1520214851</v>
      </c>
      <c r="H20" s="77">
        <f t="shared" ca="1" si="5"/>
        <v>-2.8931898652343191E-2</v>
      </c>
      <c r="I20" s="140">
        <f t="shared" ca="1" si="6"/>
        <v>-43397.847978514787</v>
      </c>
      <c r="J20" s="142">
        <f t="shared" ca="1" si="7"/>
        <v>1443915.4672803837</v>
      </c>
      <c r="K20" s="77">
        <f t="shared" ca="1" si="8"/>
        <v>-3.7389688479744207E-2</v>
      </c>
      <c r="L20" s="140">
        <f t="shared" ca="1" si="9"/>
        <v>-56084.532719616313</v>
      </c>
      <c r="M20" s="142">
        <f t="shared" ca="1" si="10"/>
        <v>1398486.0165930653</v>
      </c>
      <c r="N20" s="77">
        <f t="shared" ca="1" si="11"/>
        <v>-6.7675988937956469E-2</v>
      </c>
      <c r="O20" s="140">
        <f t="shared" ca="1" si="12"/>
        <v>-101513.98340693471</v>
      </c>
    </row>
    <row r="21" spans="1:15">
      <c r="A21" s="151">
        <v>5</v>
      </c>
      <c r="B21" s="151" t="str">
        <f>TEXT(투자전략!$G$1+4, "[$-ko-KR]yyyy.mm.dd")</f>
        <v>2021.05.05</v>
      </c>
      <c r="C21" s="138">
        <f t="shared" ca="1" si="0"/>
        <v>3000000</v>
      </c>
      <c r="D21" s="142">
        <f t="shared" ca="1" si="1"/>
        <v>3129708.5284158271</v>
      </c>
      <c r="E21" s="77">
        <f t="shared" ca="1" si="2"/>
        <v>4.3236176138609084E-2</v>
      </c>
      <c r="F21" s="140">
        <f t="shared" ca="1" si="3"/>
        <v>129708.52841582726</v>
      </c>
      <c r="G21" s="142">
        <f t="shared" ca="1" si="4"/>
        <v>3104189.9793890109</v>
      </c>
      <c r="H21" s="77">
        <f t="shared" ca="1" si="5"/>
        <v>3.4729993129670386E-2</v>
      </c>
      <c r="I21" s="140">
        <f t="shared" ca="1" si="6"/>
        <v>104189.97938901116</v>
      </c>
      <c r="J21" s="142">
        <f t="shared" ca="1" si="7"/>
        <v>3121031.4371483638</v>
      </c>
      <c r="K21" s="77">
        <f t="shared" ca="1" si="8"/>
        <v>4.0343812382787843E-2</v>
      </c>
      <c r="L21" s="140">
        <f t="shared" ca="1" si="9"/>
        <v>121031.43714836352</v>
      </c>
      <c r="M21" s="142">
        <f t="shared" ca="1" si="10"/>
        <v>3000000</v>
      </c>
      <c r="N21" s="77">
        <f t="shared" ca="1" si="11"/>
        <v>0</v>
      </c>
      <c r="O21" s="140">
        <f t="shared" ca="1" si="12"/>
        <v>0</v>
      </c>
    </row>
    <row r="22" spans="1:15">
      <c r="A22" s="151">
        <v>6</v>
      </c>
      <c r="B22" s="151" t="str">
        <f>TEXT(투자전략!$G$1+5, "[$-ko-KR]yyyy.mm.dd")</f>
        <v>2021.05.06</v>
      </c>
      <c r="C22" s="138" t="str">
        <f t="shared" ca="1" si="0"/>
        <v/>
      </c>
      <c r="D22" s="142" t="str">
        <f t="shared" ca="1" si="1"/>
        <v/>
      </c>
      <c r="E22" s="77" t="str">
        <f t="shared" ca="1" si="2"/>
        <v/>
      </c>
      <c r="F22" s="140" t="str">
        <f t="shared" ca="1" si="3"/>
        <v/>
      </c>
      <c r="G22" s="142" t="str">
        <f t="shared" ca="1" si="4"/>
        <v/>
      </c>
      <c r="H22" s="77" t="str">
        <f t="shared" ca="1" si="5"/>
        <v/>
      </c>
      <c r="I22" s="140" t="str">
        <f t="shared" ca="1" si="6"/>
        <v/>
      </c>
      <c r="J22" s="142" t="str">
        <f t="shared" ca="1" si="7"/>
        <v/>
      </c>
      <c r="K22" s="77" t="str">
        <f t="shared" ca="1" si="8"/>
        <v/>
      </c>
      <c r="L22" s="140" t="str">
        <f t="shared" ca="1" si="9"/>
        <v/>
      </c>
      <c r="M22" s="142" t="str">
        <f t="shared" ca="1" si="10"/>
        <v/>
      </c>
      <c r="N22" s="77" t="str">
        <f t="shared" ca="1" si="11"/>
        <v/>
      </c>
      <c r="O22" s="140" t="str">
        <f t="shared" ca="1" si="12"/>
        <v/>
      </c>
    </row>
    <row r="23" spans="1:15" ht="17.25" thickBot="1">
      <c r="A23" s="150">
        <v>7</v>
      </c>
      <c r="B23" s="150" t="str">
        <f>TEXT(투자전략!$G$1+6, "[$-ko-KR]yyyy.mm.dd")</f>
        <v>2021.05.07</v>
      </c>
      <c r="C23" s="139" t="str">
        <f t="shared" ca="1" si="0"/>
        <v/>
      </c>
      <c r="D23" s="143" t="str">
        <f t="shared" ca="1" si="1"/>
        <v/>
      </c>
      <c r="E23" s="79" t="str">
        <f t="shared" ca="1" si="2"/>
        <v/>
      </c>
      <c r="F23" s="141" t="str">
        <f t="shared" ca="1" si="3"/>
        <v/>
      </c>
      <c r="G23" s="143" t="str">
        <f t="shared" ca="1" si="4"/>
        <v/>
      </c>
      <c r="H23" s="79" t="str">
        <f t="shared" ca="1" si="5"/>
        <v/>
      </c>
      <c r="I23" s="141" t="str">
        <f t="shared" ca="1" si="6"/>
        <v/>
      </c>
      <c r="J23" s="143" t="str">
        <f t="shared" ca="1" si="7"/>
        <v/>
      </c>
      <c r="K23" s="79" t="str">
        <f t="shared" ca="1" si="8"/>
        <v/>
      </c>
      <c r="L23" s="141" t="str">
        <f t="shared" ca="1" si="9"/>
        <v/>
      </c>
      <c r="M23" s="143" t="str">
        <f t="shared" ca="1" si="10"/>
        <v/>
      </c>
      <c r="N23" s="79" t="str">
        <f t="shared" ca="1" si="11"/>
        <v/>
      </c>
      <c r="O23" s="141" t="str">
        <f t="shared" ca="1" si="12"/>
        <v/>
      </c>
    </row>
    <row r="24" spans="1:15">
      <c r="A24" s="149">
        <v>8</v>
      </c>
      <c r="B24" s="149" t="str">
        <f>TEXT(투자전략!$G$1+7, "[$-ko-KR]yyyy.mm.dd")</f>
        <v>2021.05.08</v>
      </c>
      <c r="C24" s="137" t="str">
        <f t="shared" ca="1" si="0"/>
        <v/>
      </c>
      <c r="D24" s="145" t="str">
        <f t="shared" ca="1" si="1"/>
        <v/>
      </c>
      <c r="E24" s="76" t="str">
        <f t="shared" ca="1" si="2"/>
        <v/>
      </c>
      <c r="F24" s="144" t="str">
        <f t="shared" ca="1" si="3"/>
        <v/>
      </c>
      <c r="G24" s="145" t="str">
        <f t="shared" ca="1" si="4"/>
        <v/>
      </c>
      <c r="H24" s="76" t="str">
        <f t="shared" ca="1" si="5"/>
        <v/>
      </c>
      <c r="I24" s="144" t="str">
        <f t="shared" ca="1" si="6"/>
        <v/>
      </c>
      <c r="J24" s="145" t="str">
        <f t="shared" ca="1" si="7"/>
        <v/>
      </c>
      <c r="K24" s="76" t="str">
        <f t="shared" ca="1" si="8"/>
        <v/>
      </c>
      <c r="L24" s="144" t="str">
        <f t="shared" ca="1" si="9"/>
        <v/>
      </c>
      <c r="M24" s="145" t="str">
        <f t="shared" ca="1" si="10"/>
        <v/>
      </c>
      <c r="N24" s="76" t="str">
        <f t="shared" ca="1" si="11"/>
        <v/>
      </c>
      <c r="O24" s="144" t="str">
        <f t="shared" ca="1" si="12"/>
        <v/>
      </c>
    </row>
    <row r="25" spans="1:15">
      <c r="A25" s="151">
        <v>9</v>
      </c>
      <c r="B25" s="151" t="str">
        <f>TEXT(투자전략!$G$1+8, "[$-ko-KR]yyyy.mm.dd")</f>
        <v>2021.05.09</v>
      </c>
      <c r="C25" s="138" t="str">
        <f t="shared" ca="1" si="0"/>
        <v/>
      </c>
      <c r="D25" s="142" t="str">
        <f t="shared" ca="1" si="1"/>
        <v/>
      </c>
      <c r="E25" s="77" t="str">
        <f t="shared" ca="1" si="2"/>
        <v/>
      </c>
      <c r="F25" s="140" t="str">
        <f t="shared" ca="1" si="3"/>
        <v/>
      </c>
      <c r="G25" s="142" t="str">
        <f t="shared" ca="1" si="4"/>
        <v/>
      </c>
      <c r="H25" s="77" t="str">
        <f t="shared" ca="1" si="5"/>
        <v/>
      </c>
      <c r="I25" s="140" t="str">
        <f t="shared" ca="1" si="6"/>
        <v/>
      </c>
      <c r="J25" s="142" t="str">
        <f t="shared" ca="1" si="7"/>
        <v/>
      </c>
      <c r="K25" s="77" t="str">
        <f t="shared" ca="1" si="8"/>
        <v/>
      </c>
      <c r="L25" s="140" t="str">
        <f t="shared" ca="1" si="9"/>
        <v/>
      </c>
      <c r="M25" s="142" t="str">
        <f t="shared" ca="1" si="10"/>
        <v/>
      </c>
      <c r="N25" s="77" t="str">
        <f t="shared" ca="1" si="11"/>
        <v/>
      </c>
      <c r="O25" s="140" t="str">
        <f t="shared" ca="1" si="12"/>
        <v/>
      </c>
    </row>
    <row r="26" spans="1:15">
      <c r="A26" s="151">
        <v>10</v>
      </c>
      <c r="B26" s="151" t="str">
        <f>TEXT(투자전략!$G$1+9, "[$-ko-KR]yyyy.mm.dd")</f>
        <v>2021.05.10</v>
      </c>
      <c r="C26" s="138" t="str">
        <f t="shared" ca="1" si="0"/>
        <v/>
      </c>
      <c r="D26" s="142" t="str">
        <f t="shared" ca="1" si="1"/>
        <v/>
      </c>
      <c r="E26" s="77" t="str">
        <f t="shared" ca="1" si="2"/>
        <v/>
      </c>
      <c r="F26" s="140" t="str">
        <f t="shared" ca="1" si="3"/>
        <v/>
      </c>
      <c r="G26" s="142" t="str">
        <f t="shared" ca="1" si="4"/>
        <v/>
      </c>
      <c r="H26" s="77" t="str">
        <f t="shared" ca="1" si="5"/>
        <v/>
      </c>
      <c r="I26" s="140" t="str">
        <f t="shared" ca="1" si="6"/>
        <v/>
      </c>
      <c r="J26" s="142" t="str">
        <f t="shared" ca="1" si="7"/>
        <v/>
      </c>
      <c r="K26" s="77" t="str">
        <f t="shared" ca="1" si="8"/>
        <v/>
      </c>
      <c r="L26" s="140" t="str">
        <f t="shared" ca="1" si="9"/>
        <v/>
      </c>
      <c r="M26" s="142" t="str">
        <f t="shared" ca="1" si="10"/>
        <v/>
      </c>
      <c r="N26" s="77" t="str">
        <f t="shared" ca="1" si="11"/>
        <v/>
      </c>
      <c r="O26" s="140" t="str">
        <f t="shared" ca="1" si="12"/>
        <v/>
      </c>
    </row>
    <row r="27" spans="1:15">
      <c r="A27" s="151">
        <v>11</v>
      </c>
      <c r="B27" s="151" t="str">
        <f>TEXT(투자전략!$G$1+10, "[$-ko-KR]yyyy.mm.dd")</f>
        <v>2021.05.11</v>
      </c>
      <c r="C27" s="138" t="str">
        <f t="shared" ca="1" si="0"/>
        <v/>
      </c>
      <c r="D27" s="142" t="str">
        <f t="shared" ca="1" si="1"/>
        <v/>
      </c>
      <c r="E27" s="77" t="str">
        <f t="shared" ca="1" si="2"/>
        <v/>
      </c>
      <c r="F27" s="140" t="str">
        <f t="shared" ca="1" si="3"/>
        <v/>
      </c>
      <c r="G27" s="142" t="str">
        <f t="shared" ca="1" si="4"/>
        <v/>
      </c>
      <c r="H27" s="77" t="str">
        <f t="shared" ca="1" si="5"/>
        <v/>
      </c>
      <c r="I27" s="140" t="str">
        <f t="shared" ca="1" si="6"/>
        <v/>
      </c>
      <c r="J27" s="142" t="str">
        <f t="shared" ca="1" si="7"/>
        <v/>
      </c>
      <c r="K27" s="77" t="str">
        <f t="shared" ca="1" si="8"/>
        <v/>
      </c>
      <c r="L27" s="140" t="str">
        <f t="shared" ca="1" si="9"/>
        <v/>
      </c>
      <c r="M27" s="142" t="str">
        <f t="shared" ca="1" si="10"/>
        <v/>
      </c>
      <c r="N27" s="77" t="str">
        <f t="shared" ca="1" si="11"/>
        <v/>
      </c>
      <c r="O27" s="140" t="str">
        <f t="shared" ca="1" si="12"/>
        <v/>
      </c>
    </row>
    <row r="28" spans="1:15">
      <c r="A28" s="151">
        <v>12</v>
      </c>
      <c r="B28" s="151" t="str">
        <f>TEXT(투자전략!$G$1+11, "[$-ko-KR]yyyy.mm.dd")</f>
        <v>2021.05.12</v>
      </c>
      <c r="C28" s="138" t="str">
        <f t="shared" ca="1" si="0"/>
        <v/>
      </c>
      <c r="D28" s="142" t="str">
        <f t="shared" ca="1" si="1"/>
        <v/>
      </c>
      <c r="E28" s="77" t="str">
        <f t="shared" ca="1" si="2"/>
        <v/>
      </c>
      <c r="F28" s="140" t="str">
        <f t="shared" ca="1" si="3"/>
        <v/>
      </c>
      <c r="G28" s="142" t="str">
        <f t="shared" ca="1" si="4"/>
        <v/>
      </c>
      <c r="H28" s="77" t="str">
        <f t="shared" ca="1" si="5"/>
        <v/>
      </c>
      <c r="I28" s="140" t="str">
        <f t="shared" ca="1" si="6"/>
        <v/>
      </c>
      <c r="J28" s="142" t="str">
        <f t="shared" ca="1" si="7"/>
        <v/>
      </c>
      <c r="K28" s="77" t="str">
        <f t="shared" ca="1" si="8"/>
        <v/>
      </c>
      <c r="L28" s="140" t="str">
        <f t="shared" ca="1" si="9"/>
        <v/>
      </c>
      <c r="M28" s="142" t="str">
        <f t="shared" ca="1" si="10"/>
        <v/>
      </c>
      <c r="N28" s="77" t="str">
        <f t="shared" ca="1" si="11"/>
        <v/>
      </c>
      <c r="O28" s="140" t="str">
        <f t="shared" ca="1" si="12"/>
        <v/>
      </c>
    </row>
    <row r="29" spans="1:15">
      <c r="A29" s="151">
        <v>13</v>
      </c>
      <c r="B29" s="151" t="str">
        <f>TEXT(투자전략!$G$1+12, "[$-ko-KR]yyyy.mm.dd")</f>
        <v>2021.05.13</v>
      </c>
      <c r="C29" s="138" t="str">
        <f t="shared" ca="1" si="0"/>
        <v/>
      </c>
      <c r="D29" s="142" t="str">
        <f t="shared" ca="1" si="1"/>
        <v/>
      </c>
      <c r="E29" s="77" t="str">
        <f t="shared" ca="1" si="2"/>
        <v/>
      </c>
      <c r="F29" s="140" t="str">
        <f t="shared" ca="1" si="3"/>
        <v/>
      </c>
      <c r="G29" s="142" t="str">
        <f t="shared" ca="1" si="4"/>
        <v/>
      </c>
      <c r="H29" s="77" t="str">
        <f t="shared" ca="1" si="5"/>
        <v/>
      </c>
      <c r="I29" s="140" t="str">
        <f t="shared" ca="1" si="6"/>
        <v/>
      </c>
      <c r="J29" s="142" t="str">
        <f t="shared" ca="1" si="7"/>
        <v/>
      </c>
      <c r="K29" s="77" t="str">
        <f t="shared" ca="1" si="8"/>
        <v/>
      </c>
      <c r="L29" s="140" t="str">
        <f t="shared" ca="1" si="9"/>
        <v/>
      </c>
      <c r="M29" s="142" t="str">
        <f t="shared" ca="1" si="10"/>
        <v/>
      </c>
      <c r="N29" s="77" t="str">
        <f t="shared" ca="1" si="11"/>
        <v/>
      </c>
      <c r="O29" s="140" t="str">
        <f t="shared" ca="1" si="12"/>
        <v/>
      </c>
    </row>
    <row r="30" spans="1:15" ht="17.25" thickBot="1">
      <c r="A30" s="150">
        <v>14</v>
      </c>
      <c r="B30" s="150" t="str">
        <f>TEXT(투자전략!$G$1+13, "[$-ko-KR]yyyy.mm.dd")</f>
        <v>2021.05.14</v>
      </c>
      <c r="C30" s="139" t="str">
        <f t="shared" ca="1" si="0"/>
        <v/>
      </c>
      <c r="D30" s="143" t="str">
        <f t="shared" ca="1" si="1"/>
        <v/>
      </c>
      <c r="E30" s="79" t="str">
        <f t="shared" ca="1" si="2"/>
        <v/>
      </c>
      <c r="F30" s="141" t="str">
        <f t="shared" ca="1" si="3"/>
        <v/>
      </c>
      <c r="G30" s="143" t="str">
        <f t="shared" ca="1" si="4"/>
        <v/>
      </c>
      <c r="H30" s="79" t="str">
        <f t="shared" ca="1" si="5"/>
        <v/>
      </c>
      <c r="I30" s="141" t="str">
        <f t="shared" ca="1" si="6"/>
        <v/>
      </c>
      <c r="J30" s="143" t="str">
        <f t="shared" ca="1" si="7"/>
        <v/>
      </c>
      <c r="K30" s="79" t="str">
        <f t="shared" ca="1" si="8"/>
        <v/>
      </c>
      <c r="L30" s="141" t="str">
        <f t="shared" ca="1" si="9"/>
        <v/>
      </c>
      <c r="M30" s="143" t="str">
        <f t="shared" ca="1" si="10"/>
        <v/>
      </c>
      <c r="N30" s="79" t="str">
        <f t="shared" ca="1" si="11"/>
        <v/>
      </c>
      <c r="O30" s="141" t="str">
        <f t="shared" ca="1" si="12"/>
        <v/>
      </c>
    </row>
    <row r="31" spans="1:15">
      <c r="A31" s="149">
        <v>15</v>
      </c>
      <c r="B31" s="149" t="str">
        <f>TEXT(투자전략!$G$1+14, "[$-ko-KR]yyyy.mm.dd")</f>
        <v>2021.05.15</v>
      </c>
      <c r="C31" s="137" t="str">
        <f t="shared" ca="1" si="0"/>
        <v/>
      </c>
      <c r="D31" s="145" t="str">
        <f t="shared" ca="1" si="1"/>
        <v/>
      </c>
      <c r="E31" s="76" t="str">
        <f t="shared" ca="1" si="2"/>
        <v/>
      </c>
      <c r="F31" s="144" t="str">
        <f t="shared" ca="1" si="3"/>
        <v/>
      </c>
      <c r="G31" s="145" t="str">
        <f t="shared" ca="1" si="4"/>
        <v/>
      </c>
      <c r="H31" s="76" t="str">
        <f t="shared" ca="1" si="5"/>
        <v/>
      </c>
      <c r="I31" s="144" t="str">
        <f t="shared" ca="1" si="6"/>
        <v/>
      </c>
      <c r="J31" s="145" t="str">
        <f t="shared" ca="1" si="7"/>
        <v/>
      </c>
      <c r="K31" s="76" t="str">
        <f t="shared" ca="1" si="8"/>
        <v/>
      </c>
      <c r="L31" s="144" t="str">
        <f t="shared" ca="1" si="9"/>
        <v/>
      </c>
      <c r="M31" s="145" t="str">
        <f t="shared" ca="1" si="10"/>
        <v/>
      </c>
      <c r="N31" s="76" t="str">
        <f t="shared" ca="1" si="11"/>
        <v/>
      </c>
      <c r="O31" s="144" t="str">
        <f t="shared" ca="1" si="12"/>
        <v/>
      </c>
    </row>
    <row r="32" spans="1:15">
      <c r="A32" s="151">
        <v>16</v>
      </c>
      <c r="B32" s="151" t="str">
        <f>TEXT(투자전략!$G$1+15, "[$-ko-KR]yyyy.mm.dd")</f>
        <v>2021.05.16</v>
      </c>
      <c r="C32" s="138" t="str">
        <f t="shared" ca="1" si="0"/>
        <v/>
      </c>
      <c r="D32" s="142" t="str">
        <f t="shared" ca="1" si="1"/>
        <v/>
      </c>
      <c r="E32" s="77" t="str">
        <f t="shared" ca="1" si="2"/>
        <v/>
      </c>
      <c r="F32" s="140" t="str">
        <f t="shared" ca="1" si="3"/>
        <v/>
      </c>
      <c r="G32" s="142" t="str">
        <f t="shared" ca="1" si="4"/>
        <v/>
      </c>
      <c r="H32" s="77" t="str">
        <f t="shared" ca="1" si="5"/>
        <v/>
      </c>
      <c r="I32" s="140" t="str">
        <f t="shared" ca="1" si="6"/>
        <v/>
      </c>
      <c r="J32" s="142" t="str">
        <f t="shared" ca="1" si="7"/>
        <v/>
      </c>
      <c r="K32" s="77" t="str">
        <f t="shared" ca="1" si="8"/>
        <v/>
      </c>
      <c r="L32" s="140" t="str">
        <f t="shared" ca="1" si="9"/>
        <v/>
      </c>
      <c r="M32" s="142" t="str">
        <f t="shared" ca="1" si="10"/>
        <v/>
      </c>
      <c r="N32" s="77" t="str">
        <f t="shared" ca="1" si="11"/>
        <v/>
      </c>
      <c r="O32" s="140" t="str">
        <f t="shared" ca="1" si="12"/>
        <v/>
      </c>
    </row>
    <row r="33" spans="1:15">
      <c r="A33" s="151">
        <v>17</v>
      </c>
      <c r="B33" s="151" t="str">
        <f>TEXT(투자전략!$G$1+16, "[$-ko-KR]yyyy.mm.dd")</f>
        <v>2021.05.17</v>
      </c>
      <c r="C33" s="138" t="str">
        <f t="shared" ca="1" si="0"/>
        <v/>
      </c>
      <c r="D33" s="142" t="str">
        <f t="shared" ca="1" si="1"/>
        <v/>
      </c>
      <c r="E33" s="77" t="str">
        <f t="shared" ca="1" si="2"/>
        <v/>
      </c>
      <c r="F33" s="140" t="str">
        <f t="shared" ca="1" si="3"/>
        <v/>
      </c>
      <c r="G33" s="142" t="str">
        <f t="shared" ca="1" si="4"/>
        <v/>
      </c>
      <c r="H33" s="77" t="str">
        <f t="shared" ca="1" si="5"/>
        <v/>
      </c>
      <c r="I33" s="140" t="str">
        <f t="shared" ca="1" si="6"/>
        <v/>
      </c>
      <c r="J33" s="142" t="str">
        <f t="shared" ca="1" si="7"/>
        <v/>
      </c>
      <c r="K33" s="77" t="str">
        <f t="shared" ca="1" si="8"/>
        <v/>
      </c>
      <c r="L33" s="140" t="str">
        <f t="shared" ca="1" si="9"/>
        <v/>
      </c>
      <c r="M33" s="142" t="str">
        <f t="shared" ca="1" si="10"/>
        <v/>
      </c>
      <c r="N33" s="77" t="str">
        <f t="shared" ca="1" si="11"/>
        <v/>
      </c>
      <c r="O33" s="140" t="str">
        <f t="shared" ca="1" si="12"/>
        <v/>
      </c>
    </row>
    <row r="34" spans="1:15">
      <c r="A34" s="151">
        <v>18</v>
      </c>
      <c r="B34" s="151" t="str">
        <f>TEXT(투자전략!$G$1+17, "[$-ko-KR]yyyy.mm.dd")</f>
        <v>2021.05.18</v>
      </c>
      <c r="C34" s="138" t="str">
        <f t="shared" ca="1" si="0"/>
        <v/>
      </c>
      <c r="D34" s="142" t="str">
        <f t="shared" ca="1" si="1"/>
        <v/>
      </c>
      <c r="E34" s="77" t="str">
        <f t="shared" ca="1" si="2"/>
        <v/>
      </c>
      <c r="F34" s="140" t="str">
        <f t="shared" ca="1" si="3"/>
        <v/>
      </c>
      <c r="G34" s="142" t="str">
        <f t="shared" ca="1" si="4"/>
        <v/>
      </c>
      <c r="H34" s="77" t="str">
        <f t="shared" ca="1" si="5"/>
        <v/>
      </c>
      <c r="I34" s="140" t="str">
        <f t="shared" ca="1" si="6"/>
        <v/>
      </c>
      <c r="J34" s="142" t="str">
        <f t="shared" ca="1" si="7"/>
        <v/>
      </c>
      <c r="K34" s="77" t="str">
        <f t="shared" ca="1" si="8"/>
        <v/>
      </c>
      <c r="L34" s="140" t="str">
        <f t="shared" ca="1" si="9"/>
        <v/>
      </c>
      <c r="M34" s="142" t="str">
        <f t="shared" ca="1" si="10"/>
        <v/>
      </c>
      <c r="N34" s="77" t="str">
        <f t="shared" ca="1" si="11"/>
        <v/>
      </c>
      <c r="O34" s="140" t="str">
        <f t="shared" ca="1" si="12"/>
        <v/>
      </c>
    </row>
    <row r="35" spans="1:15">
      <c r="A35" s="151">
        <v>19</v>
      </c>
      <c r="B35" s="151" t="str">
        <f>TEXT(투자전략!$G$1+18, "[$-ko-KR]yyyy.mm.dd")</f>
        <v>2021.05.19</v>
      </c>
      <c r="C35" s="138" t="str">
        <f t="shared" ca="1" si="0"/>
        <v/>
      </c>
      <c r="D35" s="142" t="str">
        <f t="shared" ca="1" si="1"/>
        <v/>
      </c>
      <c r="E35" s="77" t="str">
        <f t="shared" ca="1" si="2"/>
        <v/>
      </c>
      <c r="F35" s="140" t="str">
        <f t="shared" ca="1" si="3"/>
        <v/>
      </c>
      <c r="G35" s="142" t="str">
        <f t="shared" ca="1" si="4"/>
        <v/>
      </c>
      <c r="H35" s="77" t="str">
        <f t="shared" ca="1" si="5"/>
        <v/>
      </c>
      <c r="I35" s="140" t="str">
        <f t="shared" ca="1" si="6"/>
        <v/>
      </c>
      <c r="J35" s="142" t="str">
        <f t="shared" ca="1" si="7"/>
        <v/>
      </c>
      <c r="K35" s="77" t="str">
        <f t="shared" ca="1" si="8"/>
        <v/>
      </c>
      <c r="L35" s="140" t="str">
        <f t="shared" ca="1" si="9"/>
        <v/>
      </c>
      <c r="M35" s="142" t="str">
        <f t="shared" ca="1" si="10"/>
        <v/>
      </c>
      <c r="N35" s="77" t="str">
        <f t="shared" ca="1" si="11"/>
        <v/>
      </c>
      <c r="O35" s="140" t="str">
        <f t="shared" ca="1" si="12"/>
        <v/>
      </c>
    </row>
    <row r="36" spans="1:15">
      <c r="A36" s="151">
        <v>20</v>
      </c>
      <c r="B36" s="151" t="str">
        <f>TEXT(투자전략!$G$1+19, "[$-ko-KR]yyyy.mm.dd")</f>
        <v>2021.05.20</v>
      </c>
      <c r="C36" s="138" t="str">
        <f t="shared" ca="1" si="0"/>
        <v/>
      </c>
      <c r="D36" s="142" t="str">
        <f t="shared" ca="1" si="1"/>
        <v/>
      </c>
      <c r="E36" s="77" t="str">
        <f t="shared" ca="1" si="2"/>
        <v/>
      </c>
      <c r="F36" s="140" t="str">
        <f t="shared" ca="1" si="3"/>
        <v/>
      </c>
      <c r="G36" s="142" t="str">
        <f t="shared" ca="1" si="4"/>
        <v/>
      </c>
      <c r="H36" s="77" t="str">
        <f t="shared" ca="1" si="5"/>
        <v/>
      </c>
      <c r="I36" s="140" t="str">
        <f t="shared" ca="1" si="6"/>
        <v/>
      </c>
      <c r="J36" s="142" t="str">
        <f t="shared" ca="1" si="7"/>
        <v/>
      </c>
      <c r="K36" s="77" t="str">
        <f t="shared" ca="1" si="8"/>
        <v/>
      </c>
      <c r="L36" s="140" t="str">
        <f t="shared" ca="1" si="9"/>
        <v/>
      </c>
      <c r="M36" s="142" t="str">
        <f t="shared" ca="1" si="10"/>
        <v/>
      </c>
      <c r="N36" s="77" t="str">
        <f t="shared" ca="1" si="11"/>
        <v/>
      </c>
      <c r="O36" s="140" t="str">
        <f t="shared" ca="1" si="12"/>
        <v/>
      </c>
    </row>
    <row r="37" spans="1:15" ht="17.25" thickBot="1">
      <c r="A37" s="150">
        <v>21</v>
      </c>
      <c r="B37" s="150" t="str">
        <f>TEXT(투자전략!$G$1+20, "[$-ko-KR]yyyy.mm.dd")</f>
        <v>2021.05.21</v>
      </c>
      <c r="C37" s="139" t="str">
        <f t="shared" ca="1" si="0"/>
        <v/>
      </c>
      <c r="D37" s="143" t="str">
        <f t="shared" ca="1" si="1"/>
        <v/>
      </c>
      <c r="E37" s="79" t="str">
        <f t="shared" ca="1" si="2"/>
        <v/>
      </c>
      <c r="F37" s="141" t="str">
        <f t="shared" ca="1" si="3"/>
        <v/>
      </c>
      <c r="G37" s="143" t="str">
        <f t="shared" ca="1" si="4"/>
        <v/>
      </c>
      <c r="H37" s="79" t="str">
        <f t="shared" ca="1" si="5"/>
        <v/>
      </c>
      <c r="I37" s="141" t="str">
        <f t="shared" ca="1" si="6"/>
        <v/>
      </c>
      <c r="J37" s="143" t="str">
        <f t="shared" ca="1" si="7"/>
        <v/>
      </c>
      <c r="K37" s="79" t="str">
        <f t="shared" ca="1" si="8"/>
        <v/>
      </c>
      <c r="L37" s="141" t="str">
        <f t="shared" ca="1" si="9"/>
        <v/>
      </c>
      <c r="M37" s="143" t="str">
        <f t="shared" ca="1" si="10"/>
        <v/>
      </c>
      <c r="N37" s="79" t="str">
        <f t="shared" ca="1" si="11"/>
        <v/>
      </c>
      <c r="O37" s="141" t="str">
        <f t="shared" ca="1" si="12"/>
        <v/>
      </c>
    </row>
    <row r="38" spans="1:15">
      <c r="A38" s="149">
        <v>22</v>
      </c>
      <c r="B38" s="149" t="str">
        <f>TEXT(투자전략!$G$1+21, "[$-ko-KR]yyyy.mm.dd")</f>
        <v>2021.05.22</v>
      </c>
      <c r="C38" s="137" t="str">
        <f t="shared" ca="1" si="0"/>
        <v/>
      </c>
      <c r="D38" s="145" t="str">
        <f t="shared" ca="1" si="1"/>
        <v/>
      </c>
      <c r="E38" s="76" t="str">
        <f t="shared" ca="1" si="2"/>
        <v/>
      </c>
      <c r="F38" s="144" t="str">
        <f t="shared" ca="1" si="3"/>
        <v/>
      </c>
      <c r="G38" s="145" t="str">
        <f t="shared" ca="1" si="4"/>
        <v/>
      </c>
      <c r="H38" s="76" t="str">
        <f t="shared" ca="1" si="5"/>
        <v/>
      </c>
      <c r="I38" s="144" t="str">
        <f t="shared" ca="1" si="6"/>
        <v/>
      </c>
      <c r="J38" s="145" t="str">
        <f t="shared" ca="1" si="7"/>
        <v/>
      </c>
      <c r="K38" s="76" t="str">
        <f t="shared" ca="1" si="8"/>
        <v/>
      </c>
      <c r="L38" s="144" t="str">
        <f t="shared" ca="1" si="9"/>
        <v/>
      </c>
      <c r="M38" s="145" t="str">
        <f t="shared" ca="1" si="10"/>
        <v/>
      </c>
      <c r="N38" s="76" t="str">
        <f t="shared" ca="1" si="11"/>
        <v/>
      </c>
      <c r="O38" s="144" t="str">
        <f t="shared" ca="1" si="12"/>
        <v/>
      </c>
    </row>
    <row r="39" spans="1:15">
      <c r="A39" s="151">
        <v>23</v>
      </c>
      <c r="B39" s="151" t="str">
        <f>TEXT(투자전략!$G$1+22, "[$-ko-KR]yyyy.mm.dd")</f>
        <v>2021.05.23</v>
      </c>
      <c r="C39" s="138" t="str">
        <f t="shared" ca="1" si="0"/>
        <v/>
      </c>
      <c r="D39" s="142" t="str">
        <f t="shared" ca="1" si="1"/>
        <v/>
      </c>
      <c r="E39" s="77" t="str">
        <f t="shared" ca="1" si="2"/>
        <v/>
      </c>
      <c r="F39" s="140" t="str">
        <f t="shared" ca="1" si="3"/>
        <v/>
      </c>
      <c r="G39" s="142" t="str">
        <f t="shared" ca="1" si="4"/>
        <v/>
      </c>
      <c r="H39" s="77" t="str">
        <f t="shared" ca="1" si="5"/>
        <v/>
      </c>
      <c r="I39" s="140" t="str">
        <f t="shared" ca="1" si="6"/>
        <v/>
      </c>
      <c r="J39" s="142" t="str">
        <f t="shared" ca="1" si="7"/>
        <v/>
      </c>
      <c r="K39" s="77" t="str">
        <f t="shared" ca="1" si="8"/>
        <v/>
      </c>
      <c r="L39" s="140" t="str">
        <f t="shared" ca="1" si="9"/>
        <v/>
      </c>
      <c r="M39" s="142" t="str">
        <f t="shared" ca="1" si="10"/>
        <v/>
      </c>
      <c r="N39" s="77" t="str">
        <f t="shared" ca="1" si="11"/>
        <v/>
      </c>
      <c r="O39" s="140" t="str">
        <f t="shared" ca="1" si="12"/>
        <v/>
      </c>
    </row>
    <row r="40" spans="1:15">
      <c r="A40" s="151">
        <v>24</v>
      </c>
      <c r="B40" s="151" t="str">
        <f>TEXT(투자전략!$G$1+23, "[$-ko-KR]yyyy.mm.dd")</f>
        <v>2021.05.24</v>
      </c>
      <c r="C40" s="138" t="str">
        <f t="shared" ca="1" si="0"/>
        <v/>
      </c>
      <c r="D40" s="142" t="str">
        <f t="shared" ca="1" si="1"/>
        <v/>
      </c>
      <c r="E40" s="77" t="str">
        <f t="shared" ca="1" si="2"/>
        <v/>
      </c>
      <c r="F40" s="140" t="str">
        <f t="shared" ca="1" si="3"/>
        <v/>
      </c>
      <c r="G40" s="142" t="str">
        <f t="shared" ca="1" si="4"/>
        <v/>
      </c>
      <c r="H40" s="77" t="str">
        <f t="shared" ca="1" si="5"/>
        <v/>
      </c>
      <c r="I40" s="140" t="str">
        <f t="shared" ca="1" si="6"/>
        <v/>
      </c>
      <c r="J40" s="142" t="str">
        <f t="shared" ca="1" si="7"/>
        <v/>
      </c>
      <c r="K40" s="77" t="str">
        <f t="shared" ca="1" si="8"/>
        <v/>
      </c>
      <c r="L40" s="140" t="str">
        <f t="shared" ca="1" si="9"/>
        <v/>
      </c>
      <c r="M40" s="142" t="str">
        <f t="shared" ca="1" si="10"/>
        <v/>
      </c>
      <c r="N40" s="77" t="str">
        <f t="shared" ca="1" si="11"/>
        <v/>
      </c>
      <c r="O40" s="140" t="str">
        <f t="shared" ca="1" si="12"/>
        <v/>
      </c>
    </row>
    <row r="41" spans="1:15">
      <c r="A41" s="151">
        <v>25</v>
      </c>
      <c r="B41" s="151" t="str">
        <f>TEXT(투자전략!$G$1+24, "[$-ko-KR]yyyy.mm.dd")</f>
        <v>2021.05.25</v>
      </c>
      <c r="C41" s="138" t="str">
        <f t="shared" ca="1" si="0"/>
        <v/>
      </c>
      <c r="D41" s="142" t="str">
        <f t="shared" ca="1" si="1"/>
        <v/>
      </c>
      <c r="E41" s="77" t="str">
        <f t="shared" ca="1" si="2"/>
        <v/>
      </c>
      <c r="F41" s="140" t="str">
        <f t="shared" ca="1" si="3"/>
        <v/>
      </c>
      <c r="G41" s="142" t="str">
        <f t="shared" ca="1" si="4"/>
        <v/>
      </c>
      <c r="H41" s="77" t="str">
        <f t="shared" ca="1" si="5"/>
        <v/>
      </c>
      <c r="I41" s="140" t="str">
        <f t="shared" ca="1" si="6"/>
        <v/>
      </c>
      <c r="J41" s="142" t="str">
        <f t="shared" ca="1" si="7"/>
        <v/>
      </c>
      <c r="K41" s="77" t="str">
        <f t="shared" ca="1" si="8"/>
        <v/>
      </c>
      <c r="L41" s="140" t="str">
        <f t="shared" ca="1" si="9"/>
        <v/>
      </c>
      <c r="M41" s="142" t="str">
        <f t="shared" ca="1" si="10"/>
        <v/>
      </c>
      <c r="N41" s="77" t="str">
        <f t="shared" ca="1" si="11"/>
        <v/>
      </c>
      <c r="O41" s="140" t="str">
        <f t="shared" ca="1" si="12"/>
        <v/>
      </c>
    </row>
    <row r="42" spans="1:15">
      <c r="A42" s="151">
        <v>26</v>
      </c>
      <c r="B42" s="151" t="str">
        <f>TEXT(투자전략!$G$1+25, "[$-ko-KR]yyyy.mm.dd")</f>
        <v>2021.05.26</v>
      </c>
      <c r="C42" s="138" t="str">
        <f t="shared" ca="1" si="0"/>
        <v/>
      </c>
      <c r="D42" s="142" t="str">
        <f t="shared" ca="1" si="1"/>
        <v/>
      </c>
      <c r="E42" s="77" t="str">
        <f t="shared" ca="1" si="2"/>
        <v/>
      </c>
      <c r="F42" s="140" t="str">
        <f t="shared" ca="1" si="3"/>
        <v/>
      </c>
      <c r="G42" s="142" t="str">
        <f t="shared" ca="1" si="4"/>
        <v/>
      </c>
      <c r="H42" s="77" t="str">
        <f t="shared" ca="1" si="5"/>
        <v/>
      </c>
      <c r="I42" s="140" t="str">
        <f t="shared" ca="1" si="6"/>
        <v/>
      </c>
      <c r="J42" s="142" t="str">
        <f t="shared" ca="1" si="7"/>
        <v/>
      </c>
      <c r="K42" s="77" t="str">
        <f t="shared" ca="1" si="8"/>
        <v/>
      </c>
      <c r="L42" s="140" t="str">
        <f t="shared" ca="1" si="9"/>
        <v/>
      </c>
      <c r="M42" s="142" t="str">
        <f t="shared" ca="1" si="10"/>
        <v/>
      </c>
      <c r="N42" s="77" t="str">
        <f t="shared" ca="1" si="11"/>
        <v/>
      </c>
      <c r="O42" s="140" t="str">
        <f t="shared" ca="1" si="12"/>
        <v/>
      </c>
    </row>
    <row r="43" spans="1:15">
      <c r="A43" s="151">
        <v>27</v>
      </c>
      <c r="B43" s="151" t="str">
        <f>TEXT(투자전략!$G$1+26, "[$-ko-KR]yyyy.mm.dd")</f>
        <v>2021.05.27</v>
      </c>
      <c r="C43" s="138" t="str">
        <f t="shared" ca="1" si="0"/>
        <v/>
      </c>
      <c r="D43" s="142" t="str">
        <f t="shared" ca="1" si="1"/>
        <v/>
      </c>
      <c r="E43" s="77" t="str">
        <f t="shared" ca="1" si="2"/>
        <v/>
      </c>
      <c r="F43" s="140" t="str">
        <f t="shared" ca="1" si="3"/>
        <v/>
      </c>
      <c r="G43" s="142" t="str">
        <f t="shared" ca="1" si="4"/>
        <v/>
      </c>
      <c r="H43" s="77" t="str">
        <f t="shared" ca="1" si="5"/>
        <v/>
      </c>
      <c r="I43" s="140" t="str">
        <f t="shared" ca="1" si="6"/>
        <v/>
      </c>
      <c r="J43" s="142" t="str">
        <f t="shared" ca="1" si="7"/>
        <v/>
      </c>
      <c r="K43" s="77" t="str">
        <f t="shared" ca="1" si="8"/>
        <v/>
      </c>
      <c r="L43" s="140" t="str">
        <f t="shared" ca="1" si="9"/>
        <v/>
      </c>
      <c r="M43" s="142" t="str">
        <f t="shared" ca="1" si="10"/>
        <v/>
      </c>
      <c r="N43" s="77" t="str">
        <f t="shared" ca="1" si="11"/>
        <v/>
      </c>
      <c r="O43" s="140" t="str">
        <f t="shared" ca="1" si="12"/>
        <v/>
      </c>
    </row>
    <row r="44" spans="1:15" ht="17.25" thickBot="1">
      <c r="A44" s="150">
        <v>28</v>
      </c>
      <c r="B44" s="150" t="str">
        <f>TEXT(투자전략!$G$1+27, "[$-ko-KR]yyyy.mm.dd")</f>
        <v>2021.05.28</v>
      </c>
      <c r="C44" s="139" t="str">
        <f t="shared" ca="1" si="0"/>
        <v/>
      </c>
      <c r="D44" s="143" t="str">
        <f t="shared" ca="1" si="1"/>
        <v/>
      </c>
      <c r="E44" s="79" t="str">
        <f t="shared" ca="1" si="2"/>
        <v/>
      </c>
      <c r="F44" s="141" t="str">
        <f t="shared" ca="1" si="3"/>
        <v/>
      </c>
      <c r="G44" s="143" t="str">
        <f t="shared" ca="1" si="4"/>
        <v/>
      </c>
      <c r="H44" s="79" t="str">
        <f t="shared" ca="1" si="5"/>
        <v/>
      </c>
      <c r="I44" s="141" t="str">
        <f t="shared" ca="1" si="6"/>
        <v/>
      </c>
      <c r="J44" s="143" t="str">
        <f t="shared" ca="1" si="7"/>
        <v/>
      </c>
      <c r="K44" s="79" t="str">
        <f t="shared" ca="1" si="8"/>
        <v/>
      </c>
      <c r="L44" s="141" t="str">
        <f t="shared" ca="1" si="9"/>
        <v/>
      </c>
      <c r="M44" s="143" t="str">
        <f t="shared" ca="1" si="10"/>
        <v/>
      </c>
      <c r="N44" s="79" t="str">
        <f t="shared" ca="1" si="11"/>
        <v/>
      </c>
      <c r="O44" s="141" t="str">
        <f t="shared" ca="1" si="12"/>
        <v/>
      </c>
    </row>
    <row r="45" spans="1:15">
      <c r="A45" s="124">
        <v>29</v>
      </c>
      <c r="B45" s="149" t="str">
        <f>TEXT(투자전략!$G$1+28, "[$-ko-KR]yyyy.mm.dd")</f>
        <v>2021.05.29</v>
      </c>
      <c r="C45" s="138" t="str">
        <f t="shared" ca="1" si="0"/>
        <v/>
      </c>
      <c r="D45" s="142" t="str">
        <f t="shared" ca="1" si="1"/>
        <v/>
      </c>
      <c r="E45" s="77" t="str">
        <f t="shared" ca="1" si="2"/>
        <v/>
      </c>
      <c r="F45" s="140" t="str">
        <f t="shared" ca="1" si="3"/>
        <v/>
      </c>
      <c r="G45" s="142" t="str">
        <f t="shared" ca="1" si="4"/>
        <v/>
      </c>
      <c r="H45" s="77" t="str">
        <f t="shared" ca="1" si="5"/>
        <v/>
      </c>
      <c r="I45" s="140" t="str">
        <f t="shared" ca="1" si="6"/>
        <v/>
      </c>
      <c r="J45" s="142" t="str">
        <f t="shared" ca="1" si="7"/>
        <v/>
      </c>
      <c r="K45" s="77" t="str">
        <f t="shared" ca="1" si="8"/>
        <v/>
      </c>
      <c r="L45" s="140" t="str">
        <f t="shared" ca="1" si="9"/>
        <v/>
      </c>
      <c r="M45" s="142" t="str">
        <f t="shared" ca="1" si="10"/>
        <v/>
      </c>
      <c r="N45" s="77" t="str">
        <f t="shared" ca="1" si="11"/>
        <v/>
      </c>
      <c r="O45" s="140" t="str">
        <f t="shared" ca="1" si="12"/>
        <v/>
      </c>
    </row>
    <row r="46" spans="1:15">
      <c r="A46" s="124">
        <v>30</v>
      </c>
      <c r="B46" s="151" t="str">
        <f>TEXT(투자전략!$G$1+29, "[$-ko-KR]yyyy.mm.dd")</f>
        <v>2021.05.30</v>
      </c>
      <c r="C46" s="138" t="str">
        <f t="shared" ca="1" si="0"/>
        <v/>
      </c>
      <c r="D46" s="142" t="str">
        <f t="shared" ca="1" si="1"/>
        <v/>
      </c>
      <c r="E46" s="77" t="str">
        <f t="shared" ca="1" si="2"/>
        <v/>
      </c>
      <c r="F46" s="140" t="str">
        <f t="shared" ca="1" si="3"/>
        <v/>
      </c>
      <c r="G46" s="142" t="str">
        <f t="shared" ca="1" si="4"/>
        <v/>
      </c>
      <c r="H46" s="77" t="str">
        <f t="shared" ca="1" si="5"/>
        <v/>
      </c>
      <c r="I46" s="140" t="str">
        <f t="shared" ca="1" si="6"/>
        <v/>
      </c>
      <c r="J46" s="142" t="str">
        <f t="shared" ca="1" si="7"/>
        <v/>
      </c>
      <c r="K46" s="77" t="str">
        <f t="shared" ca="1" si="8"/>
        <v/>
      </c>
      <c r="L46" s="140" t="str">
        <f t="shared" ca="1" si="9"/>
        <v/>
      </c>
      <c r="M46" s="142" t="str">
        <f t="shared" ca="1" si="10"/>
        <v/>
      </c>
      <c r="N46" s="77" t="str">
        <f t="shared" ca="1" si="11"/>
        <v/>
      </c>
      <c r="O46" s="140" t="str">
        <f t="shared" ca="1" si="12"/>
        <v/>
      </c>
    </row>
    <row r="47" spans="1:15" ht="17.25" thickBot="1">
      <c r="A47" s="124">
        <v>31</v>
      </c>
      <c r="B47" s="151" t="str">
        <f>TEXT(투자전략!$G$1+30, "[$-ko-KR]yyyy.mm.dd")</f>
        <v>2021.05.31</v>
      </c>
      <c r="C47" s="138" t="str">
        <f t="shared" ca="1" si="0"/>
        <v/>
      </c>
      <c r="D47" s="142" t="str">
        <f t="shared" ca="1" si="1"/>
        <v/>
      </c>
      <c r="E47" s="77" t="str">
        <f t="shared" ca="1" si="2"/>
        <v/>
      </c>
      <c r="F47" s="140" t="str">
        <f t="shared" ca="1" si="3"/>
        <v/>
      </c>
      <c r="G47" s="142" t="str">
        <f t="shared" ca="1" si="4"/>
        <v/>
      </c>
      <c r="H47" s="77" t="str">
        <f t="shared" ca="1" si="5"/>
        <v/>
      </c>
      <c r="I47" s="140" t="str">
        <f t="shared" ca="1" si="6"/>
        <v/>
      </c>
      <c r="J47" s="142" t="str">
        <f t="shared" ca="1" si="7"/>
        <v/>
      </c>
      <c r="K47" s="77" t="str">
        <f t="shared" ca="1" si="8"/>
        <v/>
      </c>
      <c r="L47" s="140" t="str">
        <f t="shared" ca="1" si="9"/>
        <v/>
      </c>
      <c r="M47" s="142" t="str">
        <f t="shared" ca="1" si="10"/>
        <v/>
      </c>
      <c r="N47" s="77" t="str">
        <f t="shared" ca="1" si="11"/>
        <v/>
      </c>
      <c r="O47" s="140" t="str">
        <f t="shared" ca="1" si="12"/>
        <v/>
      </c>
    </row>
    <row r="48" spans="1:15" ht="17.25" thickBot="1">
      <c r="A48" s="213" t="s">
        <v>319</v>
      </c>
      <c r="B48" s="215"/>
      <c r="C48" s="135" t="s">
        <v>314</v>
      </c>
      <c r="D48" s="146" t="s">
        <v>315</v>
      </c>
      <c r="E48" s="147" t="s">
        <v>316</v>
      </c>
      <c r="F48" s="148" t="s">
        <v>317</v>
      </c>
      <c r="G48" s="146" t="s">
        <v>315</v>
      </c>
      <c r="H48" s="147" t="s">
        <v>316</v>
      </c>
      <c r="I48" s="148" t="s">
        <v>317</v>
      </c>
      <c r="J48" s="146" t="s">
        <v>315</v>
      </c>
      <c r="K48" s="147" t="s">
        <v>316</v>
      </c>
      <c r="L48" s="148" t="s">
        <v>317</v>
      </c>
      <c r="M48" s="146" t="s">
        <v>315</v>
      </c>
      <c r="N48" s="147" t="s">
        <v>316</v>
      </c>
      <c r="O48" s="148" t="s">
        <v>317</v>
      </c>
    </row>
    <row r="49" spans="1:15" ht="17.25" thickBot="1">
      <c r="A49" s="206"/>
      <c r="B49" s="208"/>
      <c r="C49" s="139">
        <f ca="1">SUM(C17:C47)</f>
        <v>9000000</v>
      </c>
      <c r="D49" s="143">
        <f ca="1">SUM(D17:D47)</f>
        <v>9115294.6227781512</v>
      </c>
      <c r="E49" s="79">
        <f ca="1">IFERROR(F49 / (SUM($C17:$C47) / COUNT($C17:$C47)), 0)</f>
        <v>6.4052568210083746E-2</v>
      </c>
      <c r="F49" s="141">
        <f ca="1">SUM(F17:F47)</f>
        <v>115294.62277815075</v>
      </c>
      <c r="G49" s="143">
        <f ca="1">SUM(G17:G47)</f>
        <v>9127172.4284628443</v>
      </c>
      <c r="H49" s="79">
        <f ca="1">IFERROR(I49 / (SUM($C17:$C47) / COUNT($C17:$C47)), 0)</f>
        <v>7.0651349146023987E-2</v>
      </c>
      <c r="I49" s="141">
        <f ca="1">SUM(I17:I47)</f>
        <v>127172.42846284318</v>
      </c>
      <c r="J49" s="143">
        <f ca="1">SUM(J17:J47)</f>
        <v>9164701.8175937887</v>
      </c>
      <c r="K49" s="79">
        <f ca="1">IFERROR(L49 / (SUM($C17:$C47) / COUNT($C17:$C47)), 0)</f>
        <v>9.1501009774326875E-2</v>
      </c>
      <c r="L49" s="141">
        <f ca="1">SUM(L17:L47)</f>
        <v>164701.81759378838</v>
      </c>
      <c r="M49" s="143">
        <f ca="1">SUM(M17:M47)</f>
        <v>8988832.7330127098</v>
      </c>
      <c r="N49" s="79">
        <f ca="1">IFERROR(O49 / (SUM($C17:$C47) / COUNT($C17:$C47)), 0)</f>
        <v>-6.2040372151607719E-3</v>
      </c>
      <c r="O49" s="141">
        <f ca="1">SUM(O17:O47)</f>
        <v>-11167.266987289389</v>
      </c>
    </row>
    <row r="51" spans="1:15" ht="17.25" thickBot="1"/>
    <row r="52" spans="1:15" ht="17.25" thickBot="1">
      <c r="A52" s="185" t="str">
        <f>TEXT(투자전략!$G$1, "[$-ko-KR]yyyy년 mm월 ") &amp; "[엽전코인] 전일대비 상승률 Top20 월말결산"</f>
        <v>2021년 05월 [엽전코인] 전일대비 상승률 Top20 월말결산</v>
      </c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6"/>
      <c r="M52" s="186"/>
      <c r="N52" s="186"/>
      <c r="O52" s="187"/>
    </row>
    <row r="53" spans="1:15" ht="17.25" thickBot="1">
      <c r="A53" s="229" t="s">
        <v>320</v>
      </c>
      <c r="B53" s="206" t="s">
        <v>318</v>
      </c>
      <c r="C53" s="208"/>
      <c r="D53" s="206" t="s">
        <v>310</v>
      </c>
      <c r="E53" s="207"/>
      <c r="F53" s="208"/>
      <c r="G53" s="206" t="s">
        <v>311</v>
      </c>
      <c r="H53" s="207"/>
      <c r="I53" s="208"/>
      <c r="J53" s="206" t="s">
        <v>312</v>
      </c>
      <c r="K53" s="207"/>
      <c r="L53" s="208"/>
      <c r="M53" s="206" t="s">
        <v>313</v>
      </c>
      <c r="N53" s="207"/>
      <c r="O53" s="208"/>
    </row>
    <row r="54" spans="1:15" ht="17.25" thickBot="1">
      <c r="A54" s="222"/>
      <c r="B54" s="160" t="s">
        <v>308</v>
      </c>
      <c r="C54" s="160" t="s">
        <v>42</v>
      </c>
      <c r="D54" s="124" t="s">
        <v>309</v>
      </c>
      <c r="E54" s="136" t="s">
        <v>40</v>
      </c>
      <c r="F54" s="162" t="s">
        <v>41</v>
      </c>
      <c r="G54" s="124" t="s">
        <v>309</v>
      </c>
      <c r="H54" s="136" t="s">
        <v>40</v>
      </c>
      <c r="I54" s="162" t="s">
        <v>41</v>
      </c>
      <c r="J54" s="124" t="s">
        <v>309</v>
      </c>
      <c r="K54" s="136" t="s">
        <v>40</v>
      </c>
      <c r="L54" s="162" t="s">
        <v>41</v>
      </c>
      <c r="M54" s="124" t="s">
        <v>309</v>
      </c>
      <c r="N54" s="136" t="s">
        <v>40</v>
      </c>
      <c r="O54" s="162" t="s">
        <v>41</v>
      </c>
    </row>
    <row r="55" spans="1:15">
      <c r="A55" s="160">
        <v>1</v>
      </c>
      <c r="B55" s="160" t="str">
        <f>TEXT(투자전략!$G$1+0, "[$-ko-KR]yyyy.mm.dd")</f>
        <v>2021.05.01</v>
      </c>
      <c r="C55" s="137">
        <f ca="1">IFERROR(COUNTA(INDIRECT($B55&amp;"!A44:A63")) * INDIRECT($B55&amp;"!B64"), "")</f>
        <v>5700000</v>
      </c>
      <c r="D55" s="145">
        <f ca="1">IFERROR($C55 * (1 + E55), "")</f>
        <v>5796967.8582712999</v>
      </c>
      <c r="E55" s="76">
        <f ca="1">IFERROR(INDIRECT($B55&amp;"!E64"), "")</f>
        <v>1.7011904959877054E-2</v>
      </c>
      <c r="F55" s="144">
        <f ca="1">IFERROR(INDIRECT($B55&amp;"!F64"), "")</f>
        <v>96967.858271299192</v>
      </c>
      <c r="G55" s="145">
        <f ca="1">IFERROR($C55 * (1 + H55), "")</f>
        <v>5762497.1388724633</v>
      </c>
      <c r="H55" s="76">
        <f ca="1">IFERROR(INDIRECT($B55&amp;"!H64"), "")</f>
        <v>1.0964410328502251E-2</v>
      </c>
      <c r="I55" s="144">
        <f ca="1">IFERROR(INDIRECT($B55&amp;"!I64"), "")</f>
        <v>62497.138872462834</v>
      </c>
      <c r="J55" s="145">
        <f ca="1">IFERROR($C55 * (1 + K55), "")</f>
        <v>5794168.1462707957</v>
      </c>
      <c r="K55" s="76">
        <f ca="1">IFERROR(INDIRECT($B55&amp;"!K64"), "")</f>
        <v>1.6520727415929037E-2</v>
      </c>
      <c r="L55" s="144">
        <f ca="1">IFERROR(INDIRECT($B55&amp;"!L64"), "")</f>
        <v>94168.146270795492</v>
      </c>
      <c r="M55" s="145">
        <f ca="1">IFERROR($C55 * (1 + N55), "")</f>
        <v>5791895.125992734</v>
      </c>
      <c r="N55" s="76">
        <f ca="1">IFERROR(INDIRECT($B55&amp;"!N64"), "")</f>
        <v>1.6121951928549837E-2</v>
      </c>
      <c r="O55" s="144">
        <f ca="1">IFERROR(INDIRECT($B55&amp;"!O64"), "")</f>
        <v>91895.125992734043</v>
      </c>
    </row>
    <row r="56" spans="1:15">
      <c r="A56" s="159">
        <v>2</v>
      </c>
      <c r="B56" s="159" t="str">
        <f>TEXT(투자전략!$G$1+1, "[$-ko-KR]yyyy.mm.dd")</f>
        <v>2021.05.02</v>
      </c>
      <c r="C56" s="138">
        <f t="shared" ref="C56:C85" ca="1" si="13">IFERROR(COUNTA(INDIRECT($B56&amp;"!A44:A63")) * INDIRECT($B56&amp;"!B64"), "")</f>
        <v>5700000</v>
      </c>
      <c r="D56" s="142">
        <f t="shared" ref="D56:D85" ca="1" si="14">IFERROR($C56 * (1 + E56), "")</f>
        <v>5690911.4456432778</v>
      </c>
      <c r="E56" s="77">
        <f t="shared" ref="E56:E85" ca="1" si="15">IFERROR(INDIRECT($B56&amp;"!E64"), "")</f>
        <v>-1.594483220477585E-3</v>
      </c>
      <c r="F56" s="140">
        <f t="shared" ref="F56:F85" ca="1" si="16">IFERROR(INDIRECT($B56&amp;"!F64"), "")</f>
        <v>-9088.5543567222303</v>
      </c>
      <c r="G56" s="142">
        <f t="shared" ref="G56:G85" ca="1" si="17">IFERROR($C56 * (1 + H56), "")</f>
        <v>5690498.5045738928</v>
      </c>
      <c r="H56" s="77">
        <f t="shared" ref="H56:H85" ca="1" si="18">IFERROR(INDIRECT($B56&amp;"!H64"), "")</f>
        <v>-1.666929022124089E-3</v>
      </c>
      <c r="I56" s="140">
        <f t="shared" ref="I56:I85" ca="1" si="19">IFERROR(INDIRECT($B56&amp;"!I64"), "")</f>
        <v>-9501.4954261073035</v>
      </c>
      <c r="J56" s="142">
        <f t="shared" ref="J56:J85" ca="1" si="20">IFERROR($C56 * (1 + K56), "")</f>
        <v>5725292.5041279895</v>
      </c>
      <c r="K56" s="77">
        <f t="shared" ref="K56:K85" ca="1" si="21">IFERROR(INDIRECT($B56&amp;"!K64"), "")</f>
        <v>4.437281425962906E-3</v>
      </c>
      <c r="L56" s="140">
        <f t="shared" ref="L56:L85" ca="1" si="22">IFERROR(INDIRECT($B56&amp;"!L64"), "")</f>
        <v>25292.50412798857</v>
      </c>
      <c r="M56" s="142">
        <f t="shared" ref="M56:M85" ca="1" si="23">IFERROR($C56 * (1 + N56), "")</f>
        <v>5763933.8531855056</v>
      </c>
      <c r="N56" s="77">
        <f t="shared" ref="N56:N85" ca="1" si="24">IFERROR(INDIRECT($B56&amp;"!N64"), "")</f>
        <v>1.1216465471141364E-2</v>
      </c>
      <c r="O56" s="140">
        <f t="shared" ref="O56:O85" ca="1" si="25">IFERROR(INDIRECT($B56&amp;"!O64"), "")</f>
        <v>63933.853185505781</v>
      </c>
    </row>
    <row r="57" spans="1:15">
      <c r="A57" s="159">
        <v>3</v>
      </c>
      <c r="B57" s="159" t="str">
        <f>TEXT(투자전략!$G$1+2, "[$-ko-KR]yyyy.mm.dd")</f>
        <v>2021.05.03</v>
      </c>
      <c r="C57" s="138">
        <f t="shared" ca="1" si="13"/>
        <v>5400000</v>
      </c>
      <c r="D57" s="142">
        <f t="shared" ca="1" si="14"/>
        <v>5575496.9864295339</v>
      </c>
      <c r="E57" s="77">
        <f t="shared" ca="1" si="15"/>
        <v>3.2499441931395062E-2</v>
      </c>
      <c r="F57" s="140">
        <f t="shared" ca="1" si="16"/>
        <v>175496.9864295334</v>
      </c>
      <c r="G57" s="142">
        <f t="shared" ca="1" si="17"/>
        <v>5618685.4874268863</v>
      </c>
      <c r="H57" s="77">
        <f t="shared" ca="1" si="18"/>
        <v>4.0497312486460504E-2</v>
      </c>
      <c r="I57" s="140">
        <f t="shared" ca="1" si="19"/>
        <v>218685.48742688677</v>
      </c>
      <c r="J57" s="142">
        <f t="shared" ca="1" si="20"/>
        <v>5642781.0931354463</v>
      </c>
      <c r="K57" s="77">
        <f t="shared" ca="1" si="21"/>
        <v>4.4959461691749317E-2</v>
      </c>
      <c r="L57" s="140">
        <f t="shared" ca="1" si="22"/>
        <v>242781.09313544634</v>
      </c>
      <c r="M57" s="142">
        <f t="shared" ca="1" si="23"/>
        <v>5599398.2018607762</v>
      </c>
      <c r="N57" s="77">
        <f t="shared" ca="1" si="24"/>
        <v>3.6925592937180791E-2</v>
      </c>
      <c r="O57" s="140">
        <f t="shared" ca="1" si="25"/>
        <v>199398.20186077629</v>
      </c>
    </row>
    <row r="58" spans="1:15">
      <c r="A58" s="159">
        <v>4</v>
      </c>
      <c r="B58" s="159" t="str">
        <f>TEXT(투자전략!$G$1+3, "[$-ko-KR]yyyy.mm.dd")</f>
        <v>2021.05.04</v>
      </c>
      <c r="C58" s="138">
        <f t="shared" ca="1" si="13"/>
        <v>5100000</v>
      </c>
      <c r="D58" s="142">
        <f t="shared" ca="1" si="14"/>
        <v>4913291.8029331751</v>
      </c>
      <c r="E58" s="77">
        <f t="shared" ca="1" si="15"/>
        <v>-3.6609450405259723E-2</v>
      </c>
      <c r="F58" s="140">
        <f t="shared" ca="1" si="16"/>
        <v>-186708.19706682459</v>
      </c>
      <c r="G58" s="142">
        <f t="shared" ca="1" si="17"/>
        <v>4944548.6693847794</v>
      </c>
      <c r="H58" s="77">
        <f t="shared" ca="1" si="18"/>
        <v>-3.0480653061807909E-2</v>
      </c>
      <c r="I58" s="140">
        <f t="shared" ca="1" si="19"/>
        <v>-155451.3306152203</v>
      </c>
      <c r="J58" s="142">
        <f t="shared" ca="1" si="20"/>
        <v>4946341.5860611983</v>
      </c>
      <c r="K58" s="77">
        <f t="shared" ca="1" si="21"/>
        <v>-3.0129100772314142E-2</v>
      </c>
      <c r="L58" s="140">
        <f t="shared" ca="1" si="22"/>
        <v>-153658.41393880208</v>
      </c>
      <c r="M58" s="142">
        <f t="shared" ca="1" si="23"/>
        <v>4753721.9406563118</v>
      </c>
      <c r="N58" s="77">
        <f t="shared" ca="1" si="24"/>
        <v>-6.7897658694840837E-2</v>
      </c>
      <c r="O58" s="140">
        <f t="shared" ca="1" si="25"/>
        <v>-346278.05934368825</v>
      </c>
    </row>
    <row r="59" spans="1:15">
      <c r="A59" s="159">
        <v>5</v>
      </c>
      <c r="B59" s="159" t="str">
        <f>TEXT(투자전략!$G$1+4, "[$-ko-KR]yyyy.mm.dd")</f>
        <v>2021.05.05</v>
      </c>
      <c r="C59" s="138">
        <f t="shared" ca="1" si="13"/>
        <v>2550000</v>
      </c>
      <c r="D59" s="142">
        <f t="shared" ca="1" si="14"/>
        <v>2414283.6024819729</v>
      </c>
      <c r="E59" s="77">
        <f t="shared" ca="1" si="15"/>
        <v>-5.3222116673736088E-2</v>
      </c>
      <c r="F59" s="140">
        <f t="shared" ca="1" si="16"/>
        <v>-135716.39751802705</v>
      </c>
      <c r="G59" s="142">
        <f t="shared" ca="1" si="17"/>
        <v>2485506.2944377828</v>
      </c>
      <c r="H59" s="77">
        <f t="shared" ca="1" si="18"/>
        <v>-2.5291649240085156E-2</v>
      </c>
      <c r="I59" s="140">
        <f t="shared" ca="1" si="19"/>
        <v>-64493.705562217161</v>
      </c>
      <c r="J59" s="142">
        <f t="shared" ca="1" si="20"/>
        <v>2450988.7532001613</v>
      </c>
      <c r="K59" s="77">
        <f t="shared" ca="1" si="21"/>
        <v>-3.8827939921505517E-2</v>
      </c>
      <c r="L59" s="140">
        <f t="shared" ca="1" si="22"/>
        <v>-99011.246799839064</v>
      </c>
      <c r="M59" s="142">
        <f t="shared" ca="1" si="23"/>
        <v>2550000</v>
      </c>
      <c r="N59" s="77">
        <f t="shared" ca="1" si="24"/>
        <v>0</v>
      </c>
      <c r="O59" s="140">
        <f t="shared" ca="1" si="25"/>
        <v>0</v>
      </c>
    </row>
    <row r="60" spans="1:15">
      <c r="A60" s="159">
        <v>6</v>
      </c>
      <c r="B60" s="159" t="str">
        <f>TEXT(투자전략!$G$1+5, "[$-ko-KR]yyyy.mm.dd")</f>
        <v>2021.05.06</v>
      </c>
      <c r="C60" s="138" t="str">
        <f t="shared" ca="1" si="13"/>
        <v/>
      </c>
      <c r="D60" s="142" t="str">
        <f t="shared" ca="1" si="14"/>
        <v/>
      </c>
      <c r="E60" s="77" t="str">
        <f t="shared" ca="1" si="15"/>
        <v/>
      </c>
      <c r="F60" s="140" t="str">
        <f t="shared" ca="1" si="16"/>
        <v/>
      </c>
      <c r="G60" s="142" t="str">
        <f t="shared" ca="1" si="17"/>
        <v/>
      </c>
      <c r="H60" s="77" t="str">
        <f t="shared" ca="1" si="18"/>
        <v/>
      </c>
      <c r="I60" s="140" t="str">
        <f t="shared" ca="1" si="19"/>
        <v/>
      </c>
      <c r="J60" s="142" t="str">
        <f t="shared" ca="1" si="20"/>
        <v/>
      </c>
      <c r="K60" s="77" t="str">
        <f t="shared" ca="1" si="21"/>
        <v/>
      </c>
      <c r="L60" s="140" t="str">
        <f t="shared" ca="1" si="22"/>
        <v/>
      </c>
      <c r="M60" s="142" t="str">
        <f t="shared" ca="1" si="23"/>
        <v/>
      </c>
      <c r="N60" s="77" t="str">
        <f t="shared" ca="1" si="24"/>
        <v/>
      </c>
      <c r="O60" s="140" t="str">
        <f t="shared" ca="1" si="25"/>
        <v/>
      </c>
    </row>
    <row r="61" spans="1:15" ht="17.25" thickBot="1">
      <c r="A61" s="161">
        <v>7</v>
      </c>
      <c r="B61" s="161" t="str">
        <f>TEXT(투자전략!$G$1+6, "[$-ko-KR]yyyy.mm.dd")</f>
        <v>2021.05.07</v>
      </c>
      <c r="C61" s="138" t="str">
        <f t="shared" ca="1" si="13"/>
        <v/>
      </c>
      <c r="D61" s="142" t="str">
        <f t="shared" ca="1" si="14"/>
        <v/>
      </c>
      <c r="E61" s="77" t="str">
        <f t="shared" ca="1" si="15"/>
        <v/>
      </c>
      <c r="F61" s="140" t="str">
        <f t="shared" ca="1" si="16"/>
        <v/>
      </c>
      <c r="G61" s="142" t="str">
        <f t="shared" ca="1" si="17"/>
        <v/>
      </c>
      <c r="H61" s="77" t="str">
        <f t="shared" ca="1" si="18"/>
        <v/>
      </c>
      <c r="I61" s="140" t="str">
        <f t="shared" ca="1" si="19"/>
        <v/>
      </c>
      <c r="J61" s="142" t="str">
        <f t="shared" ca="1" si="20"/>
        <v/>
      </c>
      <c r="K61" s="77" t="str">
        <f t="shared" ca="1" si="21"/>
        <v/>
      </c>
      <c r="L61" s="140" t="str">
        <f t="shared" ca="1" si="22"/>
        <v/>
      </c>
      <c r="M61" s="142" t="str">
        <f t="shared" ca="1" si="23"/>
        <v/>
      </c>
      <c r="N61" s="77" t="str">
        <f t="shared" ca="1" si="24"/>
        <v/>
      </c>
      <c r="O61" s="140" t="str">
        <f t="shared" ca="1" si="25"/>
        <v/>
      </c>
    </row>
    <row r="62" spans="1:15">
      <c r="A62" s="160">
        <v>8</v>
      </c>
      <c r="B62" s="160" t="str">
        <f>TEXT(투자전략!$G$1+7, "[$-ko-KR]yyyy.mm.dd")</f>
        <v>2021.05.08</v>
      </c>
      <c r="C62" s="137" t="str">
        <f t="shared" ca="1" si="13"/>
        <v/>
      </c>
      <c r="D62" s="145" t="str">
        <f t="shared" ca="1" si="14"/>
        <v/>
      </c>
      <c r="E62" s="76" t="str">
        <f t="shared" ca="1" si="15"/>
        <v/>
      </c>
      <c r="F62" s="144" t="str">
        <f t="shared" ca="1" si="16"/>
        <v/>
      </c>
      <c r="G62" s="145" t="str">
        <f t="shared" ca="1" si="17"/>
        <v/>
      </c>
      <c r="H62" s="76" t="str">
        <f t="shared" ca="1" si="18"/>
        <v/>
      </c>
      <c r="I62" s="144" t="str">
        <f t="shared" ca="1" si="19"/>
        <v/>
      </c>
      <c r="J62" s="145" t="str">
        <f t="shared" ca="1" si="20"/>
        <v/>
      </c>
      <c r="K62" s="76" t="str">
        <f t="shared" ca="1" si="21"/>
        <v/>
      </c>
      <c r="L62" s="144" t="str">
        <f t="shared" ca="1" si="22"/>
        <v/>
      </c>
      <c r="M62" s="145" t="str">
        <f t="shared" ca="1" si="23"/>
        <v/>
      </c>
      <c r="N62" s="76" t="str">
        <f t="shared" ca="1" si="24"/>
        <v/>
      </c>
      <c r="O62" s="144" t="str">
        <f t="shared" ca="1" si="25"/>
        <v/>
      </c>
    </row>
    <row r="63" spans="1:15">
      <c r="A63" s="159">
        <v>9</v>
      </c>
      <c r="B63" s="159" t="str">
        <f>TEXT(투자전략!$G$1+8, "[$-ko-KR]yyyy.mm.dd")</f>
        <v>2021.05.09</v>
      </c>
      <c r="C63" s="138" t="str">
        <f t="shared" ca="1" si="13"/>
        <v/>
      </c>
      <c r="D63" s="142" t="str">
        <f t="shared" ca="1" si="14"/>
        <v/>
      </c>
      <c r="E63" s="77" t="str">
        <f t="shared" ca="1" si="15"/>
        <v/>
      </c>
      <c r="F63" s="140" t="str">
        <f t="shared" ca="1" si="16"/>
        <v/>
      </c>
      <c r="G63" s="142" t="str">
        <f t="shared" ca="1" si="17"/>
        <v/>
      </c>
      <c r="H63" s="77" t="str">
        <f t="shared" ca="1" si="18"/>
        <v/>
      </c>
      <c r="I63" s="140" t="str">
        <f t="shared" ca="1" si="19"/>
        <v/>
      </c>
      <c r="J63" s="142" t="str">
        <f t="shared" ca="1" si="20"/>
        <v/>
      </c>
      <c r="K63" s="77" t="str">
        <f t="shared" ca="1" si="21"/>
        <v/>
      </c>
      <c r="L63" s="140" t="str">
        <f t="shared" ca="1" si="22"/>
        <v/>
      </c>
      <c r="M63" s="142" t="str">
        <f t="shared" ca="1" si="23"/>
        <v/>
      </c>
      <c r="N63" s="77" t="str">
        <f t="shared" ca="1" si="24"/>
        <v/>
      </c>
      <c r="O63" s="140" t="str">
        <f t="shared" ca="1" si="25"/>
        <v/>
      </c>
    </row>
    <row r="64" spans="1:15">
      <c r="A64" s="159">
        <v>10</v>
      </c>
      <c r="B64" s="159" t="str">
        <f>TEXT(투자전략!$G$1+9, "[$-ko-KR]yyyy.mm.dd")</f>
        <v>2021.05.10</v>
      </c>
      <c r="C64" s="138" t="str">
        <f t="shared" ca="1" si="13"/>
        <v/>
      </c>
      <c r="D64" s="142" t="str">
        <f t="shared" ca="1" si="14"/>
        <v/>
      </c>
      <c r="E64" s="77" t="str">
        <f t="shared" ca="1" si="15"/>
        <v/>
      </c>
      <c r="F64" s="140" t="str">
        <f t="shared" ca="1" si="16"/>
        <v/>
      </c>
      <c r="G64" s="142" t="str">
        <f t="shared" ca="1" si="17"/>
        <v/>
      </c>
      <c r="H64" s="77" t="str">
        <f t="shared" ca="1" si="18"/>
        <v/>
      </c>
      <c r="I64" s="140" t="str">
        <f t="shared" ca="1" si="19"/>
        <v/>
      </c>
      <c r="J64" s="142" t="str">
        <f t="shared" ca="1" si="20"/>
        <v/>
      </c>
      <c r="K64" s="77" t="str">
        <f t="shared" ca="1" si="21"/>
        <v/>
      </c>
      <c r="L64" s="140" t="str">
        <f t="shared" ca="1" si="22"/>
        <v/>
      </c>
      <c r="M64" s="142" t="str">
        <f t="shared" ca="1" si="23"/>
        <v/>
      </c>
      <c r="N64" s="77" t="str">
        <f t="shared" ca="1" si="24"/>
        <v/>
      </c>
      <c r="O64" s="140" t="str">
        <f t="shared" ca="1" si="25"/>
        <v/>
      </c>
    </row>
    <row r="65" spans="1:15">
      <c r="A65" s="159">
        <v>11</v>
      </c>
      <c r="B65" s="159" t="str">
        <f>TEXT(투자전략!$G$1+10, "[$-ko-KR]yyyy.mm.dd")</f>
        <v>2021.05.11</v>
      </c>
      <c r="C65" s="138" t="str">
        <f t="shared" ca="1" si="13"/>
        <v/>
      </c>
      <c r="D65" s="142" t="str">
        <f t="shared" ca="1" si="14"/>
        <v/>
      </c>
      <c r="E65" s="77" t="str">
        <f t="shared" ca="1" si="15"/>
        <v/>
      </c>
      <c r="F65" s="140" t="str">
        <f t="shared" ca="1" si="16"/>
        <v/>
      </c>
      <c r="G65" s="142" t="str">
        <f t="shared" ca="1" si="17"/>
        <v/>
      </c>
      <c r="H65" s="77" t="str">
        <f t="shared" ca="1" si="18"/>
        <v/>
      </c>
      <c r="I65" s="140" t="str">
        <f t="shared" ca="1" si="19"/>
        <v/>
      </c>
      <c r="J65" s="142" t="str">
        <f t="shared" ca="1" si="20"/>
        <v/>
      </c>
      <c r="K65" s="77" t="str">
        <f t="shared" ca="1" si="21"/>
        <v/>
      </c>
      <c r="L65" s="140" t="str">
        <f t="shared" ca="1" si="22"/>
        <v/>
      </c>
      <c r="M65" s="142" t="str">
        <f t="shared" ca="1" si="23"/>
        <v/>
      </c>
      <c r="N65" s="77" t="str">
        <f t="shared" ca="1" si="24"/>
        <v/>
      </c>
      <c r="O65" s="140" t="str">
        <f t="shared" ca="1" si="25"/>
        <v/>
      </c>
    </row>
    <row r="66" spans="1:15">
      <c r="A66" s="159">
        <v>12</v>
      </c>
      <c r="B66" s="159" t="str">
        <f>TEXT(투자전략!$G$1+11, "[$-ko-KR]yyyy.mm.dd")</f>
        <v>2021.05.12</v>
      </c>
      <c r="C66" s="138" t="str">
        <f t="shared" ca="1" si="13"/>
        <v/>
      </c>
      <c r="D66" s="142" t="str">
        <f t="shared" ca="1" si="14"/>
        <v/>
      </c>
      <c r="E66" s="77" t="str">
        <f t="shared" ca="1" si="15"/>
        <v/>
      </c>
      <c r="F66" s="140" t="str">
        <f t="shared" ca="1" si="16"/>
        <v/>
      </c>
      <c r="G66" s="142" t="str">
        <f t="shared" ca="1" si="17"/>
        <v/>
      </c>
      <c r="H66" s="77" t="str">
        <f t="shared" ca="1" si="18"/>
        <v/>
      </c>
      <c r="I66" s="140" t="str">
        <f t="shared" ca="1" si="19"/>
        <v/>
      </c>
      <c r="J66" s="142" t="str">
        <f t="shared" ca="1" si="20"/>
        <v/>
      </c>
      <c r="K66" s="77" t="str">
        <f t="shared" ca="1" si="21"/>
        <v/>
      </c>
      <c r="L66" s="140" t="str">
        <f t="shared" ca="1" si="22"/>
        <v/>
      </c>
      <c r="M66" s="142" t="str">
        <f t="shared" ca="1" si="23"/>
        <v/>
      </c>
      <c r="N66" s="77" t="str">
        <f t="shared" ca="1" si="24"/>
        <v/>
      </c>
      <c r="O66" s="140" t="str">
        <f t="shared" ca="1" si="25"/>
        <v/>
      </c>
    </row>
    <row r="67" spans="1:15">
      <c r="A67" s="159">
        <v>13</v>
      </c>
      <c r="B67" s="159" t="str">
        <f>TEXT(투자전략!$G$1+12, "[$-ko-KR]yyyy.mm.dd")</f>
        <v>2021.05.13</v>
      </c>
      <c r="C67" s="138" t="str">
        <f t="shared" ca="1" si="13"/>
        <v/>
      </c>
      <c r="D67" s="142" t="str">
        <f t="shared" ca="1" si="14"/>
        <v/>
      </c>
      <c r="E67" s="77" t="str">
        <f t="shared" ca="1" si="15"/>
        <v/>
      </c>
      <c r="F67" s="140" t="str">
        <f t="shared" ca="1" si="16"/>
        <v/>
      </c>
      <c r="G67" s="142" t="str">
        <f t="shared" ca="1" si="17"/>
        <v/>
      </c>
      <c r="H67" s="77" t="str">
        <f t="shared" ca="1" si="18"/>
        <v/>
      </c>
      <c r="I67" s="140" t="str">
        <f t="shared" ca="1" si="19"/>
        <v/>
      </c>
      <c r="J67" s="142" t="str">
        <f t="shared" ca="1" si="20"/>
        <v/>
      </c>
      <c r="K67" s="77" t="str">
        <f t="shared" ca="1" si="21"/>
        <v/>
      </c>
      <c r="L67" s="140" t="str">
        <f t="shared" ca="1" si="22"/>
        <v/>
      </c>
      <c r="M67" s="142" t="str">
        <f t="shared" ca="1" si="23"/>
        <v/>
      </c>
      <c r="N67" s="77" t="str">
        <f t="shared" ca="1" si="24"/>
        <v/>
      </c>
      <c r="O67" s="140" t="str">
        <f t="shared" ca="1" si="25"/>
        <v/>
      </c>
    </row>
    <row r="68" spans="1:15" ht="17.25" thickBot="1">
      <c r="A68" s="161">
        <v>14</v>
      </c>
      <c r="B68" s="161" t="str">
        <f>TEXT(투자전략!$G$1+13, "[$-ko-KR]yyyy.mm.dd")</f>
        <v>2021.05.14</v>
      </c>
      <c r="C68" s="139" t="str">
        <f t="shared" ca="1" si="13"/>
        <v/>
      </c>
      <c r="D68" s="143" t="str">
        <f t="shared" ca="1" si="14"/>
        <v/>
      </c>
      <c r="E68" s="79" t="str">
        <f t="shared" ca="1" si="15"/>
        <v/>
      </c>
      <c r="F68" s="141" t="str">
        <f t="shared" ca="1" si="16"/>
        <v/>
      </c>
      <c r="G68" s="143" t="str">
        <f t="shared" ca="1" si="17"/>
        <v/>
      </c>
      <c r="H68" s="79" t="str">
        <f t="shared" ca="1" si="18"/>
        <v/>
      </c>
      <c r="I68" s="141" t="str">
        <f t="shared" ca="1" si="19"/>
        <v/>
      </c>
      <c r="J68" s="143" t="str">
        <f t="shared" ca="1" si="20"/>
        <v/>
      </c>
      <c r="K68" s="79" t="str">
        <f t="shared" ca="1" si="21"/>
        <v/>
      </c>
      <c r="L68" s="141" t="str">
        <f t="shared" ca="1" si="22"/>
        <v/>
      </c>
      <c r="M68" s="143" t="str">
        <f t="shared" ca="1" si="23"/>
        <v/>
      </c>
      <c r="N68" s="79" t="str">
        <f t="shared" ca="1" si="24"/>
        <v/>
      </c>
      <c r="O68" s="141" t="str">
        <f t="shared" ca="1" si="25"/>
        <v/>
      </c>
    </row>
    <row r="69" spans="1:15">
      <c r="A69" s="160">
        <v>15</v>
      </c>
      <c r="B69" s="160" t="str">
        <f>TEXT(투자전략!$G$1+14, "[$-ko-KR]yyyy.mm.dd")</f>
        <v>2021.05.15</v>
      </c>
      <c r="C69" s="138" t="str">
        <f t="shared" ca="1" si="13"/>
        <v/>
      </c>
      <c r="D69" s="142" t="str">
        <f t="shared" ca="1" si="14"/>
        <v/>
      </c>
      <c r="E69" s="77" t="str">
        <f t="shared" ca="1" si="15"/>
        <v/>
      </c>
      <c r="F69" s="140" t="str">
        <f t="shared" ca="1" si="16"/>
        <v/>
      </c>
      <c r="G69" s="142" t="str">
        <f t="shared" ca="1" si="17"/>
        <v/>
      </c>
      <c r="H69" s="77" t="str">
        <f t="shared" ca="1" si="18"/>
        <v/>
      </c>
      <c r="I69" s="140" t="str">
        <f t="shared" ca="1" si="19"/>
        <v/>
      </c>
      <c r="J69" s="142" t="str">
        <f t="shared" ca="1" si="20"/>
        <v/>
      </c>
      <c r="K69" s="77" t="str">
        <f t="shared" ca="1" si="21"/>
        <v/>
      </c>
      <c r="L69" s="140" t="str">
        <f t="shared" ca="1" si="22"/>
        <v/>
      </c>
      <c r="M69" s="142" t="str">
        <f t="shared" ca="1" si="23"/>
        <v/>
      </c>
      <c r="N69" s="77" t="str">
        <f t="shared" ca="1" si="24"/>
        <v/>
      </c>
      <c r="O69" s="140" t="str">
        <f t="shared" ca="1" si="25"/>
        <v/>
      </c>
    </row>
    <row r="70" spans="1:15">
      <c r="A70" s="159">
        <v>16</v>
      </c>
      <c r="B70" s="159" t="str">
        <f>TEXT(투자전략!$G$1+15, "[$-ko-KR]yyyy.mm.dd")</f>
        <v>2021.05.16</v>
      </c>
      <c r="C70" s="138" t="str">
        <f t="shared" ca="1" si="13"/>
        <v/>
      </c>
      <c r="D70" s="142" t="str">
        <f t="shared" ca="1" si="14"/>
        <v/>
      </c>
      <c r="E70" s="77" t="str">
        <f t="shared" ca="1" si="15"/>
        <v/>
      </c>
      <c r="F70" s="140" t="str">
        <f t="shared" ca="1" si="16"/>
        <v/>
      </c>
      <c r="G70" s="142" t="str">
        <f t="shared" ca="1" si="17"/>
        <v/>
      </c>
      <c r="H70" s="77" t="str">
        <f t="shared" ca="1" si="18"/>
        <v/>
      </c>
      <c r="I70" s="140" t="str">
        <f t="shared" ca="1" si="19"/>
        <v/>
      </c>
      <c r="J70" s="142" t="str">
        <f t="shared" ca="1" si="20"/>
        <v/>
      </c>
      <c r="K70" s="77" t="str">
        <f t="shared" ca="1" si="21"/>
        <v/>
      </c>
      <c r="L70" s="140" t="str">
        <f t="shared" ca="1" si="22"/>
        <v/>
      </c>
      <c r="M70" s="142" t="str">
        <f t="shared" ca="1" si="23"/>
        <v/>
      </c>
      <c r="N70" s="77" t="str">
        <f t="shared" ca="1" si="24"/>
        <v/>
      </c>
      <c r="O70" s="140" t="str">
        <f t="shared" ca="1" si="25"/>
        <v/>
      </c>
    </row>
    <row r="71" spans="1:15">
      <c r="A71" s="159">
        <v>17</v>
      </c>
      <c r="B71" s="159" t="str">
        <f>TEXT(투자전략!$G$1+16, "[$-ko-KR]yyyy.mm.dd")</f>
        <v>2021.05.17</v>
      </c>
      <c r="C71" s="138" t="str">
        <f t="shared" ca="1" si="13"/>
        <v/>
      </c>
      <c r="D71" s="142" t="str">
        <f t="shared" ca="1" si="14"/>
        <v/>
      </c>
      <c r="E71" s="77" t="str">
        <f t="shared" ca="1" si="15"/>
        <v/>
      </c>
      <c r="F71" s="140" t="str">
        <f t="shared" ca="1" si="16"/>
        <v/>
      </c>
      <c r="G71" s="142" t="str">
        <f t="shared" ca="1" si="17"/>
        <v/>
      </c>
      <c r="H71" s="77" t="str">
        <f t="shared" ca="1" si="18"/>
        <v/>
      </c>
      <c r="I71" s="140" t="str">
        <f t="shared" ca="1" si="19"/>
        <v/>
      </c>
      <c r="J71" s="142" t="str">
        <f t="shared" ca="1" si="20"/>
        <v/>
      </c>
      <c r="K71" s="77" t="str">
        <f t="shared" ca="1" si="21"/>
        <v/>
      </c>
      <c r="L71" s="140" t="str">
        <f t="shared" ca="1" si="22"/>
        <v/>
      </c>
      <c r="M71" s="142" t="str">
        <f t="shared" ca="1" si="23"/>
        <v/>
      </c>
      <c r="N71" s="77" t="str">
        <f t="shared" ca="1" si="24"/>
        <v/>
      </c>
      <c r="O71" s="140" t="str">
        <f t="shared" ca="1" si="25"/>
        <v/>
      </c>
    </row>
    <row r="72" spans="1:15">
      <c r="A72" s="159">
        <v>18</v>
      </c>
      <c r="B72" s="159" t="str">
        <f>TEXT(투자전략!$G$1+17, "[$-ko-KR]yyyy.mm.dd")</f>
        <v>2021.05.18</v>
      </c>
      <c r="C72" s="138" t="str">
        <f t="shared" ca="1" si="13"/>
        <v/>
      </c>
      <c r="D72" s="142" t="str">
        <f t="shared" ca="1" si="14"/>
        <v/>
      </c>
      <c r="E72" s="77" t="str">
        <f t="shared" ca="1" si="15"/>
        <v/>
      </c>
      <c r="F72" s="140" t="str">
        <f t="shared" ca="1" si="16"/>
        <v/>
      </c>
      <c r="G72" s="142" t="str">
        <f t="shared" ca="1" si="17"/>
        <v/>
      </c>
      <c r="H72" s="77" t="str">
        <f t="shared" ca="1" si="18"/>
        <v/>
      </c>
      <c r="I72" s="140" t="str">
        <f t="shared" ca="1" si="19"/>
        <v/>
      </c>
      <c r="J72" s="142" t="str">
        <f t="shared" ca="1" si="20"/>
        <v/>
      </c>
      <c r="K72" s="77" t="str">
        <f t="shared" ca="1" si="21"/>
        <v/>
      </c>
      <c r="L72" s="140" t="str">
        <f t="shared" ca="1" si="22"/>
        <v/>
      </c>
      <c r="M72" s="142" t="str">
        <f t="shared" ca="1" si="23"/>
        <v/>
      </c>
      <c r="N72" s="77" t="str">
        <f t="shared" ca="1" si="24"/>
        <v/>
      </c>
      <c r="O72" s="140" t="str">
        <f t="shared" ca="1" si="25"/>
        <v/>
      </c>
    </row>
    <row r="73" spans="1:15">
      <c r="A73" s="159">
        <v>19</v>
      </c>
      <c r="B73" s="159" t="str">
        <f>TEXT(투자전략!$G$1+18, "[$-ko-KR]yyyy.mm.dd")</f>
        <v>2021.05.19</v>
      </c>
      <c r="C73" s="138" t="str">
        <f t="shared" ca="1" si="13"/>
        <v/>
      </c>
      <c r="D73" s="142" t="str">
        <f t="shared" ca="1" si="14"/>
        <v/>
      </c>
      <c r="E73" s="77" t="str">
        <f t="shared" ca="1" si="15"/>
        <v/>
      </c>
      <c r="F73" s="140" t="str">
        <f t="shared" ca="1" si="16"/>
        <v/>
      </c>
      <c r="G73" s="142" t="str">
        <f t="shared" ca="1" si="17"/>
        <v/>
      </c>
      <c r="H73" s="77" t="str">
        <f t="shared" ca="1" si="18"/>
        <v/>
      </c>
      <c r="I73" s="140" t="str">
        <f t="shared" ca="1" si="19"/>
        <v/>
      </c>
      <c r="J73" s="142" t="str">
        <f t="shared" ca="1" si="20"/>
        <v/>
      </c>
      <c r="K73" s="77" t="str">
        <f t="shared" ca="1" si="21"/>
        <v/>
      </c>
      <c r="L73" s="140" t="str">
        <f t="shared" ca="1" si="22"/>
        <v/>
      </c>
      <c r="M73" s="142" t="str">
        <f t="shared" ca="1" si="23"/>
        <v/>
      </c>
      <c r="N73" s="77" t="str">
        <f t="shared" ca="1" si="24"/>
        <v/>
      </c>
      <c r="O73" s="140" t="str">
        <f t="shared" ca="1" si="25"/>
        <v/>
      </c>
    </row>
    <row r="74" spans="1:15">
      <c r="A74" s="159">
        <v>20</v>
      </c>
      <c r="B74" s="159" t="str">
        <f>TEXT(투자전략!$G$1+19, "[$-ko-KR]yyyy.mm.dd")</f>
        <v>2021.05.20</v>
      </c>
      <c r="C74" s="138" t="str">
        <f t="shared" ca="1" si="13"/>
        <v/>
      </c>
      <c r="D74" s="142" t="str">
        <f t="shared" ca="1" si="14"/>
        <v/>
      </c>
      <c r="E74" s="77" t="str">
        <f t="shared" ca="1" si="15"/>
        <v/>
      </c>
      <c r="F74" s="140" t="str">
        <f t="shared" ca="1" si="16"/>
        <v/>
      </c>
      <c r="G74" s="142" t="str">
        <f t="shared" ca="1" si="17"/>
        <v/>
      </c>
      <c r="H74" s="77" t="str">
        <f t="shared" ca="1" si="18"/>
        <v/>
      </c>
      <c r="I74" s="140" t="str">
        <f t="shared" ca="1" si="19"/>
        <v/>
      </c>
      <c r="J74" s="142" t="str">
        <f t="shared" ca="1" si="20"/>
        <v/>
      </c>
      <c r="K74" s="77" t="str">
        <f t="shared" ca="1" si="21"/>
        <v/>
      </c>
      <c r="L74" s="140" t="str">
        <f t="shared" ca="1" si="22"/>
        <v/>
      </c>
      <c r="M74" s="142" t="str">
        <f t="shared" ca="1" si="23"/>
        <v/>
      </c>
      <c r="N74" s="77" t="str">
        <f t="shared" ca="1" si="24"/>
        <v/>
      </c>
      <c r="O74" s="140" t="str">
        <f t="shared" ca="1" si="25"/>
        <v/>
      </c>
    </row>
    <row r="75" spans="1:15" ht="17.25" thickBot="1">
      <c r="A75" s="161">
        <v>21</v>
      </c>
      <c r="B75" s="161" t="str">
        <f>TEXT(투자전략!$G$1+20, "[$-ko-KR]yyyy.mm.dd")</f>
        <v>2021.05.21</v>
      </c>
      <c r="C75" s="138" t="str">
        <f t="shared" ca="1" si="13"/>
        <v/>
      </c>
      <c r="D75" s="142" t="str">
        <f t="shared" ca="1" si="14"/>
        <v/>
      </c>
      <c r="E75" s="77" t="str">
        <f t="shared" ca="1" si="15"/>
        <v/>
      </c>
      <c r="F75" s="140" t="str">
        <f t="shared" ca="1" si="16"/>
        <v/>
      </c>
      <c r="G75" s="142" t="str">
        <f t="shared" ca="1" si="17"/>
        <v/>
      </c>
      <c r="H75" s="77" t="str">
        <f t="shared" ca="1" si="18"/>
        <v/>
      </c>
      <c r="I75" s="140" t="str">
        <f t="shared" ca="1" si="19"/>
        <v/>
      </c>
      <c r="J75" s="142" t="str">
        <f t="shared" ca="1" si="20"/>
        <v/>
      </c>
      <c r="K75" s="77" t="str">
        <f t="shared" ca="1" si="21"/>
        <v/>
      </c>
      <c r="L75" s="140" t="str">
        <f t="shared" ca="1" si="22"/>
        <v/>
      </c>
      <c r="M75" s="142" t="str">
        <f t="shared" ca="1" si="23"/>
        <v/>
      </c>
      <c r="N75" s="77" t="str">
        <f t="shared" ca="1" si="24"/>
        <v/>
      </c>
      <c r="O75" s="140" t="str">
        <f t="shared" ca="1" si="25"/>
        <v/>
      </c>
    </row>
    <row r="76" spans="1:15">
      <c r="A76" s="160">
        <v>22</v>
      </c>
      <c r="B76" s="160" t="str">
        <f>TEXT(투자전략!$G$1+21, "[$-ko-KR]yyyy.mm.dd")</f>
        <v>2021.05.22</v>
      </c>
      <c r="C76" s="137" t="str">
        <f t="shared" ca="1" si="13"/>
        <v/>
      </c>
      <c r="D76" s="145" t="str">
        <f t="shared" ca="1" si="14"/>
        <v/>
      </c>
      <c r="E76" s="76" t="str">
        <f t="shared" ca="1" si="15"/>
        <v/>
      </c>
      <c r="F76" s="144" t="str">
        <f t="shared" ca="1" si="16"/>
        <v/>
      </c>
      <c r="G76" s="145" t="str">
        <f t="shared" ca="1" si="17"/>
        <v/>
      </c>
      <c r="H76" s="76" t="str">
        <f t="shared" ca="1" si="18"/>
        <v/>
      </c>
      <c r="I76" s="144" t="str">
        <f t="shared" ca="1" si="19"/>
        <v/>
      </c>
      <c r="J76" s="145" t="str">
        <f t="shared" ca="1" si="20"/>
        <v/>
      </c>
      <c r="K76" s="76" t="str">
        <f t="shared" ca="1" si="21"/>
        <v/>
      </c>
      <c r="L76" s="144" t="str">
        <f t="shared" ca="1" si="22"/>
        <v/>
      </c>
      <c r="M76" s="145" t="str">
        <f t="shared" ca="1" si="23"/>
        <v/>
      </c>
      <c r="N76" s="76" t="str">
        <f t="shared" ca="1" si="24"/>
        <v/>
      </c>
      <c r="O76" s="144" t="str">
        <f t="shared" ca="1" si="25"/>
        <v/>
      </c>
    </row>
    <row r="77" spans="1:15">
      <c r="A77" s="159">
        <v>23</v>
      </c>
      <c r="B77" s="159" t="str">
        <f>TEXT(투자전략!$G$1+22, "[$-ko-KR]yyyy.mm.dd")</f>
        <v>2021.05.23</v>
      </c>
      <c r="C77" s="138" t="str">
        <f t="shared" ca="1" si="13"/>
        <v/>
      </c>
      <c r="D77" s="142" t="str">
        <f t="shared" ca="1" si="14"/>
        <v/>
      </c>
      <c r="E77" s="77" t="str">
        <f t="shared" ca="1" si="15"/>
        <v/>
      </c>
      <c r="F77" s="140" t="str">
        <f t="shared" ca="1" si="16"/>
        <v/>
      </c>
      <c r="G77" s="142" t="str">
        <f t="shared" ca="1" si="17"/>
        <v/>
      </c>
      <c r="H77" s="77" t="str">
        <f t="shared" ca="1" si="18"/>
        <v/>
      </c>
      <c r="I77" s="140" t="str">
        <f t="shared" ca="1" si="19"/>
        <v/>
      </c>
      <c r="J77" s="142" t="str">
        <f t="shared" ca="1" si="20"/>
        <v/>
      </c>
      <c r="K77" s="77" t="str">
        <f t="shared" ca="1" si="21"/>
        <v/>
      </c>
      <c r="L77" s="140" t="str">
        <f t="shared" ca="1" si="22"/>
        <v/>
      </c>
      <c r="M77" s="142" t="str">
        <f t="shared" ca="1" si="23"/>
        <v/>
      </c>
      <c r="N77" s="77" t="str">
        <f t="shared" ca="1" si="24"/>
        <v/>
      </c>
      <c r="O77" s="140" t="str">
        <f t="shared" ca="1" si="25"/>
        <v/>
      </c>
    </row>
    <row r="78" spans="1:15">
      <c r="A78" s="159">
        <v>24</v>
      </c>
      <c r="B78" s="159" t="str">
        <f>TEXT(투자전략!$G$1+23, "[$-ko-KR]yyyy.mm.dd")</f>
        <v>2021.05.24</v>
      </c>
      <c r="C78" s="138" t="str">
        <f t="shared" ca="1" si="13"/>
        <v/>
      </c>
      <c r="D78" s="142" t="str">
        <f t="shared" ca="1" si="14"/>
        <v/>
      </c>
      <c r="E78" s="77" t="str">
        <f t="shared" ca="1" si="15"/>
        <v/>
      </c>
      <c r="F78" s="140" t="str">
        <f t="shared" ca="1" si="16"/>
        <v/>
      </c>
      <c r="G78" s="142" t="str">
        <f t="shared" ca="1" si="17"/>
        <v/>
      </c>
      <c r="H78" s="77" t="str">
        <f t="shared" ca="1" si="18"/>
        <v/>
      </c>
      <c r="I78" s="140" t="str">
        <f t="shared" ca="1" si="19"/>
        <v/>
      </c>
      <c r="J78" s="142" t="str">
        <f t="shared" ca="1" si="20"/>
        <v/>
      </c>
      <c r="K78" s="77" t="str">
        <f t="shared" ca="1" si="21"/>
        <v/>
      </c>
      <c r="L78" s="140" t="str">
        <f t="shared" ca="1" si="22"/>
        <v/>
      </c>
      <c r="M78" s="142" t="str">
        <f t="shared" ca="1" si="23"/>
        <v/>
      </c>
      <c r="N78" s="77" t="str">
        <f t="shared" ca="1" si="24"/>
        <v/>
      </c>
      <c r="O78" s="140" t="str">
        <f t="shared" ca="1" si="25"/>
        <v/>
      </c>
    </row>
    <row r="79" spans="1:15">
      <c r="A79" s="159">
        <v>25</v>
      </c>
      <c r="B79" s="159" t="str">
        <f>TEXT(투자전략!$G$1+24, "[$-ko-KR]yyyy.mm.dd")</f>
        <v>2021.05.25</v>
      </c>
      <c r="C79" s="138" t="str">
        <f t="shared" ca="1" si="13"/>
        <v/>
      </c>
      <c r="D79" s="142" t="str">
        <f t="shared" ca="1" si="14"/>
        <v/>
      </c>
      <c r="E79" s="77" t="str">
        <f t="shared" ca="1" si="15"/>
        <v/>
      </c>
      <c r="F79" s="140" t="str">
        <f t="shared" ca="1" si="16"/>
        <v/>
      </c>
      <c r="G79" s="142" t="str">
        <f t="shared" ca="1" si="17"/>
        <v/>
      </c>
      <c r="H79" s="77" t="str">
        <f t="shared" ca="1" si="18"/>
        <v/>
      </c>
      <c r="I79" s="140" t="str">
        <f t="shared" ca="1" si="19"/>
        <v/>
      </c>
      <c r="J79" s="142" t="str">
        <f t="shared" ca="1" si="20"/>
        <v/>
      </c>
      <c r="K79" s="77" t="str">
        <f t="shared" ca="1" si="21"/>
        <v/>
      </c>
      <c r="L79" s="140" t="str">
        <f t="shared" ca="1" si="22"/>
        <v/>
      </c>
      <c r="M79" s="142" t="str">
        <f t="shared" ca="1" si="23"/>
        <v/>
      </c>
      <c r="N79" s="77" t="str">
        <f t="shared" ca="1" si="24"/>
        <v/>
      </c>
      <c r="O79" s="140" t="str">
        <f t="shared" ca="1" si="25"/>
        <v/>
      </c>
    </row>
    <row r="80" spans="1:15">
      <c r="A80" s="159">
        <v>26</v>
      </c>
      <c r="B80" s="159" t="str">
        <f>TEXT(투자전략!$G$1+25, "[$-ko-KR]yyyy.mm.dd")</f>
        <v>2021.05.26</v>
      </c>
      <c r="C80" s="138" t="str">
        <f t="shared" ca="1" si="13"/>
        <v/>
      </c>
      <c r="D80" s="142" t="str">
        <f t="shared" ca="1" si="14"/>
        <v/>
      </c>
      <c r="E80" s="77" t="str">
        <f t="shared" ca="1" si="15"/>
        <v/>
      </c>
      <c r="F80" s="140" t="str">
        <f t="shared" ca="1" si="16"/>
        <v/>
      </c>
      <c r="G80" s="142" t="str">
        <f t="shared" ca="1" si="17"/>
        <v/>
      </c>
      <c r="H80" s="77" t="str">
        <f t="shared" ca="1" si="18"/>
        <v/>
      </c>
      <c r="I80" s="140" t="str">
        <f t="shared" ca="1" si="19"/>
        <v/>
      </c>
      <c r="J80" s="142" t="str">
        <f t="shared" ca="1" si="20"/>
        <v/>
      </c>
      <c r="K80" s="77" t="str">
        <f t="shared" ca="1" si="21"/>
        <v/>
      </c>
      <c r="L80" s="140" t="str">
        <f t="shared" ca="1" si="22"/>
        <v/>
      </c>
      <c r="M80" s="142" t="str">
        <f t="shared" ca="1" si="23"/>
        <v/>
      </c>
      <c r="N80" s="77" t="str">
        <f t="shared" ca="1" si="24"/>
        <v/>
      </c>
      <c r="O80" s="140" t="str">
        <f t="shared" ca="1" si="25"/>
        <v/>
      </c>
    </row>
    <row r="81" spans="1:15">
      <c r="A81" s="159">
        <v>27</v>
      </c>
      <c r="B81" s="159" t="str">
        <f>TEXT(투자전략!$G$1+26, "[$-ko-KR]yyyy.mm.dd")</f>
        <v>2021.05.27</v>
      </c>
      <c r="C81" s="138" t="str">
        <f t="shared" ca="1" si="13"/>
        <v/>
      </c>
      <c r="D81" s="142" t="str">
        <f t="shared" ca="1" si="14"/>
        <v/>
      </c>
      <c r="E81" s="77" t="str">
        <f t="shared" ca="1" si="15"/>
        <v/>
      </c>
      <c r="F81" s="140" t="str">
        <f t="shared" ca="1" si="16"/>
        <v/>
      </c>
      <c r="G81" s="142" t="str">
        <f t="shared" ca="1" si="17"/>
        <v/>
      </c>
      <c r="H81" s="77" t="str">
        <f t="shared" ca="1" si="18"/>
        <v/>
      </c>
      <c r="I81" s="140" t="str">
        <f t="shared" ca="1" si="19"/>
        <v/>
      </c>
      <c r="J81" s="142" t="str">
        <f t="shared" ca="1" si="20"/>
        <v/>
      </c>
      <c r="K81" s="77" t="str">
        <f t="shared" ca="1" si="21"/>
        <v/>
      </c>
      <c r="L81" s="140" t="str">
        <f t="shared" ca="1" si="22"/>
        <v/>
      </c>
      <c r="M81" s="142" t="str">
        <f t="shared" ca="1" si="23"/>
        <v/>
      </c>
      <c r="N81" s="77" t="str">
        <f t="shared" ca="1" si="24"/>
        <v/>
      </c>
      <c r="O81" s="140" t="str">
        <f t="shared" ca="1" si="25"/>
        <v/>
      </c>
    </row>
    <row r="82" spans="1:15" ht="17.25" thickBot="1">
      <c r="A82" s="161">
        <v>28</v>
      </c>
      <c r="B82" s="161" t="str">
        <f>TEXT(투자전략!$G$1+27, "[$-ko-KR]yyyy.mm.dd")</f>
        <v>2021.05.28</v>
      </c>
      <c r="C82" s="139" t="str">
        <f t="shared" ca="1" si="13"/>
        <v/>
      </c>
      <c r="D82" s="143" t="str">
        <f t="shared" ca="1" si="14"/>
        <v/>
      </c>
      <c r="E82" s="79" t="str">
        <f t="shared" ca="1" si="15"/>
        <v/>
      </c>
      <c r="F82" s="141" t="str">
        <f t="shared" ca="1" si="16"/>
        <v/>
      </c>
      <c r="G82" s="143" t="str">
        <f t="shared" ca="1" si="17"/>
        <v/>
      </c>
      <c r="H82" s="79" t="str">
        <f t="shared" ca="1" si="18"/>
        <v/>
      </c>
      <c r="I82" s="141" t="str">
        <f t="shared" ca="1" si="19"/>
        <v/>
      </c>
      <c r="J82" s="143" t="str">
        <f t="shared" ca="1" si="20"/>
        <v/>
      </c>
      <c r="K82" s="79" t="str">
        <f t="shared" ca="1" si="21"/>
        <v/>
      </c>
      <c r="L82" s="141" t="str">
        <f t="shared" ca="1" si="22"/>
        <v/>
      </c>
      <c r="M82" s="143" t="str">
        <f t="shared" ca="1" si="23"/>
        <v/>
      </c>
      <c r="N82" s="79" t="str">
        <f t="shared" ca="1" si="24"/>
        <v/>
      </c>
      <c r="O82" s="141" t="str">
        <f t="shared" ca="1" si="25"/>
        <v/>
      </c>
    </row>
    <row r="83" spans="1:15">
      <c r="A83" s="124">
        <v>29</v>
      </c>
      <c r="B83" s="160" t="str">
        <f>TEXT(투자전략!$G$1+28, "[$-ko-KR]yyyy.mm.dd")</f>
        <v>2021.05.29</v>
      </c>
      <c r="C83" s="138" t="str">
        <f t="shared" ca="1" si="13"/>
        <v/>
      </c>
      <c r="D83" s="142" t="str">
        <f t="shared" ca="1" si="14"/>
        <v/>
      </c>
      <c r="E83" s="77" t="str">
        <f t="shared" ca="1" si="15"/>
        <v/>
      </c>
      <c r="F83" s="140" t="str">
        <f t="shared" ca="1" si="16"/>
        <v/>
      </c>
      <c r="G83" s="142" t="str">
        <f t="shared" ca="1" si="17"/>
        <v/>
      </c>
      <c r="H83" s="77" t="str">
        <f t="shared" ca="1" si="18"/>
        <v/>
      </c>
      <c r="I83" s="140" t="str">
        <f t="shared" ca="1" si="19"/>
        <v/>
      </c>
      <c r="J83" s="142" t="str">
        <f t="shared" ca="1" si="20"/>
        <v/>
      </c>
      <c r="K83" s="77" t="str">
        <f t="shared" ca="1" si="21"/>
        <v/>
      </c>
      <c r="L83" s="140" t="str">
        <f t="shared" ca="1" si="22"/>
        <v/>
      </c>
      <c r="M83" s="142" t="str">
        <f t="shared" ca="1" si="23"/>
        <v/>
      </c>
      <c r="N83" s="77" t="str">
        <f t="shared" ca="1" si="24"/>
        <v/>
      </c>
      <c r="O83" s="140" t="str">
        <f t="shared" ca="1" si="25"/>
        <v/>
      </c>
    </row>
    <row r="84" spans="1:15">
      <c r="A84" s="124">
        <v>30</v>
      </c>
      <c r="B84" s="159" t="str">
        <f>TEXT(투자전략!$G$1+29, "[$-ko-KR]yyyy.mm.dd")</f>
        <v>2021.05.30</v>
      </c>
      <c r="C84" s="138" t="str">
        <f t="shared" ca="1" si="13"/>
        <v/>
      </c>
      <c r="D84" s="142" t="str">
        <f t="shared" ca="1" si="14"/>
        <v/>
      </c>
      <c r="E84" s="77" t="str">
        <f t="shared" ca="1" si="15"/>
        <v/>
      </c>
      <c r="F84" s="140" t="str">
        <f t="shared" ca="1" si="16"/>
        <v/>
      </c>
      <c r="G84" s="142" t="str">
        <f t="shared" ca="1" si="17"/>
        <v/>
      </c>
      <c r="H84" s="77" t="str">
        <f t="shared" ca="1" si="18"/>
        <v/>
      </c>
      <c r="I84" s="140" t="str">
        <f t="shared" ca="1" si="19"/>
        <v/>
      </c>
      <c r="J84" s="142" t="str">
        <f t="shared" ca="1" si="20"/>
        <v/>
      </c>
      <c r="K84" s="77" t="str">
        <f t="shared" ca="1" si="21"/>
        <v/>
      </c>
      <c r="L84" s="140" t="str">
        <f t="shared" ca="1" si="22"/>
        <v/>
      </c>
      <c r="M84" s="142" t="str">
        <f t="shared" ca="1" si="23"/>
        <v/>
      </c>
      <c r="N84" s="77" t="str">
        <f t="shared" ca="1" si="24"/>
        <v/>
      </c>
      <c r="O84" s="140" t="str">
        <f t="shared" ca="1" si="25"/>
        <v/>
      </c>
    </row>
    <row r="85" spans="1:15" ht="17.25" thickBot="1">
      <c r="A85" s="124">
        <v>31</v>
      </c>
      <c r="B85" s="159" t="str">
        <f>TEXT(투자전략!$G$1+30, "[$-ko-KR]yyyy.mm.dd")</f>
        <v>2021.05.31</v>
      </c>
      <c r="C85" s="139" t="str">
        <f t="shared" ca="1" si="13"/>
        <v/>
      </c>
      <c r="D85" s="143" t="str">
        <f t="shared" ca="1" si="14"/>
        <v/>
      </c>
      <c r="E85" s="79" t="str">
        <f t="shared" ca="1" si="15"/>
        <v/>
      </c>
      <c r="F85" s="141" t="str">
        <f t="shared" ca="1" si="16"/>
        <v/>
      </c>
      <c r="G85" s="143" t="str">
        <f t="shared" ca="1" si="17"/>
        <v/>
      </c>
      <c r="H85" s="79" t="str">
        <f t="shared" ca="1" si="18"/>
        <v/>
      </c>
      <c r="I85" s="141" t="str">
        <f t="shared" ca="1" si="19"/>
        <v/>
      </c>
      <c r="J85" s="143" t="str">
        <f t="shared" ca="1" si="20"/>
        <v/>
      </c>
      <c r="K85" s="79" t="str">
        <f t="shared" ca="1" si="21"/>
        <v/>
      </c>
      <c r="L85" s="141" t="str">
        <f t="shared" ca="1" si="22"/>
        <v/>
      </c>
      <c r="M85" s="143" t="str">
        <f t="shared" ca="1" si="23"/>
        <v/>
      </c>
      <c r="N85" s="79" t="str">
        <f t="shared" ca="1" si="24"/>
        <v/>
      </c>
      <c r="O85" s="141" t="str">
        <f t="shared" ca="1" si="25"/>
        <v/>
      </c>
    </row>
    <row r="86" spans="1:15" ht="17.25" thickBot="1">
      <c r="A86" s="213" t="s">
        <v>319</v>
      </c>
      <c r="B86" s="215"/>
      <c r="C86" s="135" t="s">
        <v>314</v>
      </c>
      <c r="D86" s="153" t="s">
        <v>315</v>
      </c>
      <c r="E86" s="154" t="s">
        <v>316</v>
      </c>
      <c r="F86" s="155" t="s">
        <v>317</v>
      </c>
      <c r="G86" s="153" t="s">
        <v>315</v>
      </c>
      <c r="H86" s="154" t="s">
        <v>316</v>
      </c>
      <c r="I86" s="155" t="s">
        <v>317</v>
      </c>
      <c r="J86" s="153" t="s">
        <v>315</v>
      </c>
      <c r="K86" s="154" t="s">
        <v>316</v>
      </c>
      <c r="L86" s="155" t="s">
        <v>317</v>
      </c>
      <c r="M86" s="153" t="s">
        <v>315</v>
      </c>
      <c r="N86" s="154" t="s">
        <v>316</v>
      </c>
      <c r="O86" s="155" t="s">
        <v>317</v>
      </c>
    </row>
    <row r="87" spans="1:15" ht="17.25" thickBot="1">
      <c r="A87" s="206"/>
      <c r="B87" s="208"/>
      <c r="C87" s="139">
        <f ca="1">SUM(C55:C85)</f>
        <v>24450000</v>
      </c>
      <c r="D87" s="143">
        <f ca="1">SUM(D55:D85)</f>
        <v>24390951.695759259</v>
      </c>
      <c r="E87" s="79">
        <f ca="1">IFERROR(F87 / (SUM($C55:$C85) / COUNT($C55:$C85)), 0)</f>
        <v>-1.2075317840642393E-2</v>
      </c>
      <c r="F87" s="141">
        <f ca="1">SUM(F55:F85)</f>
        <v>-59048.304240741301</v>
      </c>
      <c r="G87" s="143">
        <f ca="1">SUM(G55:G85)</f>
        <v>24501736.094695799</v>
      </c>
      <c r="H87" s="79">
        <f ca="1">IFERROR(I87 / (SUM($C55:$C85) / COUNT($C55:$C85)), 0)</f>
        <v>1.0579978465399757E-2</v>
      </c>
      <c r="I87" s="141">
        <f ca="1">SUM(I55:I85)</f>
        <v>51736.094695804815</v>
      </c>
      <c r="J87" s="143">
        <f ca="1">SUM(J55:J85)</f>
        <v>24559572.08279559</v>
      </c>
      <c r="K87" s="79">
        <f ca="1">IFERROR(L87 / (SUM($C55:$C85) / COUNT($C55:$C85)), 0)</f>
        <v>2.2407378894803525E-2</v>
      </c>
      <c r="L87" s="141">
        <f ca="1">SUM(L55:L85)</f>
        <v>109572.08279558925</v>
      </c>
      <c r="M87" s="143">
        <f ca="1">SUM(M55:M85)</f>
        <v>24458949.121695325</v>
      </c>
      <c r="N87" s="79">
        <f ca="1">IFERROR(O87 / (SUM($C55:$C85) / COUNT($C55:$C85)), 0)</f>
        <v>1.8300862362633668E-3</v>
      </c>
      <c r="O87" s="141">
        <f ca="1">SUM(O55:O85)</f>
        <v>8949.1216953278636</v>
      </c>
    </row>
    <row r="89" spans="1:15" ht="17.25" thickBot="1"/>
    <row r="90" spans="1:15" ht="17.25" thickBot="1">
      <c r="A90" s="185" t="str">
        <f>TEXT(투자전략!$G$1, "[$-ko-KR]yyyy년 mm월 ") &amp; "[동전코인] 전일대비 상승률 Top20 월말결산"</f>
        <v>2021년 05월 [동전코인] 전일대비 상승률 Top20 월말결산</v>
      </c>
      <c r="B90" s="186"/>
      <c r="C90" s="186"/>
      <c r="D90" s="186"/>
      <c r="E90" s="186"/>
      <c r="F90" s="186"/>
      <c r="G90" s="186"/>
      <c r="H90" s="186"/>
      <c r="I90" s="186"/>
      <c r="J90" s="186"/>
      <c r="K90" s="186"/>
      <c r="L90" s="186"/>
      <c r="M90" s="186"/>
      <c r="N90" s="186"/>
      <c r="O90" s="187"/>
    </row>
    <row r="91" spans="1:15" ht="17.25" thickBot="1">
      <c r="A91" s="229" t="s">
        <v>320</v>
      </c>
      <c r="B91" s="206" t="s">
        <v>318</v>
      </c>
      <c r="C91" s="208"/>
      <c r="D91" s="206" t="s">
        <v>310</v>
      </c>
      <c r="E91" s="207"/>
      <c r="F91" s="208"/>
      <c r="G91" s="206" t="s">
        <v>311</v>
      </c>
      <c r="H91" s="207"/>
      <c r="I91" s="208"/>
      <c r="J91" s="206" t="s">
        <v>312</v>
      </c>
      <c r="K91" s="207"/>
      <c r="L91" s="208"/>
      <c r="M91" s="206" t="s">
        <v>313</v>
      </c>
      <c r="N91" s="207"/>
      <c r="O91" s="208"/>
    </row>
    <row r="92" spans="1:15" ht="17.25" thickBot="1">
      <c r="A92" s="222"/>
      <c r="B92" s="160" t="s">
        <v>308</v>
      </c>
      <c r="C92" s="160" t="s">
        <v>42</v>
      </c>
      <c r="D92" s="124" t="s">
        <v>309</v>
      </c>
      <c r="E92" s="136" t="s">
        <v>40</v>
      </c>
      <c r="F92" s="162" t="s">
        <v>41</v>
      </c>
      <c r="G92" s="124" t="s">
        <v>309</v>
      </c>
      <c r="H92" s="136" t="s">
        <v>40</v>
      </c>
      <c r="I92" s="162" t="s">
        <v>41</v>
      </c>
      <c r="J92" s="124" t="s">
        <v>309</v>
      </c>
      <c r="K92" s="136" t="s">
        <v>40</v>
      </c>
      <c r="L92" s="162" t="s">
        <v>41</v>
      </c>
      <c r="M92" s="124" t="s">
        <v>309</v>
      </c>
      <c r="N92" s="136" t="s">
        <v>40</v>
      </c>
      <c r="O92" s="162" t="s">
        <v>41</v>
      </c>
    </row>
    <row r="93" spans="1:15">
      <c r="A93" s="160">
        <v>1</v>
      </c>
      <c r="B93" s="160" t="str">
        <f>TEXT(투자전략!$G$1+0, "[$-ko-KR]yyyy.mm.dd")</f>
        <v>2021.05.01</v>
      </c>
      <c r="C93" s="137">
        <f ca="1">IFERROR(COUNTA(INDIRECT($B93&amp;"!A71:A90")) * INDIRECT($B93&amp;"!B91"), "")</f>
        <v>6000000</v>
      </c>
      <c r="D93" s="145">
        <f ca="1">IFERROR($C93 * (1 + E93), "")</f>
        <v>6184486.4255649652</v>
      </c>
      <c r="E93" s="76">
        <f ca="1">IFERROR(INDIRECT($B93&amp;"!E91"), "")</f>
        <v>3.0747737594160929E-2</v>
      </c>
      <c r="F93" s="144">
        <f ca="1">IFERROR(INDIRECT($B93&amp;"!F91"), "")</f>
        <v>184486.42556496555</v>
      </c>
      <c r="G93" s="145">
        <f ca="1">IFERROR($C93 * (1 + H93), "")</f>
        <v>6114970.0911680311</v>
      </c>
      <c r="H93" s="76">
        <f ca="1">IFERROR(INDIRECT($B93&amp;"!H91"), "")</f>
        <v>1.9161681861338504E-2</v>
      </c>
      <c r="I93" s="144">
        <f ca="1">IFERROR(INDIRECT($B93&amp;"!I91"), "")</f>
        <v>114970.09116803102</v>
      </c>
      <c r="J93" s="145">
        <f ca="1">IFERROR($C93 * (1 + K93), "")</f>
        <v>6194970.8295751177</v>
      </c>
      <c r="K93" s="76">
        <f ca="1">IFERROR(INDIRECT($B93&amp;"!K91"), "")</f>
        <v>3.2495138262519693E-2</v>
      </c>
      <c r="L93" s="144">
        <f ca="1">IFERROR(INDIRECT($B93&amp;"!L91"), "")</f>
        <v>194970.82957511808</v>
      </c>
      <c r="M93" s="145">
        <f ca="1">IFERROR($C93 * (1 + N93), "")</f>
        <v>6147439.3665411985</v>
      </c>
      <c r="N93" s="76">
        <f ca="1">IFERROR(INDIRECT($B93&amp;"!N91"), "")</f>
        <v>2.4573227756866368E-2</v>
      </c>
      <c r="O93" s="144">
        <f ca="1">IFERROR(INDIRECT($B93&amp;"!O91"), "")</f>
        <v>147439.36654119819</v>
      </c>
    </row>
    <row r="94" spans="1:15">
      <c r="A94" s="159">
        <v>2</v>
      </c>
      <c r="B94" s="159" t="str">
        <f>TEXT(투자전략!$G$1+1, "[$-ko-KR]yyyy.mm.dd")</f>
        <v>2021.05.02</v>
      </c>
      <c r="C94" s="138">
        <f t="shared" ref="C94:C123" ca="1" si="26">IFERROR(COUNTA(INDIRECT($B94&amp;"!A71:A90")) * INDIRECT($B94&amp;"!B91"), "")</f>
        <v>6000000</v>
      </c>
      <c r="D94" s="142">
        <f t="shared" ref="D94:D123" ca="1" si="27">IFERROR($C94 * (1 + E94), "")</f>
        <v>5982819.4308755761</v>
      </c>
      <c r="E94" s="77">
        <f t="shared" ref="E94:E123" ca="1" si="28">IFERROR(INDIRECT($B94&amp;"!E91"), "")</f>
        <v>-2.863428187403949E-3</v>
      </c>
      <c r="F94" s="140">
        <f t="shared" ref="F94:F123" ca="1" si="29">IFERROR(INDIRECT($B94&amp;"!F91"), "")</f>
        <v>-17180.569124423695</v>
      </c>
      <c r="G94" s="142">
        <f t="shared" ref="G94:G123" ca="1" si="30">IFERROR($C94 * (1 + H94), "")</f>
        <v>5990283.0231446996</v>
      </c>
      <c r="H94" s="77">
        <f t="shared" ref="H94:H123" ca="1" si="31">IFERROR(INDIRECT($B94&amp;"!H91"), "")</f>
        <v>-1.6194961425501017E-3</v>
      </c>
      <c r="I94" s="140">
        <f t="shared" ref="I94:I123" ca="1" si="32">IFERROR(INDIRECT($B94&amp;"!I91"), "")</f>
        <v>-9716.9768553006252</v>
      </c>
      <c r="J94" s="142">
        <f t="shared" ref="J94:J123" ca="1" si="33">IFERROR($C94 * (1 + K94), "")</f>
        <v>6021894.870766893</v>
      </c>
      <c r="K94" s="77">
        <f t="shared" ref="K94:K123" ca="1" si="34">IFERROR(INDIRECT($B94&amp;"!K91"), "")</f>
        <v>3.6491451278155467E-3</v>
      </c>
      <c r="L94" s="140">
        <f t="shared" ref="L94:L123" ca="1" si="35">IFERROR(INDIRECT($B94&amp;"!L91"), "")</f>
        <v>21894.870766893284</v>
      </c>
      <c r="M94" s="142">
        <f t="shared" ref="M94:M123" ca="1" si="36">IFERROR($C94 * (1 + N94), "")</f>
        <v>6051490.358055776</v>
      </c>
      <c r="N94" s="77">
        <f t="shared" ref="N94:N123" ca="1" si="37">IFERROR(INDIRECT($B94&amp;"!N91"), "")</f>
        <v>8.581726342629362E-3</v>
      </c>
      <c r="O94" s="140">
        <f t="shared" ref="O94:O123" ca="1" si="38">IFERROR(INDIRECT($B94&amp;"!O91"), "")</f>
        <v>51490.358055776174</v>
      </c>
    </row>
    <row r="95" spans="1:15">
      <c r="A95" s="159">
        <v>3</v>
      </c>
      <c r="B95" s="159" t="str">
        <f>TEXT(투자전략!$G$1+2, "[$-ko-KR]yyyy.mm.dd")</f>
        <v>2021.05.03</v>
      </c>
      <c r="C95" s="138">
        <f t="shared" ca="1" si="26"/>
        <v>6000000</v>
      </c>
      <c r="D95" s="142">
        <f t="shared" ca="1" si="27"/>
        <v>6172508.5939996438</v>
      </c>
      <c r="E95" s="77">
        <f t="shared" ca="1" si="28"/>
        <v>2.8751432333274062E-2</v>
      </c>
      <c r="F95" s="140">
        <f t="shared" ca="1" si="29"/>
        <v>172508.59399964436</v>
      </c>
      <c r="G95" s="142">
        <f t="shared" ca="1" si="30"/>
        <v>6233686.7788462183</v>
      </c>
      <c r="H95" s="77">
        <f t="shared" ca="1" si="31"/>
        <v>3.8947796474369689E-2</v>
      </c>
      <c r="I95" s="140">
        <f t="shared" ca="1" si="32"/>
        <v>233686.77884621805</v>
      </c>
      <c r="J95" s="142">
        <f t="shared" ca="1" si="33"/>
        <v>6289422.7420696653</v>
      </c>
      <c r="K95" s="77">
        <f t="shared" ca="1" si="34"/>
        <v>4.8237123678277566E-2</v>
      </c>
      <c r="L95" s="140">
        <f t="shared" ca="1" si="35"/>
        <v>289422.74206966534</v>
      </c>
      <c r="M95" s="142">
        <f t="shared" ca="1" si="36"/>
        <v>6195461.6913859444</v>
      </c>
      <c r="N95" s="77">
        <f t="shared" ca="1" si="37"/>
        <v>3.2576948564324033E-2</v>
      </c>
      <c r="O95" s="140">
        <f t="shared" ca="1" si="38"/>
        <v>195461.69138594417</v>
      </c>
    </row>
    <row r="96" spans="1:15">
      <c r="A96" s="159">
        <v>4</v>
      </c>
      <c r="B96" s="159" t="str">
        <f>TEXT(투자전략!$G$1+3, "[$-ko-KR]yyyy.mm.dd")</f>
        <v>2021.05.04</v>
      </c>
      <c r="C96" s="138">
        <f t="shared" ca="1" si="26"/>
        <v>6000000</v>
      </c>
      <c r="D96" s="142">
        <f t="shared" ca="1" si="27"/>
        <v>5878310.7276261421</v>
      </c>
      <c r="E96" s="77">
        <f t="shared" ca="1" si="28"/>
        <v>-2.0281545395642968E-2</v>
      </c>
      <c r="F96" s="140">
        <f t="shared" ca="1" si="29"/>
        <v>-121689.27237385782</v>
      </c>
      <c r="G96" s="142">
        <f t="shared" ca="1" si="30"/>
        <v>5985906.1143582687</v>
      </c>
      <c r="H96" s="77">
        <f t="shared" ca="1" si="31"/>
        <v>-2.3489809402885697E-3</v>
      </c>
      <c r="I96" s="140">
        <f t="shared" ca="1" si="32"/>
        <v>-14093.885641731413</v>
      </c>
      <c r="J96" s="142">
        <f t="shared" ca="1" si="33"/>
        <v>6006627.6945339618</v>
      </c>
      <c r="K96" s="77">
        <f t="shared" ca="1" si="34"/>
        <v>1.1046157556602802E-3</v>
      </c>
      <c r="L96" s="140">
        <f t="shared" ca="1" si="35"/>
        <v>6627.6945339616759</v>
      </c>
      <c r="M96" s="142">
        <f t="shared" ca="1" si="36"/>
        <v>5821671.7144620856</v>
      </c>
      <c r="N96" s="77">
        <f t="shared" ca="1" si="37"/>
        <v>-2.9721380922985652E-2</v>
      </c>
      <c r="O96" s="140">
        <f t="shared" ca="1" si="38"/>
        <v>-178328.28553791397</v>
      </c>
    </row>
    <row r="97" spans="1:15">
      <c r="A97" s="159">
        <v>5</v>
      </c>
      <c r="B97" s="159" t="str">
        <f>TEXT(투자전략!$G$1+4, "[$-ko-KR]yyyy.mm.dd")</f>
        <v>2021.05.05</v>
      </c>
      <c r="C97" s="138">
        <f t="shared" ca="1" si="26"/>
        <v>3000000</v>
      </c>
      <c r="D97" s="142">
        <f t="shared" ca="1" si="27"/>
        <v>2966021.1131484676</v>
      </c>
      <c r="E97" s="77">
        <f t="shared" ca="1" si="28"/>
        <v>-1.1326295617177452E-2</v>
      </c>
      <c r="F97" s="140">
        <f t="shared" ca="1" si="29"/>
        <v>-33978.886851532356</v>
      </c>
      <c r="G97" s="142">
        <f t="shared" ca="1" si="30"/>
        <v>2992445.553707548</v>
      </c>
      <c r="H97" s="77">
        <f t="shared" ca="1" si="31"/>
        <v>-2.5181487641507132E-3</v>
      </c>
      <c r="I97" s="140">
        <f t="shared" ca="1" si="32"/>
        <v>-7554.4462924521331</v>
      </c>
      <c r="J97" s="142">
        <f t="shared" ca="1" si="33"/>
        <v>2968457.8401459786</v>
      </c>
      <c r="K97" s="77">
        <f t="shared" ca="1" si="34"/>
        <v>-1.0514053284673846E-2</v>
      </c>
      <c r="L97" s="140">
        <f t="shared" ca="1" si="35"/>
        <v>-31542.159854021535</v>
      </c>
      <c r="M97" s="142">
        <f t="shared" ca="1" si="36"/>
        <v>3000000</v>
      </c>
      <c r="N97" s="77">
        <f t="shared" ca="1" si="37"/>
        <v>0</v>
      </c>
      <c r="O97" s="140">
        <f t="shared" ca="1" si="38"/>
        <v>0</v>
      </c>
    </row>
    <row r="98" spans="1:15">
      <c r="A98" s="159">
        <v>6</v>
      </c>
      <c r="B98" s="159" t="str">
        <f>TEXT(투자전략!$G$1+5, "[$-ko-KR]yyyy.mm.dd")</f>
        <v>2021.05.06</v>
      </c>
      <c r="C98" s="138" t="str">
        <f t="shared" ca="1" si="26"/>
        <v/>
      </c>
      <c r="D98" s="142" t="str">
        <f t="shared" ca="1" si="27"/>
        <v/>
      </c>
      <c r="E98" s="77" t="str">
        <f t="shared" ca="1" si="28"/>
        <v/>
      </c>
      <c r="F98" s="140" t="str">
        <f t="shared" ca="1" si="29"/>
        <v/>
      </c>
      <c r="G98" s="142" t="str">
        <f t="shared" ca="1" si="30"/>
        <v/>
      </c>
      <c r="H98" s="77" t="str">
        <f t="shared" ca="1" si="31"/>
        <v/>
      </c>
      <c r="I98" s="140" t="str">
        <f t="shared" ca="1" si="32"/>
        <v/>
      </c>
      <c r="J98" s="142" t="str">
        <f t="shared" ca="1" si="33"/>
        <v/>
      </c>
      <c r="K98" s="77" t="str">
        <f t="shared" ca="1" si="34"/>
        <v/>
      </c>
      <c r="L98" s="140" t="str">
        <f t="shared" ca="1" si="35"/>
        <v/>
      </c>
      <c r="M98" s="142" t="str">
        <f t="shared" ca="1" si="36"/>
        <v/>
      </c>
      <c r="N98" s="77" t="str">
        <f t="shared" ca="1" si="37"/>
        <v/>
      </c>
      <c r="O98" s="140" t="str">
        <f t="shared" ca="1" si="38"/>
        <v/>
      </c>
    </row>
    <row r="99" spans="1:15" ht="17.25" thickBot="1">
      <c r="A99" s="161">
        <v>7</v>
      </c>
      <c r="B99" s="161" t="str">
        <f>TEXT(투자전략!$G$1+6, "[$-ko-KR]yyyy.mm.dd")</f>
        <v>2021.05.07</v>
      </c>
      <c r="C99" s="138" t="str">
        <f t="shared" ca="1" si="26"/>
        <v/>
      </c>
      <c r="D99" s="142" t="str">
        <f t="shared" ca="1" si="27"/>
        <v/>
      </c>
      <c r="E99" s="77" t="str">
        <f t="shared" ca="1" si="28"/>
        <v/>
      </c>
      <c r="F99" s="140" t="str">
        <f t="shared" ca="1" si="29"/>
        <v/>
      </c>
      <c r="G99" s="142" t="str">
        <f t="shared" ca="1" si="30"/>
        <v/>
      </c>
      <c r="H99" s="77" t="str">
        <f t="shared" ca="1" si="31"/>
        <v/>
      </c>
      <c r="I99" s="140" t="str">
        <f t="shared" ca="1" si="32"/>
        <v/>
      </c>
      <c r="J99" s="142" t="str">
        <f t="shared" ca="1" si="33"/>
        <v/>
      </c>
      <c r="K99" s="77" t="str">
        <f t="shared" ca="1" si="34"/>
        <v/>
      </c>
      <c r="L99" s="140" t="str">
        <f t="shared" ca="1" si="35"/>
        <v/>
      </c>
      <c r="M99" s="142" t="str">
        <f t="shared" ca="1" si="36"/>
        <v/>
      </c>
      <c r="N99" s="77" t="str">
        <f t="shared" ca="1" si="37"/>
        <v/>
      </c>
      <c r="O99" s="140" t="str">
        <f t="shared" ca="1" si="38"/>
        <v/>
      </c>
    </row>
    <row r="100" spans="1:15">
      <c r="A100" s="160">
        <v>8</v>
      </c>
      <c r="B100" s="160" t="str">
        <f>TEXT(투자전략!$G$1+7, "[$-ko-KR]yyyy.mm.dd")</f>
        <v>2021.05.08</v>
      </c>
      <c r="C100" s="137" t="str">
        <f t="shared" ca="1" si="26"/>
        <v/>
      </c>
      <c r="D100" s="145" t="str">
        <f t="shared" ca="1" si="27"/>
        <v/>
      </c>
      <c r="E100" s="76" t="str">
        <f t="shared" ca="1" si="28"/>
        <v/>
      </c>
      <c r="F100" s="144" t="str">
        <f t="shared" ca="1" si="29"/>
        <v/>
      </c>
      <c r="G100" s="145" t="str">
        <f t="shared" ca="1" si="30"/>
        <v/>
      </c>
      <c r="H100" s="76" t="str">
        <f t="shared" ca="1" si="31"/>
        <v/>
      </c>
      <c r="I100" s="144" t="str">
        <f t="shared" ca="1" si="32"/>
        <v/>
      </c>
      <c r="J100" s="145" t="str">
        <f t="shared" ca="1" si="33"/>
        <v/>
      </c>
      <c r="K100" s="76" t="str">
        <f t="shared" ca="1" si="34"/>
        <v/>
      </c>
      <c r="L100" s="144" t="str">
        <f t="shared" ca="1" si="35"/>
        <v/>
      </c>
      <c r="M100" s="145" t="str">
        <f t="shared" ca="1" si="36"/>
        <v/>
      </c>
      <c r="N100" s="76" t="str">
        <f t="shared" ca="1" si="37"/>
        <v/>
      </c>
      <c r="O100" s="144" t="str">
        <f t="shared" ca="1" si="38"/>
        <v/>
      </c>
    </row>
    <row r="101" spans="1:15">
      <c r="A101" s="159">
        <v>9</v>
      </c>
      <c r="B101" s="159" t="str">
        <f>TEXT(투자전략!$G$1+8, "[$-ko-KR]yyyy.mm.dd")</f>
        <v>2021.05.09</v>
      </c>
      <c r="C101" s="138" t="str">
        <f t="shared" ca="1" si="26"/>
        <v/>
      </c>
      <c r="D101" s="142" t="str">
        <f t="shared" ca="1" si="27"/>
        <v/>
      </c>
      <c r="E101" s="77" t="str">
        <f t="shared" ca="1" si="28"/>
        <v/>
      </c>
      <c r="F101" s="140" t="str">
        <f t="shared" ca="1" si="29"/>
        <v/>
      </c>
      <c r="G101" s="142" t="str">
        <f t="shared" ca="1" si="30"/>
        <v/>
      </c>
      <c r="H101" s="77" t="str">
        <f t="shared" ca="1" si="31"/>
        <v/>
      </c>
      <c r="I101" s="140" t="str">
        <f t="shared" ca="1" si="32"/>
        <v/>
      </c>
      <c r="J101" s="142" t="str">
        <f t="shared" ca="1" si="33"/>
        <v/>
      </c>
      <c r="K101" s="77" t="str">
        <f t="shared" ca="1" si="34"/>
        <v/>
      </c>
      <c r="L101" s="140" t="str">
        <f t="shared" ca="1" si="35"/>
        <v/>
      </c>
      <c r="M101" s="142" t="str">
        <f t="shared" ca="1" si="36"/>
        <v/>
      </c>
      <c r="N101" s="77" t="str">
        <f t="shared" ca="1" si="37"/>
        <v/>
      </c>
      <c r="O101" s="140" t="str">
        <f t="shared" ca="1" si="38"/>
        <v/>
      </c>
    </row>
    <row r="102" spans="1:15">
      <c r="A102" s="159">
        <v>10</v>
      </c>
      <c r="B102" s="159" t="str">
        <f>TEXT(투자전략!$G$1+9, "[$-ko-KR]yyyy.mm.dd")</f>
        <v>2021.05.10</v>
      </c>
      <c r="C102" s="138" t="str">
        <f t="shared" ca="1" si="26"/>
        <v/>
      </c>
      <c r="D102" s="142" t="str">
        <f t="shared" ca="1" si="27"/>
        <v/>
      </c>
      <c r="E102" s="77" t="str">
        <f t="shared" ca="1" si="28"/>
        <v/>
      </c>
      <c r="F102" s="140" t="str">
        <f t="shared" ca="1" si="29"/>
        <v/>
      </c>
      <c r="G102" s="142" t="str">
        <f t="shared" ca="1" si="30"/>
        <v/>
      </c>
      <c r="H102" s="77" t="str">
        <f t="shared" ca="1" si="31"/>
        <v/>
      </c>
      <c r="I102" s="140" t="str">
        <f t="shared" ca="1" si="32"/>
        <v/>
      </c>
      <c r="J102" s="142" t="str">
        <f t="shared" ca="1" si="33"/>
        <v/>
      </c>
      <c r="K102" s="77" t="str">
        <f t="shared" ca="1" si="34"/>
        <v/>
      </c>
      <c r="L102" s="140" t="str">
        <f t="shared" ca="1" si="35"/>
        <v/>
      </c>
      <c r="M102" s="142" t="str">
        <f t="shared" ca="1" si="36"/>
        <v/>
      </c>
      <c r="N102" s="77" t="str">
        <f t="shared" ca="1" si="37"/>
        <v/>
      </c>
      <c r="O102" s="140" t="str">
        <f t="shared" ca="1" si="38"/>
        <v/>
      </c>
    </row>
    <row r="103" spans="1:15">
      <c r="A103" s="159">
        <v>11</v>
      </c>
      <c r="B103" s="159" t="str">
        <f>TEXT(투자전략!$G$1+10, "[$-ko-KR]yyyy.mm.dd")</f>
        <v>2021.05.11</v>
      </c>
      <c r="C103" s="138" t="str">
        <f t="shared" ca="1" si="26"/>
        <v/>
      </c>
      <c r="D103" s="142" t="str">
        <f t="shared" ca="1" si="27"/>
        <v/>
      </c>
      <c r="E103" s="77" t="str">
        <f t="shared" ca="1" si="28"/>
        <v/>
      </c>
      <c r="F103" s="140" t="str">
        <f t="shared" ca="1" si="29"/>
        <v/>
      </c>
      <c r="G103" s="142" t="str">
        <f t="shared" ca="1" si="30"/>
        <v/>
      </c>
      <c r="H103" s="77" t="str">
        <f t="shared" ca="1" si="31"/>
        <v/>
      </c>
      <c r="I103" s="140" t="str">
        <f t="shared" ca="1" si="32"/>
        <v/>
      </c>
      <c r="J103" s="142" t="str">
        <f t="shared" ca="1" si="33"/>
        <v/>
      </c>
      <c r="K103" s="77" t="str">
        <f t="shared" ca="1" si="34"/>
        <v/>
      </c>
      <c r="L103" s="140" t="str">
        <f t="shared" ca="1" si="35"/>
        <v/>
      </c>
      <c r="M103" s="142" t="str">
        <f t="shared" ca="1" si="36"/>
        <v/>
      </c>
      <c r="N103" s="77" t="str">
        <f t="shared" ca="1" si="37"/>
        <v/>
      </c>
      <c r="O103" s="140" t="str">
        <f t="shared" ca="1" si="38"/>
        <v/>
      </c>
    </row>
    <row r="104" spans="1:15">
      <c r="A104" s="159">
        <v>12</v>
      </c>
      <c r="B104" s="159" t="str">
        <f>TEXT(투자전략!$G$1+11, "[$-ko-KR]yyyy.mm.dd")</f>
        <v>2021.05.12</v>
      </c>
      <c r="C104" s="138" t="str">
        <f t="shared" ca="1" si="26"/>
        <v/>
      </c>
      <c r="D104" s="142" t="str">
        <f t="shared" ca="1" si="27"/>
        <v/>
      </c>
      <c r="E104" s="77" t="str">
        <f t="shared" ca="1" si="28"/>
        <v/>
      </c>
      <c r="F104" s="140" t="str">
        <f t="shared" ca="1" si="29"/>
        <v/>
      </c>
      <c r="G104" s="142" t="str">
        <f t="shared" ca="1" si="30"/>
        <v/>
      </c>
      <c r="H104" s="77" t="str">
        <f t="shared" ca="1" si="31"/>
        <v/>
      </c>
      <c r="I104" s="140" t="str">
        <f t="shared" ca="1" si="32"/>
        <v/>
      </c>
      <c r="J104" s="142" t="str">
        <f t="shared" ca="1" si="33"/>
        <v/>
      </c>
      <c r="K104" s="77" t="str">
        <f t="shared" ca="1" si="34"/>
        <v/>
      </c>
      <c r="L104" s="140" t="str">
        <f t="shared" ca="1" si="35"/>
        <v/>
      </c>
      <c r="M104" s="142" t="str">
        <f t="shared" ca="1" si="36"/>
        <v/>
      </c>
      <c r="N104" s="77" t="str">
        <f t="shared" ca="1" si="37"/>
        <v/>
      </c>
      <c r="O104" s="140" t="str">
        <f t="shared" ca="1" si="38"/>
        <v/>
      </c>
    </row>
    <row r="105" spans="1:15">
      <c r="A105" s="159">
        <v>13</v>
      </c>
      <c r="B105" s="159" t="str">
        <f>TEXT(투자전략!$G$1+12, "[$-ko-KR]yyyy.mm.dd")</f>
        <v>2021.05.13</v>
      </c>
      <c r="C105" s="138" t="str">
        <f t="shared" ca="1" si="26"/>
        <v/>
      </c>
      <c r="D105" s="142" t="str">
        <f t="shared" ca="1" si="27"/>
        <v/>
      </c>
      <c r="E105" s="77" t="str">
        <f t="shared" ca="1" si="28"/>
        <v/>
      </c>
      <c r="F105" s="140" t="str">
        <f t="shared" ca="1" si="29"/>
        <v/>
      </c>
      <c r="G105" s="142" t="str">
        <f t="shared" ca="1" si="30"/>
        <v/>
      </c>
      <c r="H105" s="77" t="str">
        <f t="shared" ca="1" si="31"/>
        <v/>
      </c>
      <c r="I105" s="140" t="str">
        <f t="shared" ca="1" si="32"/>
        <v/>
      </c>
      <c r="J105" s="142" t="str">
        <f t="shared" ca="1" si="33"/>
        <v/>
      </c>
      <c r="K105" s="77" t="str">
        <f t="shared" ca="1" si="34"/>
        <v/>
      </c>
      <c r="L105" s="140" t="str">
        <f t="shared" ca="1" si="35"/>
        <v/>
      </c>
      <c r="M105" s="142" t="str">
        <f t="shared" ca="1" si="36"/>
        <v/>
      </c>
      <c r="N105" s="77" t="str">
        <f t="shared" ca="1" si="37"/>
        <v/>
      </c>
      <c r="O105" s="140" t="str">
        <f t="shared" ca="1" si="38"/>
        <v/>
      </c>
    </row>
    <row r="106" spans="1:15" ht="17.25" thickBot="1">
      <c r="A106" s="161">
        <v>14</v>
      </c>
      <c r="B106" s="161" t="str">
        <f>TEXT(투자전략!$G$1+13, "[$-ko-KR]yyyy.mm.dd")</f>
        <v>2021.05.14</v>
      </c>
      <c r="C106" s="139" t="str">
        <f t="shared" ca="1" si="26"/>
        <v/>
      </c>
      <c r="D106" s="143" t="str">
        <f t="shared" ca="1" si="27"/>
        <v/>
      </c>
      <c r="E106" s="79" t="str">
        <f t="shared" ca="1" si="28"/>
        <v/>
      </c>
      <c r="F106" s="141" t="str">
        <f t="shared" ca="1" si="29"/>
        <v/>
      </c>
      <c r="G106" s="143" t="str">
        <f t="shared" ca="1" si="30"/>
        <v/>
      </c>
      <c r="H106" s="79" t="str">
        <f t="shared" ca="1" si="31"/>
        <v/>
      </c>
      <c r="I106" s="141" t="str">
        <f t="shared" ca="1" si="32"/>
        <v/>
      </c>
      <c r="J106" s="143" t="str">
        <f t="shared" ca="1" si="33"/>
        <v/>
      </c>
      <c r="K106" s="79" t="str">
        <f t="shared" ca="1" si="34"/>
        <v/>
      </c>
      <c r="L106" s="141" t="str">
        <f t="shared" ca="1" si="35"/>
        <v/>
      </c>
      <c r="M106" s="143" t="str">
        <f t="shared" ca="1" si="36"/>
        <v/>
      </c>
      <c r="N106" s="79" t="str">
        <f t="shared" ca="1" si="37"/>
        <v/>
      </c>
      <c r="O106" s="141" t="str">
        <f t="shared" ca="1" si="38"/>
        <v/>
      </c>
    </row>
    <row r="107" spans="1:15">
      <c r="A107" s="160">
        <v>15</v>
      </c>
      <c r="B107" s="160" t="str">
        <f>TEXT(투자전략!$G$1+14, "[$-ko-KR]yyyy.mm.dd")</f>
        <v>2021.05.15</v>
      </c>
      <c r="C107" s="138" t="str">
        <f t="shared" ca="1" si="26"/>
        <v/>
      </c>
      <c r="D107" s="142" t="str">
        <f t="shared" ca="1" si="27"/>
        <v/>
      </c>
      <c r="E107" s="77" t="str">
        <f t="shared" ca="1" si="28"/>
        <v/>
      </c>
      <c r="F107" s="140" t="str">
        <f t="shared" ca="1" si="29"/>
        <v/>
      </c>
      <c r="G107" s="142" t="str">
        <f t="shared" ca="1" si="30"/>
        <v/>
      </c>
      <c r="H107" s="77" t="str">
        <f t="shared" ca="1" si="31"/>
        <v/>
      </c>
      <c r="I107" s="140" t="str">
        <f t="shared" ca="1" si="32"/>
        <v/>
      </c>
      <c r="J107" s="142" t="str">
        <f t="shared" ca="1" si="33"/>
        <v/>
      </c>
      <c r="K107" s="77" t="str">
        <f t="shared" ca="1" si="34"/>
        <v/>
      </c>
      <c r="L107" s="140" t="str">
        <f t="shared" ca="1" si="35"/>
        <v/>
      </c>
      <c r="M107" s="142" t="str">
        <f t="shared" ca="1" si="36"/>
        <v/>
      </c>
      <c r="N107" s="77" t="str">
        <f t="shared" ca="1" si="37"/>
        <v/>
      </c>
      <c r="O107" s="140" t="str">
        <f t="shared" ca="1" si="38"/>
        <v/>
      </c>
    </row>
    <row r="108" spans="1:15">
      <c r="A108" s="159">
        <v>16</v>
      </c>
      <c r="B108" s="159" t="str">
        <f>TEXT(투자전략!$G$1+15, "[$-ko-KR]yyyy.mm.dd")</f>
        <v>2021.05.16</v>
      </c>
      <c r="C108" s="138" t="str">
        <f t="shared" ca="1" si="26"/>
        <v/>
      </c>
      <c r="D108" s="142" t="str">
        <f t="shared" ca="1" si="27"/>
        <v/>
      </c>
      <c r="E108" s="77" t="str">
        <f t="shared" ca="1" si="28"/>
        <v/>
      </c>
      <c r="F108" s="140" t="str">
        <f t="shared" ca="1" si="29"/>
        <v/>
      </c>
      <c r="G108" s="142" t="str">
        <f t="shared" ca="1" si="30"/>
        <v/>
      </c>
      <c r="H108" s="77" t="str">
        <f t="shared" ca="1" si="31"/>
        <v/>
      </c>
      <c r="I108" s="140" t="str">
        <f t="shared" ca="1" si="32"/>
        <v/>
      </c>
      <c r="J108" s="142" t="str">
        <f t="shared" ca="1" si="33"/>
        <v/>
      </c>
      <c r="K108" s="77" t="str">
        <f t="shared" ca="1" si="34"/>
        <v/>
      </c>
      <c r="L108" s="140" t="str">
        <f t="shared" ca="1" si="35"/>
        <v/>
      </c>
      <c r="M108" s="142" t="str">
        <f t="shared" ca="1" si="36"/>
        <v/>
      </c>
      <c r="N108" s="77" t="str">
        <f t="shared" ca="1" si="37"/>
        <v/>
      </c>
      <c r="O108" s="140" t="str">
        <f t="shared" ca="1" si="38"/>
        <v/>
      </c>
    </row>
    <row r="109" spans="1:15">
      <c r="A109" s="159">
        <v>17</v>
      </c>
      <c r="B109" s="159" t="str">
        <f>TEXT(투자전략!$G$1+16, "[$-ko-KR]yyyy.mm.dd")</f>
        <v>2021.05.17</v>
      </c>
      <c r="C109" s="138" t="str">
        <f t="shared" ca="1" si="26"/>
        <v/>
      </c>
      <c r="D109" s="142" t="str">
        <f t="shared" ca="1" si="27"/>
        <v/>
      </c>
      <c r="E109" s="77" t="str">
        <f t="shared" ca="1" si="28"/>
        <v/>
      </c>
      <c r="F109" s="140" t="str">
        <f t="shared" ca="1" si="29"/>
        <v/>
      </c>
      <c r="G109" s="142" t="str">
        <f t="shared" ca="1" si="30"/>
        <v/>
      </c>
      <c r="H109" s="77" t="str">
        <f t="shared" ca="1" si="31"/>
        <v/>
      </c>
      <c r="I109" s="140" t="str">
        <f t="shared" ca="1" si="32"/>
        <v/>
      </c>
      <c r="J109" s="142" t="str">
        <f t="shared" ca="1" si="33"/>
        <v/>
      </c>
      <c r="K109" s="77" t="str">
        <f t="shared" ca="1" si="34"/>
        <v/>
      </c>
      <c r="L109" s="140" t="str">
        <f t="shared" ca="1" si="35"/>
        <v/>
      </c>
      <c r="M109" s="142" t="str">
        <f t="shared" ca="1" si="36"/>
        <v/>
      </c>
      <c r="N109" s="77" t="str">
        <f t="shared" ca="1" si="37"/>
        <v/>
      </c>
      <c r="O109" s="140" t="str">
        <f t="shared" ca="1" si="38"/>
        <v/>
      </c>
    </row>
    <row r="110" spans="1:15">
      <c r="A110" s="159">
        <v>18</v>
      </c>
      <c r="B110" s="159" t="str">
        <f>TEXT(투자전략!$G$1+17, "[$-ko-KR]yyyy.mm.dd")</f>
        <v>2021.05.18</v>
      </c>
      <c r="C110" s="138" t="str">
        <f t="shared" ca="1" si="26"/>
        <v/>
      </c>
      <c r="D110" s="142" t="str">
        <f t="shared" ca="1" si="27"/>
        <v/>
      </c>
      <c r="E110" s="77" t="str">
        <f t="shared" ca="1" si="28"/>
        <v/>
      </c>
      <c r="F110" s="140" t="str">
        <f t="shared" ca="1" si="29"/>
        <v/>
      </c>
      <c r="G110" s="142" t="str">
        <f t="shared" ca="1" si="30"/>
        <v/>
      </c>
      <c r="H110" s="77" t="str">
        <f t="shared" ca="1" si="31"/>
        <v/>
      </c>
      <c r="I110" s="140" t="str">
        <f t="shared" ca="1" si="32"/>
        <v/>
      </c>
      <c r="J110" s="142" t="str">
        <f t="shared" ca="1" si="33"/>
        <v/>
      </c>
      <c r="K110" s="77" t="str">
        <f t="shared" ca="1" si="34"/>
        <v/>
      </c>
      <c r="L110" s="140" t="str">
        <f t="shared" ca="1" si="35"/>
        <v/>
      </c>
      <c r="M110" s="142" t="str">
        <f t="shared" ca="1" si="36"/>
        <v/>
      </c>
      <c r="N110" s="77" t="str">
        <f t="shared" ca="1" si="37"/>
        <v/>
      </c>
      <c r="O110" s="140" t="str">
        <f t="shared" ca="1" si="38"/>
        <v/>
      </c>
    </row>
    <row r="111" spans="1:15">
      <c r="A111" s="159">
        <v>19</v>
      </c>
      <c r="B111" s="159" t="str">
        <f>TEXT(투자전략!$G$1+18, "[$-ko-KR]yyyy.mm.dd")</f>
        <v>2021.05.19</v>
      </c>
      <c r="C111" s="138" t="str">
        <f t="shared" ca="1" si="26"/>
        <v/>
      </c>
      <c r="D111" s="142" t="str">
        <f t="shared" ca="1" si="27"/>
        <v/>
      </c>
      <c r="E111" s="77" t="str">
        <f t="shared" ca="1" si="28"/>
        <v/>
      </c>
      <c r="F111" s="140" t="str">
        <f t="shared" ca="1" si="29"/>
        <v/>
      </c>
      <c r="G111" s="142" t="str">
        <f t="shared" ca="1" si="30"/>
        <v/>
      </c>
      <c r="H111" s="77" t="str">
        <f t="shared" ca="1" si="31"/>
        <v/>
      </c>
      <c r="I111" s="140" t="str">
        <f t="shared" ca="1" si="32"/>
        <v/>
      </c>
      <c r="J111" s="142" t="str">
        <f t="shared" ca="1" si="33"/>
        <v/>
      </c>
      <c r="K111" s="77" t="str">
        <f t="shared" ca="1" si="34"/>
        <v/>
      </c>
      <c r="L111" s="140" t="str">
        <f t="shared" ca="1" si="35"/>
        <v/>
      </c>
      <c r="M111" s="142" t="str">
        <f t="shared" ca="1" si="36"/>
        <v/>
      </c>
      <c r="N111" s="77" t="str">
        <f t="shared" ca="1" si="37"/>
        <v/>
      </c>
      <c r="O111" s="140" t="str">
        <f t="shared" ca="1" si="38"/>
        <v/>
      </c>
    </row>
    <row r="112" spans="1:15">
      <c r="A112" s="159">
        <v>20</v>
      </c>
      <c r="B112" s="159" t="str">
        <f>TEXT(투자전략!$G$1+19, "[$-ko-KR]yyyy.mm.dd")</f>
        <v>2021.05.20</v>
      </c>
      <c r="C112" s="138" t="str">
        <f t="shared" ca="1" si="26"/>
        <v/>
      </c>
      <c r="D112" s="142" t="str">
        <f t="shared" ca="1" si="27"/>
        <v/>
      </c>
      <c r="E112" s="77" t="str">
        <f t="shared" ca="1" si="28"/>
        <v/>
      </c>
      <c r="F112" s="140" t="str">
        <f t="shared" ca="1" si="29"/>
        <v/>
      </c>
      <c r="G112" s="142" t="str">
        <f t="shared" ca="1" si="30"/>
        <v/>
      </c>
      <c r="H112" s="77" t="str">
        <f t="shared" ca="1" si="31"/>
        <v/>
      </c>
      <c r="I112" s="140" t="str">
        <f t="shared" ca="1" si="32"/>
        <v/>
      </c>
      <c r="J112" s="142" t="str">
        <f t="shared" ca="1" si="33"/>
        <v/>
      </c>
      <c r="K112" s="77" t="str">
        <f t="shared" ca="1" si="34"/>
        <v/>
      </c>
      <c r="L112" s="140" t="str">
        <f t="shared" ca="1" si="35"/>
        <v/>
      </c>
      <c r="M112" s="142" t="str">
        <f t="shared" ca="1" si="36"/>
        <v/>
      </c>
      <c r="N112" s="77" t="str">
        <f t="shared" ca="1" si="37"/>
        <v/>
      </c>
      <c r="O112" s="140" t="str">
        <f t="shared" ca="1" si="38"/>
        <v/>
      </c>
    </row>
    <row r="113" spans="1:15" ht="17.25" thickBot="1">
      <c r="A113" s="161">
        <v>21</v>
      </c>
      <c r="B113" s="161" t="str">
        <f>TEXT(투자전략!$G$1+20, "[$-ko-KR]yyyy.mm.dd")</f>
        <v>2021.05.21</v>
      </c>
      <c r="C113" s="138" t="str">
        <f t="shared" ca="1" si="26"/>
        <v/>
      </c>
      <c r="D113" s="142" t="str">
        <f t="shared" ca="1" si="27"/>
        <v/>
      </c>
      <c r="E113" s="77" t="str">
        <f t="shared" ca="1" si="28"/>
        <v/>
      </c>
      <c r="F113" s="140" t="str">
        <f t="shared" ca="1" si="29"/>
        <v/>
      </c>
      <c r="G113" s="142" t="str">
        <f t="shared" ca="1" si="30"/>
        <v/>
      </c>
      <c r="H113" s="77" t="str">
        <f t="shared" ca="1" si="31"/>
        <v/>
      </c>
      <c r="I113" s="140" t="str">
        <f t="shared" ca="1" si="32"/>
        <v/>
      </c>
      <c r="J113" s="142" t="str">
        <f t="shared" ca="1" si="33"/>
        <v/>
      </c>
      <c r="K113" s="77" t="str">
        <f t="shared" ca="1" si="34"/>
        <v/>
      </c>
      <c r="L113" s="140" t="str">
        <f t="shared" ca="1" si="35"/>
        <v/>
      </c>
      <c r="M113" s="142" t="str">
        <f t="shared" ca="1" si="36"/>
        <v/>
      </c>
      <c r="N113" s="77" t="str">
        <f t="shared" ca="1" si="37"/>
        <v/>
      </c>
      <c r="O113" s="140" t="str">
        <f t="shared" ca="1" si="38"/>
        <v/>
      </c>
    </row>
    <row r="114" spans="1:15">
      <c r="A114" s="160">
        <v>22</v>
      </c>
      <c r="B114" s="160" t="str">
        <f>TEXT(투자전략!$G$1+21, "[$-ko-KR]yyyy.mm.dd")</f>
        <v>2021.05.22</v>
      </c>
      <c r="C114" s="137" t="str">
        <f t="shared" ca="1" si="26"/>
        <v/>
      </c>
      <c r="D114" s="145" t="str">
        <f t="shared" ca="1" si="27"/>
        <v/>
      </c>
      <c r="E114" s="76" t="str">
        <f t="shared" ca="1" si="28"/>
        <v/>
      </c>
      <c r="F114" s="144" t="str">
        <f t="shared" ca="1" si="29"/>
        <v/>
      </c>
      <c r="G114" s="145" t="str">
        <f t="shared" ca="1" si="30"/>
        <v/>
      </c>
      <c r="H114" s="76" t="str">
        <f t="shared" ca="1" si="31"/>
        <v/>
      </c>
      <c r="I114" s="144" t="str">
        <f t="shared" ca="1" si="32"/>
        <v/>
      </c>
      <c r="J114" s="145" t="str">
        <f t="shared" ca="1" si="33"/>
        <v/>
      </c>
      <c r="K114" s="76" t="str">
        <f t="shared" ca="1" si="34"/>
        <v/>
      </c>
      <c r="L114" s="144" t="str">
        <f t="shared" ca="1" si="35"/>
        <v/>
      </c>
      <c r="M114" s="145" t="str">
        <f t="shared" ca="1" si="36"/>
        <v/>
      </c>
      <c r="N114" s="76" t="str">
        <f t="shared" ca="1" si="37"/>
        <v/>
      </c>
      <c r="O114" s="144" t="str">
        <f t="shared" ca="1" si="38"/>
        <v/>
      </c>
    </row>
    <row r="115" spans="1:15">
      <c r="A115" s="159">
        <v>23</v>
      </c>
      <c r="B115" s="159" t="str">
        <f>TEXT(투자전략!$G$1+22, "[$-ko-KR]yyyy.mm.dd")</f>
        <v>2021.05.23</v>
      </c>
      <c r="C115" s="138" t="str">
        <f t="shared" ca="1" si="26"/>
        <v/>
      </c>
      <c r="D115" s="142" t="str">
        <f t="shared" ca="1" si="27"/>
        <v/>
      </c>
      <c r="E115" s="77" t="str">
        <f t="shared" ca="1" si="28"/>
        <v/>
      </c>
      <c r="F115" s="140" t="str">
        <f t="shared" ca="1" si="29"/>
        <v/>
      </c>
      <c r="G115" s="142" t="str">
        <f t="shared" ca="1" si="30"/>
        <v/>
      </c>
      <c r="H115" s="77" t="str">
        <f t="shared" ca="1" si="31"/>
        <v/>
      </c>
      <c r="I115" s="140" t="str">
        <f t="shared" ca="1" si="32"/>
        <v/>
      </c>
      <c r="J115" s="142" t="str">
        <f t="shared" ca="1" si="33"/>
        <v/>
      </c>
      <c r="K115" s="77" t="str">
        <f t="shared" ca="1" si="34"/>
        <v/>
      </c>
      <c r="L115" s="140" t="str">
        <f t="shared" ca="1" si="35"/>
        <v/>
      </c>
      <c r="M115" s="142" t="str">
        <f t="shared" ca="1" si="36"/>
        <v/>
      </c>
      <c r="N115" s="77" t="str">
        <f t="shared" ca="1" si="37"/>
        <v/>
      </c>
      <c r="O115" s="140" t="str">
        <f t="shared" ca="1" si="38"/>
        <v/>
      </c>
    </row>
    <row r="116" spans="1:15">
      <c r="A116" s="159">
        <v>24</v>
      </c>
      <c r="B116" s="159" t="str">
        <f>TEXT(투자전략!$G$1+23, "[$-ko-KR]yyyy.mm.dd")</f>
        <v>2021.05.24</v>
      </c>
      <c r="C116" s="138" t="str">
        <f t="shared" ca="1" si="26"/>
        <v/>
      </c>
      <c r="D116" s="142" t="str">
        <f t="shared" ca="1" si="27"/>
        <v/>
      </c>
      <c r="E116" s="77" t="str">
        <f t="shared" ca="1" si="28"/>
        <v/>
      </c>
      <c r="F116" s="140" t="str">
        <f t="shared" ca="1" si="29"/>
        <v/>
      </c>
      <c r="G116" s="142" t="str">
        <f t="shared" ca="1" si="30"/>
        <v/>
      </c>
      <c r="H116" s="77" t="str">
        <f t="shared" ca="1" si="31"/>
        <v/>
      </c>
      <c r="I116" s="140" t="str">
        <f t="shared" ca="1" si="32"/>
        <v/>
      </c>
      <c r="J116" s="142" t="str">
        <f t="shared" ca="1" si="33"/>
        <v/>
      </c>
      <c r="K116" s="77" t="str">
        <f t="shared" ca="1" si="34"/>
        <v/>
      </c>
      <c r="L116" s="140" t="str">
        <f t="shared" ca="1" si="35"/>
        <v/>
      </c>
      <c r="M116" s="142" t="str">
        <f t="shared" ca="1" si="36"/>
        <v/>
      </c>
      <c r="N116" s="77" t="str">
        <f t="shared" ca="1" si="37"/>
        <v/>
      </c>
      <c r="O116" s="140" t="str">
        <f t="shared" ca="1" si="38"/>
        <v/>
      </c>
    </row>
    <row r="117" spans="1:15">
      <c r="A117" s="159">
        <v>25</v>
      </c>
      <c r="B117" s="159" t="str">
        <f>TEXT(투자전략!$G$1+24, "[$-ko-KR]yyyy.mm.dd")</f>
        <v>2021.05.25</v>
      </c>
      <c r="C117" s="138" t="str">
        <f t="shared" ca="1" si="26"/>
        <v/>
      </c>
      <c r="D117" s="142" t="str">
        <f t="shared" ca="1" si="27"/>
        <v/>
      </c>
      <c r="E117" s="77" t="str">
        <f t="shared" ca="1" si="28"/>
        <v/>
      </c>
      <c r="F117" s="140" t="str">
        <f t="shared" ca="1" si="29"/>
        <v/>
      </c>
      <c r="G117" s="142" t="str">
        <f t="shared" ca="1" si="30"/>
        <v/>
      </c>
      <c r="H117" s="77" t="str">
        <f t="shared" ca="1" si="31"/>
        <v/>
      </c>
      <c r="I117" s="140" t="str">
        <f t="shared" ca="1" si="32"/>
        <v/>
      </c>
      <c r="J117" s="142" t="str">
        <f t="shared" ca="1" si="33"/>
        <v/>
      </c>
      <c r="K117" s="77" t="str">
        <f t="shared" ca="1" si="34"/>
        <v/>
      </c>
      <c r="L117" s="140" t="str">
        <f t="shared" ca="1" si="35"/>
        <v/>
      </c>
      <c r="M117" s="142" t="str">
        <f t="shared" ca="1" si="36"/>
        <v/>
      </c>
      <c r="N117" s="77" t="str">
        <f t="shared" ca="1" si="37"/>
        <v/>
      </c>
      <c r="O117" s="140" t="str">
        <f t="shared" ca="1" si="38"/>
        <v/>
      </c>
    </row>
    <row r="118" spans="1:15">
      <c r="A118" s="159">
        <v>26</v>
      </c>
      <c r="B118" s="159" t="str">
        <f>TEXT(투자전략!$G$1+25, "[$-ko-KR]yyyy.mm.dd")</f>
        <v>2021.05.26</v>
      </c>
      <c r="C118" s="138" t="str">
        <f t="shared" ca="1" si="26"/>
        <v/>
      </c>
      <c r="D118" s="142" t="str">
        <f t="shared" ca="1" si="27"/>
        <v/>
      </c>
      <c r="E118" s="77" t="str">
        <f t="shared" ca="1" si="28"/>
        <v/>
      </c>
      <c r="F118" s="140" t="str">
        <f t="shared" ca="1" si="29"/>
        <v/>
      </c>
      <c r="G118" s="142" t="str">
        <f t="shared" ca="1" si="30"/>
        <v/>
      </c>
      <c r="H118" s="77" t="str">
        <f t="shared" ca="1" si="31"/>
        <v/>
      </c>
      <c r="I118" s="140" t="str">
        <f t="shared" ca="1" si="32"/>
        <v/>
      </c>
      <c r="J118" s="142" t="str">
        <f t="shared" ca="1" si="33"/>
        <v/>
      </c>
      <c r="K118" s="77" t="str">
        <f t="shared" ca="1" si="34"/>
        <v/>
      </c>
      <c r="L118" s="140" t="str">
        <f t="shared" ca="1" si="35"/>
        <v/>
      </c>
      <c r="M118" s="142" t="str">
        <f t="shared" ca="1" si="36"/>
        <v/>
      </c>
      <c r="N118" s="77" t="str">
        <f t="shared" ca="1" si="37"/>
        <v/>
      </c>
      <c r="O118" s="140" t="str">
        <f t="shared" ca="1" si="38"/>
        <v/>
      </c>
    </row>
    <row r="119" spans="1:15">
      <c r="A119" s="159">
        <v>27</v>
      </c>
      <c r="B119" s="159" t="str">
        <f>TEXT(투자전략!$G$1+26, "[$-ko-KR]yyyy.mm.dd")</f>
        <v>2021.05.27</v>
      </c>
      <c r="C119" s="138" t="str">
        <f t="shared" ca="1" si="26"/>
        <v/>
      </c>
      <c r="D119" s="142" t="str">
        <f t="shared" ca="1" si="27"/>
        <v/>
      </c>
      <c r="E119" s="77" t="str">
        <f t="shared" ca="1" si="28"/>
        <v/>
      </c>
      <c r="F119" s="140" t="str">
        <f t="shared" ca="1" si="29"/>
        <v/>
      </c>
      <c r="G119" s="142" t="str">
        <f t="shared" ca="1" si="30"/>
        <v/>
      </c>
      <c r="H119" s="77" t="str">
        <f t="shared" ca="1" si="31"/>
        <v/>
      </c>
      <c r="I119" s="140" t="str">
        <f t="shared" ca="1" si="32"/>
        <v/>
      </c>
      <c r="J119" s="142" t="str">
        <f t="shared" ca="1" si="33"/>
        <v/>
      </c>
      <c r="K119" s="77" t="str">
        <f t="shared" ca="1" si="34"/>
        <v/>
      </c>
      <c r="L119" s="140" t="str">
        <f t="shared" ca="1" si="35"/>
        <v/>
      </c>
      <c r="M119" s="142" t="str">
        <f t="shared" ca="1" si="36"/>
        <v/>
      </c>
      <c r="N119" s="77" t="str">
        <f t="shared" ca="1" si="37"/>
        <v/>
      </c>
      <c r="O119" s="140" t="str">
        <f t="shared" ca="1" si="38"/>
        <v/>
      </c>
    </row>
    <row r="120" spans="1:15" ht="17.25" thickBot="1">
      <c r="A120" s="161">
        <v>28</v>
      </c>
      <c r="B120" s="161" t="str">
        <f>TEXT(투자전략!$G$1+27, "[$-ko-KR]yyyy.mm.dd")</f>
        <v>2021.05.28</v>
      </c>
      <c r="C120" s="139" t="str">
        <f t="shared" ca="1" si="26"/>
        <v/>
      </c>
      <c r="D120" s="143" t="str">
        <f t="shared" ca="1" si="27"/>
        <v/>
      </c>
      <c r="E120" s="79" t="str">
        <f t="shared" ca="1" si="28"/>
        <v/>
      </c>
      <c r="F120" s="141" t="str">
        <f t="shared" ca="1" si="29"/>
        <v/>
      </c>
      <c r="G120" s="143" t="str">
        <f t="shared" ca="1" si="30"/>
        <v/>
      </c>
      <c r="H120" s="79" t="str">
        <f t="shared" ca="1" si="31"/>
        <v/>
      </c>
      <c r="I120" s="141" t="str">
        <f t="shared" ca="1" si="32"/>
        <v/>
      </c>
      <c r="J120" s="143" t="str">
        <f t="shared" ca="1" si="33"/>
        <v/>
      </c>
      <c r="K120" s="79" t="str">
        <f t="shared" ca="1" si="34"/>
        <v/>
      </c>
      <c r="L120" s="141" t="str">
        <f t="shared" ca="1" si="35"/>
        <v/>
      </c>
      <c r="M120" s="143" t="str">
        <f t="shared" ca="1" si="36"/>
        <v/>
      </c>
      <c r="N120" s="79" t="str">
        <f t="shared" ca="1" si="37"/>
        <v/>
      </c>
      <c r="O120" s="141" t="str">
        <f t="shared" ca="1" si="38"/>
        <v/>
      </c>
    </row>
    <row r="121" spans="1:15">
      <c r="A121" s="124">
        <v>29</v>
      </c>
      <c r="B121" s="160" t="str">
        <f>TEXT(투자전략!$G$1+28, "[$-ko-KR]yyyy.mm.dd")</f>
        <v>2021.05.29</v>
      </c>
      <c r="C121" s="138" t="str">
        <f t="shared" ca="1" si="26"/>
        <v/>
      </c>
      <c r="D121" s="142" t="str">
        <f t="shared" ca="1" si="27"/>
        <v/>
      </c>
      <c r="E121" s="77" t="str">
        <f t="shared" ca="1" si="28"/>
        <v/>
      </c>
      <c r="F121" s="140" t="str">
        <f t="shared" ca="1" si="29"/>
        <v/>
      </c>
      <c r="G121" s="142" t="str">
        <f t="shared" ca="1" si="30"/>
        <v/>
      </c>
      <c r="H121" s="77" t="str">
        <f t="shared" ca="1" si="31"/>
        <v/>
      </c>
      <c r="I121" s="140" t="str">
        <f t="shared" ca="1" si="32"/>
        <v/>
      </c>
      <c r="J121" s="142" t="str">
        <f t="shared" ca="1" si="33"/>
        <v/>
      </c>
      <c r="K121" s="77" t="str">
        <f t="shared" ca="1" si="34"/>
        <v/>
      </c>
      <c r="L121" s="140" t="str">
        <f t="shared" ca="1" si="35"/>
        <v/>
      </c>
      <c r="M121" s="142" t="str">
        <f t="shared" ca="1" si="36"/>
        <v/>
      </c>
      <c r="N121" s="77" t="str">
        <f t="shared" ca="1" si="37"/>
        <v/>
      </c>
      <c r="O121" s="140" t="str">
        <f t="shared" ca="1" si="38"/>
        <v/>
      </c>
    </row>
    <row r="122" spans="1:15">
      <c r="A122" s="124">
        <v>30</v>
      </c>
      <c r="B122" s="159" t="str">
        <f>TEXT(투자전략!$G$1+29, "[$-ko-KR]yyyy.mm.dd")</f>
        <v>2021.05.30</v>
      </c>
      <c r="C122" s="138" t="str">
        <f t="shared" ca="1" si="26"/>
        <v/>
      </c>
      <c r="D122" s="142" t="str">
        <f t="shared" ca="1" si="27"/>
        <v/>
      </c>
      <c r="E122" s="77" t="str">
        <f t="shared" ca="1" si="28"/>
        <v/>
      </c>
      <c r="F122" s="140" t="str">
        <f t="shared" ca="1" si="29"/>
        <v/>
      </c>
      <c r="G122" s="142" t="str">
        <f t="shared" ca="1" si="30"/>
        <v/>
      </c>
      <c r="H122" s="77" t="str">
        <f t="shared" ca="1" si="31"/>
        <v/>
      </c>
      <c r="I122" s="140" t="str">
        <f t="shared" ca="1" si="32"/>
        <v/>
      </c>
      <c r="J122" s="142" t="str">
        <f t="shared" ca="1" si="33"/>
        <v/>
      </c>
      <c r="K122" s="77" t="str">
        <f t="shared" ca="1" si="34"/>
        <v/>
      </c>
      <c r="L122" s="140" t="str">
        <f t="shared" ca="1" si="35"/>
        <v/>
      </c>
      <c r="M122" s="142" t="str">
        <f t="shared" ca="1" si="36"/>
        <v/>
      </c>
      <c r="N122" s="77" t="str">
        <f t="shared" ca="1" si="37"/>
        <v/>
      </c>
      <c r="O122" s="140" t="str">
        <f t="shared" ca="1" si="38"/>
        <v/>
      </c>
    </row>
    <row r="123" spans="1:15" ht="17.25" thickBot="1">
      <c r="A123" s="124">
        <v>31</v>
      </c>
      <c r="B123" s="159" t="str">
        <f>TEXT(투자전략!$G$1+30, "[$-ko-KR]yyyy.mm.dd")</f>
        <v>2021.05.31</v>
      </c>
      <c r="C123" s="139" t="str">
        <f t="shared" ca="1" si="26"/>
        <v/>
      </c>
      <c r="D123" s="143" t="str">
        <f t="shared" ca="1" si="27"/>
        <v/>
      </c>
      <c r="E123" s="79" t="str">
        <f t="shared" ca="1" si="28"/>
        <v/>
      </c>
      <c r="F123" s="141" t="str">
        <f t="shared" ca="1" si="29"/>
        <v/>
      </c>
      <c r="G123" s="143" t="str">
        <f t="shared" ca="1" si="30"/>
        <v/>
      </c>
      <c r="H123" s="79" t="str">
        <f t="shared" ca="1" si="31"/>
        <v/>
      </c>
      <c r="I123" s="141" t="str">
        <f t="shared" ca="1" si="32"/>
        <v/>
      </c>
      <c r="J123" s="143" t="str">
        <f t="shared" ca="1" si="33"/>
        <v/>
      </c>
      <c r="K123" s="79" t="str">
        <f t="shared" ca="1" si="34"/>
        <v/>
      </c>
      <c r="L123" s="141" t="str">
        <f t="shared" ca="1" si="35"/>
        <v/>
      </c>
      <c r="M123" s="143" t="str">
        <f t="shared" ca="1" si="36"/>
        <v/>
      </c>
      <c r="N123" s="79" t="str">
        <f t="shared" ca="1" si="37"/>
        <v/>
      </c>
      <c r="O123" s="141" t="str">
        <f t="shared" ca="1" si="38"/>
        <v/>
      </c>
    </row>
    <row r="124" spans="1:15" ht="17.25" thickBot="1">
      <c r="A124" s="213" t="s">
        <v>319</v>
      </c>
      <c r="B124" s="215"/>
      <c r="C124" s="135" t="s">
        <v>314</v>
      </c>
      <c r="D124" s="153" t="s">
        <v>315</v>
      </c>
      <c r="E124" s="154" t="s">
        <v>316</v>
      </c>
      <c r="F124" s="155" t="s">
        <v>317</v>
      </c>
      <c r="G124" s="153" t="s">
        <v>315</v>
      </c>
      <c r="H124" s="154" t="s">
        <v>316</v>
      </c>
      <c r="I124" s="155" t="s">
        <v>317</v>
      </c>
      <c r="J124" s="153" t="s">
        <v>315</v>
      </c>
      <c r="K124" s="154" t="s">
        <v>316</v>
      </c>
      <c r="L124" s="155" t="s">
        <v>317</v>
      </c>
      <c r="M124" s="153" t="s">
        <v>315</v>
      </c>
      <c r="N124" s="154" t="s">
        <v>316</v>
      </c>
      <c r="O124" s="155" t="s">
        <v>317</v>
      </c>
    </row>
    <row r="125" spans="1:15" ht="17.25" thickBot="1">
      <c r="A125" s="206"/>
      <c r="B125" s="208"/>
      <c r="C125" s="139">
        <f ca="1">SUM(C93:C123)</f>
        <v>27000000</v>
      </c>
      <c r="D125" s="143">
        <f ca="1">SUM(D93:D123)</f>
        <v>27184146.291214794</v>
      </c>
      <c r="E125" s="79">
        <f ca="1">IFERROR(F125 / (SUM($C93:$C123) / COUNT($C93:$C123)), 0)</f>
        <v>3.4101165039777039E-2</v>
      </c>
      <c r="F125" s="141">
        <f ca="1">SUM(F93:F123)</f>
        <v>184146.29121479602</v>
      </c>
      <c r="G125" s="143">
        <f ca="1">SUM(G93:G123)</f>
        <v>27317291.561224766</v>
      </c>
      <c r="H125" s="79">
        <f ca="1">IFERROR(I125 / (SUM($C93:$C123) / COUNT($C93:$C123)), 0)</f>
        <v>5.8757696523104613E-2</v>
      </c>
      <c r="I125" s="141">
        <f ca="1">SUM(I93:I123)</f>
        <v>317291.56122476491</v>
      </c>
      <c r="J125" s="143">
        <f ca="1">SUM(J93:J123)</f>
        <v>27481373.977091618</v>
      </c>
      <c r="K125" s="79">
        <f ca="1">IFERROR(L125 / (SUM($C93:$C123) / COUNT($C93:$C123)), 0)</f>
        <v>8.9143329091040155E-2</v>
      </c>
      <c r="L125" s="141">
        <f ca="1">SUM(L93:L123)</f>
        <v>481373.97709161683</v>
      </c>
      <c r="M125" s="143">
        <f ca="1">SUM(M93:M123)</f>
        <v>27216063.130445004</v>
      </c>
      <c r="N125" s="79">
        <f ca="1">IFERROR(O125 / (SUM($C93:$C123) / COUNT($C93:$C123)), 0)</f>
        <v>4.0011690823149003E-2</v>
      </c>
      <c r="O125" s="141">
        <f ca="1">SUM(O93:O123)</f>
        <v>216063.13044500462</v>
      </c>
    </row>
    <row r="127" spans="1:15" ht="17.25" thickBot="1"/>
    <row r="128" spans="1:15" ht="17.25" thickBot="1">
      <c r="A128" s="185" t="str">
        <f>TEXT(투자전략!$G$1, "[$-ko-KR]yyyy년 mm월 ") &amp; "전일대비 상승률 Top20 월말결산"</f>
        <v>2021년 05월 전일대비 상승률 Top20 월말결산</v>
      </c>
      <c r="B128" s="186"/>
      <c r="C128" s="186"/>
      <c r="D128" s="186"/>
      <c r="E128" s="186"/>
      <c r="F128" s="186"/>
      <c r="G128" s="186"/>
      <c r="H128" s="186"/>
      <c r="I128" s="186"/>
      <c r="J128" s="186"/>
      <c r="K128" s="186"/>
      <c r="L128" s="186"/>
      <c r="M128" s="186"/>
      <c r="N128" s="186"/>
      <c r="O128" s="187"/>
    </row>
    <row r="129" spans="1:15" ht="17.25" thickBot="1">
      <c r="A129" s="229" t="s">
        <v>320</v>
      </c>
      <c r="B129" s="206" t="s">
        <v>318</v>
      </c>
      <c r="C129" s="208"/>
      <c r="D129" s="206" t="s">
        <v>310</v>
      </c>
      <c r="E129" s="207"/>
      <c r="F129" s="208"/>
      <c r="G129" s="206" t="s">
        <v>311</v>
      </c>
      <c r="H129" s="207"/>
      <c r="I129" s="208"/>
      <c r="J129" s="206" t="s">
        <v>312</v>
      </c>
      <c r="K129" s="207"/>
      <c r="L129" s="208"/>
      <c r="M129" s="206" t="s">
        <v>313</v>
      </c>
      <c r="N129" s="207"/>
      <c r="O129" s="208"/>
    </row>
    <row r="130" spans="1:15" ht="17.25" thickBot="1">
      <c r="A130" s="222"/>
      <c r="B130" s="160" t="s">
        <v>308</v>
      </c>
      <c r="C130" s="160" t="s">
        <v>42</v>
      </c>
      <c r="D130" s="124" t="s">
        <v>309</v>
      </c>
      <c r="E130" s="136" t="s">
        <v>40</v>
      </c>
      <c r="F130" s="162" t="s">
        <v>41</v>
      </c>
      <c r="G130" s="124" t="s">
        <v>309</v>
      </c>
      <c r="H130" s="136" t="s">
        <v>40</v>
      </c>
      <c r="I130" s="162" t="s">
        <v>41</v>
      </c>
      <c r="J130" s="124" t="s">
        <v>309</v>
      </c>
      <c r="K130" s="136" t="s">
        <v>40</v>
      </c>
      <c r="L130" s="162" t="s">
        <v>41</v>
      </c>
      <c r="M130" s="124" t="s">
        <v>309</v>
      </c>
      <c r="N130" s="136" t="s">
        <v>40</v>
      </c>
      <c r="O130" s="162" t="s">
        <v>41</v>
      </c>
    </row>
    <row r="131" spans="1:15">
      <c r="A131" s="160">
        <v>1</v>
      </c>
      <c r="B131" s="160" t="str">
        <f>TEXT(투자전략!$G$1+0, "[$-ko-KR]yyyy.mm.dd")</f>
        <v>2021.05.01</v>
      </c>
      <c r="C131" s="137">
        <f ca="1">IFERROR(COUNTA(INDIRECT($B131&amp;"!A98:A117")) * INDIRECT($B131&amp;"!B118"), "")</f>
        <v>6000000</v>
      </c>
      <c r="D131" s="145">
        <f ca="1">IFERROR($C131 * (1 + E131), "")</f>
        <v>6107685.9856206654</v>
      </c>
      <c r="E131" s="76">
        <f ca="1">IFERROR(INDIRECT($B131&amp;"!E118"), "")</f>
        <v>1.7947664270110929E-2</v>
      </c>
      <c r="F131" s="144">
        <f ca="1">IFERROR(INDIRECT($B131&amp;"!F118"), "")</f>
        <v>107685.98562066558</v>
      </c>
      <c r="G131" s="145">
        <f ca="1">IFERROR($C131 * (1 + H131), "")</f>
        <v>6041745.7119217347</v>
      </c>
      <c r="H131" s="76">
        <f ca="1">IFERROR(INDIRECT($B131&amp;"!H118"), "")</f>
        <v>6.9576186536225324E-3</v>
      </c>
      <c r="I131" s="144">
        <f ca="1">IFERROR(INDIRECT($B131&amp;"!I118"), "")</f>
        <v>41745.711921735201</v>
      </c>
      <c r="J131" s="145">
        <f ca="1">IFERROR($C131 * (1 + K131), "")</f>
        <v>6120466.3950530048</v>
      </c>
      <c r="K131" s="76">
        <f ca="1">IFERROR(INDIRECT($B131&amp;"!K118"), "")</f>
        <v>2.0077732508834219E-2</v>
      </c>
      <c r="L131" s="144">
        <f ca="1">IFERROR(INDIRECT($B131&amp;"!L118"), "")</f>
        <v>120466.39505300528</v>
      </c>
      <c r="M131" s="145">
        <f ca="1">IFERROR($C131 * (1 + N131), "")</f>
        <v>6067393.3339623362</v>
      </c>
      <c r="N131" s="76">
        <f ca="1">IFERROR(INDIRECT($B131&amp;"!N118"), "")</f>
        <v>1.1232222327055948E-2</v>
      </c>
      <c r="O131" s="144">
        <f ca="1">IFERROR(INDIRECT($B131&amp;"!O118"), "")</f>
        <v>67393.333962335702</v>
      </c>
    </row>
    <row r="132" spans="1:15">
      <c r="A132" s="159">
        <v>2</v>
      </c>
      <c r="B132" s="159" t="str">
        <f>TEXT(투자전략!$G$1+1, "[$-ko-KR]yyyy.mm.dd")</f>
        <v>2021.05.02</v>
      </c>
      <c r="C132" s="138">
        <f t="shared" ref="C132:C161" ca="1" si="39">IFERROR(COUNTA(INDIRECT($B132&amp;"!A98:A117")) * INDIRECT($B132&amp;"!B118"), "")</f>
        <v>6000000</v>
      </c>
      <c r="D132" s="142">
        <f t="shared" ref="D132:D161" ca="1" si="40">IFERROR($C132 * (1 + E132), "")</f>
        <v>6011917.9977196138</v>
      </c>
      <c r="E132" s="77">
        <f t="shared" ref="E132:E161" ca="1" si="41">IFERROR(INDIRECT($B132&amp;"!E118"), "")</f>
        <v>1.9863329532690366E-3</v>
      </c>
      <c r="F132" s="140">
        <f t="shared" ref="F132:F161" ca="1" si="42">IFERROR(INDIRECT($B132&amp;"!F118"), "")</f>
        <v>11917.997719614215</v>
      </c>
      <c r="G132" s="142">
        <f t="shared" ref="G132:G161" ca="1" si="43">IFERROR($C132 * (1 + H132), "")</f>
        <v>6019023.1076206733</v>
      </c>
      <c r="H132" s="77">
        <f t="shared" ref="H132:H161" ca="1" si="44">IFERROR(INDIRECT($B132&amp;"!H118"), "")</f>
        <v>3.1705179367788605E-3</v>
      </c>
      <c r="I132" s="140">
        <f t="shared" ref="I132:I161" ca="1" si="45">IFERROR(INDIRECT($B132&amp;"!I118"), "")</f>
        <v>19023.107620673156</v>
      </c>
      <c r="J132" s="142">
        <f t="shared" ref="J132:J161" ca="1" si="46">IFERROR($C132 * (1 + K132), "")</f>
        <v>6044019.6087034903</v>
      </c>
      <c r="K132" s="77">
        <f t="shared" ref="K132:K161" ca="1" si="47">IFERROR(INDIRECT($B132&amp;"!K118"), "")</f>
        <v>7.3366014505818408E-3</v>
      </c>
      <c r="L132" s="140">
        <f t="shared" ref="L132:L161" ca="1" si="48">IFERROR(INDIRECT($B132&amp;"!L118"), "")</f>
        <v>44019.60870349106</v>
      </c>
      <c r="M132" s="142">
        <f t="shared" ref="M132:M161" ca="1" si="49">IFERROR($C132 * (1 + N132), "")</f>
        <v>6076007.4882986527</v>
      </c>
      <c r="N132" s="77">
        <f t="shared" ref="N132:N161" ca="1" si="50">IFERROR(INDIRECT($B132&amp;"!N118"), "")</f>
        <v>1.2667914716442175E-2</v>
      </c>
      <c r="O132" s="140">
        <f t="shared" ref="O132:O161" ca="1" si="51">IFERROR(INDIRECT($B132&amp;"!O118"), "")</f>
        <v>76007.488298653043</v>
      </c>
    </row>
    <row r="133" spans="1:15">
      <c r="A133" s="159">
        <v>3</v>
      </c>
      <c r="B133" s="159" t="str">
        <f>TEXT(투자전략!$G$1+2, "[$-ko-KR]yyyy.mm.dd")</f>
        <v>2021.05.03</v>
      </c>
      <c r="C133" s="138">
        <f t="shared" ca="1" si="39"/>
        <v>6000000</v>
      </c>
      <c r="D133" s="142">
        <f t="shared" ca="1" si="40"/>
        <v>6136832.6590279434</v>
      </c>
      <c r="E133" s="77">
        <f t="shared" ca="1" si="41"/>
        <v>2.2805443171323846E-2</v>
      </c>
      <c r="F133" s="140">
        <f t="shared" ca="1" si="42"/>
        <v>136832.65902794307</v>
      </c>
      <c r="G133" s="142">
        <f t="shared" ca="1" si="43"/>
        <v>6334655.8773899311</v>
      </c>
      <c r="H133" s="77">
        <f t="shared" ca="1" si="44"/>
        <v>5.577597956498849E-2</v>
      </c>
      <c r="I133" s="140">
        <f t="shared" ca="1" si="45"/>
        <v>334655.87738993095</v>
      </c>
      <c r="J133" s="142">
        <f t="shared" ca="1" si="46"/>
        <v>6367425.1025107373</v>
      </c>
      <c r="K133" s="77">
        <f t="shared" ca="1" si="47"/>
        <v>6.1237517085122928E-2</v>
      </c>
      <c r="L133" s="140">
        <f t="shared" ca="1" si="48"/>
        <v>367425.10251073749</v>
      </c>
      <c r="M133" s="142">
        <f t="shared" ca="1" si="49"/>
        <v>6270159.0766257513</v>
      </c>
      <c r="N133" s="77">
        <f t="shared" ca="1" si="50"/>
        <v>4.5026512770958503E-2</v>
      </c>
      <c r="O133" s="140">
        <f t="shared" ca="1" si="51"/>
        <v>270159.07662575098</v>
      </c>
    </row>
    <row r="134" spans="1:15">
      <c r="A134" s="159">
        <v>4</v>
      </c>
      <c r="B134" s="159" t="str">
        <f>TEXT(투자전략!$G$1+3, "[$-ko-KR]yyyy.mm.dd")</f>
        <v>2021.05.04</v>
      </c>
      <c r="C134" s="138">
        <f t="shared" ca="1" si="39"/>
        <v>6000000</v>
      </c>
      <c r="D134" s="142">
        <f t="shared" ca="1" si="40"/>
        <v>6206369.8758833455</v>
      </c>
      <c r="E134" s="77">
        <f t="shared" ca="1" si="41"/>
        <v>3.4394979313890843E-2</v>
      </c>
      <c r="F134" s="140">
        <f t="shared" ca="1" si="42"/>
        <v>206369.87588334508</v>
      </c>
      <c r="G134" s="142">
        <f t="shared" ca="1" si="43"/>
        <v>6214257.5310626356</v>
      </c>
      <c r="H134" s="77">
        <f t="shared" ca="1" si="44"/>
        <v>3.5709588510439344E-2</v>
      </c>
      <c r="I134" s="140">
        <f t="shared" ca="1" si="45"/>
        <v>214257.53106263612</v>
      </c>
      <c r="J134" s="142">
        <f t="shared" ca="1" si="46"/>
        <v>6259758.5882178135</v>
      </c>
      <c r="K134" s="77">
        <f t="shared" ca="1" si="47"/>
        <v>4.3293098036302172E-2</v>
      </c>
      <c r="L134" s="140">
        <f t="shared" ca="1" si="48"/>
        <v>259758.58821781303</v>
      </c>
      <c r="M134" s="142">
        <f t="shared" ca="1" si="49"/>
        <v>6057219.917349726</v>
      </c>
      <c r="N134" s="77">
        <f t="shared" ca="1" si="50"/>
        <v>9.5366528916209243E-3</v>
      </c>
      <c r="O134" s="140">
        <f t="shared" ca="1" si="51"/>
        <v>57219.917349725554</v>
      </c>
    </row>
    <row r="135" spans="1:15">
      <c r="A135" s="159">
        <v>5</v>
      </c>
      <c r="B135" s="159" t="str">
        <f>TEXT(투자전략!$G$1+4, "[$-ko-KR]yyyy.mm.dd")</f>
        <v>2021.05.05</v>
      </c>
      <c r="C135" s="138">
        <f t="shared" ca="1" si="39"/>
        <v>3000000</v>
      </c>
      <c r="D135" s="142">
        <f t="shared" ca="1" si="40"/>
        <v>3129708.5284158271</v>
      </c>
      <c r="E135" s="77">
        <f t="shared" ca="1" si="41"/>
        <v>4.3236176138609084E-2</v>
      </c>
      <c r="F135" s="140">
        <f t="shared" ca="1" si="42"/>
        <v>129708.52841582726</v>
      </c>
      <c r="G135" s="142">
        <f t="shared" ca="1" si="43"/>
        <v>3104189.9793890109</v>
      </c>
      <c r="H135" s="77">
        <f t="shared" ca="1" si="44"/>
        <v>3.4729993129670386E-2</v>
      </c>
      <c r="I135" s="140">
        <f t="shared" ca="1" si="45"/>
        <v>104189.97938901116</v>
      </c>
      <c r="J135" s="142">
        <f t="shared" ca="1" si="46"/>
        <v>3121031.4371483638</v>
      </c>
      <c r="K135" s="77">
        <f t="shared" ca="1" si="47"/>
        <v>4.0343812382787843E-2</v>
      </c>
      <c r="L135" s="140">
        <f t="shared" ca="1" si="48"/>
        <v>121031.43714836352</v>
      </c>
      <c r="M135" s="142">
        <f t="shared" ca="1" si="49"/>
        <v>3000000</v>
      </c>
      <c r="N135" s="77">
        <f t="shared" ca="1" si="50"/>
        <v>0</v>
      </c>
      <c r="O135" s="140">
        <f t="shared" ca="1" si="51"/>
        <v>0</v>
      </c>
    </row>
    <row r="136" spans="1:15">
      <c r="A136" s="159">
        <v>6</v>
      </c>
      <c r="B136" s="159" t="str">
        <f>TEXT(투자전략!$G$1+5, "[$-ko-KR]yyyy.mm.dd")</f>
        <v>2021.05.06</v>
      </c>
      <c r="C136" s="138" t="str">
        <f t="shared" ca="1" si="39"/>
        <v/>
      </c>
      <c r="D136" s="142" t="str">
        <f t="shared" ca="1" si="40"/>
        <v/>
      </c>
      <c r="E136" s="77" t="str">
        <f t="shared" ca="1" si="41"/>
        <v/>
      </c>
      <c r="F136" s="140" t="str">
        <f t="shared" ca="1" si="42"/>
        <v/>
      </c>
      <c r="G136" s="142" t="str">
        <f t="shared" ca="1" si="43"/>
        <v/>
      </c>
      <c r="H136" s="77" t="str">
        <f t="shared" ca="1" si="44"/>
        <v/>
      </c>
      <c r="I136" s="140" t="str">
        <f t="shared" ca="1" si="45"/>
        <v/>
      </c>
      <c r="J136" s="142" t="str">
        <f t="shared" ca="1" si="46"/>
        <v/>
      </c>
      <c r="K136" s="77" t="str">
        <f t="shared" ca="1" si="47"/>
        <v/>
      </c>
      <c r="L136" s="140" t="str">
        <f t="shared" ca="1" si="48"/>
        <v/>
      </c>
      <c r="M136" s="142" t="str">
        <f t="shared" ca="1" si="49"/>
        <v/>
      </c>
      <c r="N136" s="77" t="str">
        <f t="shared" ca="1" si="50"/>
        <v/>
      </c>
      <c r="O136" s="140" t="str">
        <f t="shared" ca="1" si="51"/>
        <v/>
      </c>
    </row>
    <row r="137" spans="1:15" ht="17.25" thickBot="1">
      <c r="A137" s="161">
        <v>7</v>
      </c>
      <c r="B137" s="161" t="str">
        <f>TEXT(투자전략!$G$1+6, "[$-ko-KR]yyyy.mm.dd")</f>
        <v>2021.05.07</v>
      </c>
      <c r="C137" s="138" t="str">
        <f t="shared" ca="1" si="39"/>
        <v/>
      </c>
      <c r="D137" s="142" t="str">
        <f t="shared" ca="1" si="40"/>
        <v/>
      </c>
      <c r="E137" s="77" t="str">
        <f t="shared" ca="1" si="41"/>
        <v/>
      </c>
      <c r="F137" s="140" t="str">
        <f t="shared" ca="1" si="42"/>
        <v/>
      </c>
      <c r="G137" s="142" t="str">
        <f t="shared" ca="1" si="43"/>
        <v/>
      </c>
      <c r="H137" s="77" t="str">
        <f t="shared" ca="1" si="44"/>
        <v/>
      </c>
      <c r="I137" s="140" t="str">
        <f t="shared" ca="1" si="45"/>
        <v/>
      </c>
      <c r="J137" s="142" t="str">
        <f t="shared" ca="1" si="46"/>
        <v/>
      </c>
      <c r="K137" s="77" t="str">
        <f t="shared" ca="1" si="47"/>
        <v/>
      </c>
      <c r="L137" s="140" t="str">
        <f t="shared" ca="1" si="48"/>
        <v/>
      </c>
      <c r="M137" s="142" t="str">
        <f t="shared" ca="1" si="49"/>
        <v/>
      </c>
      <c r="N137" s="77" t="str">
        <f t="shared" ca="1" si="50"/>
        <v/>
      </c>
      <c r="O137" s="140" t="str">
        <f t="shared" ca="1" si="51"/>
        <v/>
      </c>
    </row>
    <row r="138" spans="1:15">
      <c r="A138" s="160">
        <v>8</v>
      </c>
      <c r="B138" s="160" t="str">
        <f>TEXT(투자전략!$G$1+7, "[$-ko-KR]yyyy.mm.dd")</f>
        <v>2021.05.08</v>
      </c>
      <c r="C138" s="137" t="str">
        <f t="shared" ca="1" si="39"/>
        <v/>
      </c>
      <c r="D138" s="145" t="str">
        <f t="shared" ca="1" si="40"/>
        <v/>
      </c>
      <c r="E138" s="76" t="str">
        <f t="shared" ca="1" si="41"/>
        <v/>
      </c>
      <c r="F138" s="144" t="str">
        <f t="shared" ca="1" si="42"/>
        <v/>
      </c>
      <c r="G138" s="145" t="str">
        <f t="shared" ca="1" si="43"/>
        <v/>
      </c>
      <c r="H138" s="76" t="str">
        <f t="shared" ca="1" si="44"/>
        <v/>
      </c>
      <c r="I138" s="144" t="str">
        <f t="shared" ca="1" si="45"/>
        <v/>
      </c>
      <c r="J138" s="145" t="str">
        <f t="shared" ca="1" si="46"/>
        <v/>
      </c>
      <c r="K138" s="76" t="str">
        <f t="shared" ca="1" si="47"/>
        <v/>
      </c>
      <c r="L138" s="144" t="str">
        <f t="shared" ca="1" si="48"/>
        <v/>
      </c>
      <c r="M138" s="145" t="str">
        <f t="shared" ca="1" si="49"/>
        <v/>
      </c>
      <c r="N138" s="76" t="str">
        <f t="shared" ca="1" si="50"/>
        <v/>
      </c>
      <c r="O138" s="144" t="str">
        <f t="shared" ca="1" si="51"/>
        <v/>
      </c>
    </row>
    <row r="139" spans="1:15">
      <c r="A139" s="159">
        <v>9</v>
      </c>
      <c r="B139" s="159" t="str">
        <f>TEXT(투자전략!$G$1+8, "[$-ko-KR]yyyy.mm.dd")</f>
        <v>2021.05.09</v>
      </c>
      <c r="C139" s="138" t="str">
        <f t="shared" ca="1" si="39"/>
        <v/>
      </c>
      <c r="D139" s="142" t="str">
        <f t="shared" ca="1" si="40"/>
        <v/>
      </c>
      <c r="E139" s="77" t="str">
        <f t="shared" ca="1" si="41"/>
        <v/>
      </c>
      <c r="F139" s="140" t="str">
        <f t="shared" ca="1" si="42"/>
        <v/>
      </c>
      <c r="G139" s="142" t="str">
        <f t="shared" ca="1" si="43"/>
        <v/>
      </c>
      <c r="H139" s="77" t="str">
        <f t="shared" ca="1" si="44"/>
        <v/>
      </c>
      <c r="I139" s="140" t="str">
        <f t="shared" ca="1" si="45"/>
        <v/>
      </c>
      <c r="J139" s="142" t="str">
        <f t="shared" ca="1" si="46"/>
        <v/>
      </c>
      <c r="K139" s="77" t="str">
        <f t="shared" ca="1" si="47"/>
        <v/>
      </c>
      <c r="L139" s="140" t="str">
        <f t="shared" ca="1" si="48"/>
        <v/>
      </c>
      <c r="M139" s="142" t="str">
        <f t="shared" ca="1" si="49"/>
        <v/>
      </c>
      <c r="N139" s="77" t="str">
        <f t="shared" ca="1" si="50"/>
        <v/>
      </c>
      <c r="O139" s="140" t="str">
        <f t="shared" ca="1" si="51"/>
        <v/>
      </c>
    </row>
    <row r="140" spans="1:15">
      <c r="A140" s="159">
        <v>10</v>
      </c>
      <c r="B140" s="159" t="str">
        <f>TEXT(투자전략!$G$1+9, "[$-ko-KR]yyyy.mm.dd")</f>
        <v>2021.05.10</v>
      </c>
      <c r="C140" s="138" t="str">
        <f t="shared" ca="1" si="39"/>
        <v/>
      </c>
      <c r="D140" s="142" t="str">
        <f t="shared" ca="1" si="40"/>
        <v/>
      </c>
      <c r="E140" s="77" t="str">
        <f t="shared" ca="1" si="41"/>
        <v/>
      </c>
      <c r="F140" s="140" t="str">
        <f t="shared" ca="1" si="42"/>
        <v/>
      </c>
      <c r="G140" s="142" t="str">
        <f t="shared" ca="1" si="43"/>
        <v/>
      </c>
      <c r="H140" s="77" t="str">
        <f t="shared" ca="1" si="44"/>
        <v/>
      </c>
      <c r="I140" s="140" t="str">
        <f t="shared" ca="1" si="45"/>
        <v/>
      </c>
      <c r="J140" s="142" t="str">
        <f t="shared" ca="1" si="46"/>
        <v/>
      </c>
      <c r="K140" s="77" t="str">
        <f t="shared" ca="1" si="47"/>
        <v/>
      </c>
      <c r="L140" s="140" t="str">
        <f t="shared" ca="1" si="48"/>
        <v/>
      </c>
      <c r="M140" s="142" t="str">
        <f t="shared" ca="1" si="49"/>
        <v/>
      </c>
      <c r="N140" s="77" t="str">
        <f t="shared" ca="1" si="50"/>
        <v/>
      </c>
      <c r="O140" s="140" t="str">
        <f t="shared" ca="1" si="51"/>
        <v/>
      </c>
    </row>
    <row r="141" spans="1:15">
      <c r="A141" s="159">
        <v>11</v>
      </c>
      <c r="B141" s="159" t="str">
        <f>TEXT(투자전략!$G$1+10, "[$-ko-KR]yyyy.mm.dd")</f>
        <v>2021.05.11</v>
      </c>
      <c r="C141" s="138" t="str">
        <f t="shared" ca="1" si="39"/>
        <v/>
      </c>
      <c r="D141" s="142" t="str">
        <f t="shared" ca="1" si="40"/>
        <v/>
      </c>
      <c r="E141" s="77" t="str">
        <f t="shared" ca="1" si="41"/>
        <v/>
      </c>
      <c r="F141" s="140" t="str">
        <f t="shared" ca="1" si="42"/>
        <v/>
      </c>
      <c r="G141" s="142" t="str">
        <f t="shared" ca="1" si="43"/>
        <v/>
      </c>
      <c r="H141" s="77" t="str">
        <f t="shared" ca="1" si="44"/>
        <v/>
      </c>
      <c r="I141" s="140" t="str">
        <f t="shared" ca="1" si="45"/>
        <v/>
      </c>
      <c r="J141" s="142" t="str">
        <f t="shared" ca="1" si="46"/>
        <v/>
      </c>
      <c r="K141" s="77" t="str">
        <f t="shared" ca="1" si="47"/>
        <v/>
      </c>
      <c r="L141" s="140" t="str">
        <f t="shared" ca="1" si="48"/>
        <v/>
      </c>
      <c r="M141" s="142" t="str">
        <f t="shared" ca="1" si="49"/>
        <v/>
      </c>
      <c r="N141" s="77" t="str">
        <f t="shared" ca="1" si="50"/>
        <v/>
      </c>
      <c r="O141" s="140" t="str">
        <f t="shared" ca="1" si="51"/>
        <v/>
      </c>
    </row>
    <row r="142" spans="1:15">
      <c r="A142" s="159">
        <v>12</v>
      </c>
      <c r="B142" s="159" t="str">
        <f>TEXT(투자전략!$G$1+11, "[$-ko-KR]yyyy.mm.dd")</f>
        <v>2021.05.12</v>
      </c>
      <c r="C142" s="138" t="str">
        <f t="shared" ca="1" si="39"/>
        <v/>
      </c>
      <c r="D142" s="142" t="str">
        <f t="shared" ca="1" si="40"/>
        <v/>
      </c>
      <c r="E142" s="77" t="str">
        <f t="shared" ca="1" si="41"/>
        <v/>
      </c>
      <c r="F142" s="140" t="str">
        <f t="shared" ca="1" si="42"/>
        <v/>
      </c>
      <c r="G142" s="142" t="str">
        <f t="shared" ca="1" si="43"/>
        <v/>
      </c>
      <c r="H142" s="77" t="str">
        <f t="shared" ca="1" si="44"/>
        <v/>
      </c>
      <c r="I142" s="140" t="str">
        <f t="shared" ca="1" si="45"/>
        <v/>
      </c>
      <c r="J142" s="142" t="str">
        <f t="shared" ca="1" si="46"/>
        <v/>
      </c>
      <c r="K142" s="77" t="str">
        <f t="shared" ca="1" si="47"/>
        <v/>
      </c>
      <c r="L142" s="140" t="str">
        <f t="shared" ca="1" si="48"/>
        <v/>
      </c>
      <c r="M142" s="142" t="str">
        <f t="shared" ca="1" si="49"/>
        <v/>
      </c>
      <c r="N142" s="77" t="str">
        <f t="shared" ca="1" si="50"/>
        <v/>
      </c>
      <c r="O142" s="140" t="str">
        <f t="shared" ca="1" si="51"/>
        <v/>
      </c>
    </row>
    <row r="143" spans="1:15">
      <c r="A143" s="159">
        <v>13</v>
      </c>
      <c r="B143" s="159" t="str">
        <f>TEXT(투자전략!$G$1+12, "[$-ko-KR]yyyy.mm.dd")</f>
        <v>2021.05.13</v>
      </c>
      <c r="C143" s="138" t="str">
        <f t="shared" ca="1" si="39"/>
        <v/>
      </c>
      <c r="D143" s="142" t="str">
        <f t="shared" ca="1" si="40"/>
        <v/>
      </c>
      <c r="E143" s="77" t="str">
        <f t="shared" ca="1" si="41"/>
        <v/>
      </c>
      <c r="F143" s="140" t="str">
        <f t="shared" ca="1" si="42"/>
        <v/>
      </c>
      <c r="G143" s="142" t="str">
        <f t="shared" ca="1" si="43"/>
        <v/>
      </c>
      <c r="H143" s="77" t="str">
        <f t="shared" ca="1" si="44"/>
        <v/>
      </c>
      <c r="I143" s="140" t="str">
        <f t="shared" ca="1" si="45"/>
        <v/>
      </c>
      <c r="J143" s="142" t="str">
        <f t="shared" ca="1" si="46"/>
        <v/>
      </c>
      <c r="K143" s="77" t="str">
        <f t="shared" ca="1" si="47"/>
        <v/>
      </c>
      <c r="L143" s="140" t="str">
        <f t="shared" ca="1" si="48"/>
        <v/>
      </c>
      <c r="M143" s="142" t="str">
        <f t="shared" ca="1" si="49"/>
        <v/>
      </c>
      <c r="N143" s="77" t="str">
        <f t="shared" ca="1" si="50"/>
        <v/>
      </c>
      <c r="O143" s="140" t="str">
        <f t="shared" ca="1" si="51"/>
        <v/>
      </c>
    </row>
    <row r="144" spans="1:15" ht="17.25" thickBot="1">
      <c r="A144" s="161">
        <v>14</v>
      </c>
      <c r="B144" s="161" t="str">
        <f>TEXT(투자전략!$G$1+13, "[$-ko-KR]yyyy.mm.dd")</f>
        <v>2021.05.14</v>
      </c>
      <c r="C144" s="139" t="str">
        <f t="shared" ca="1" si="39"/>
        <v/>
      </c>
      <c r="D144" s="143" t="str">
        <f t="shared" ca="1" si="40"/>
        <v/>
      </c>
      <c r="E144" s="79" t="str">
        <f t="shared" ca="1" si="41"/>
        <v/>
      </c>
      <c r="F144" s="141" t="str">
        <f t="shared" ca="1" si="42"/>
        <v/>
      </c>
      <c r="G144" s="143" t="str">
        <f t="shared" ca="1" si="43"/>
        <v/>
      </c>
      <c r="H144" s="79" t="str">
        <f t="shared" ca="1" si="44"/>
        <v/>
      </c>
      <c r="I144" s="141" t="str">
        <f t="shared" ca="1" si="45"/>
        <v/>
      </c>
      <c r="J144" s="143" t="str">
        <f t="shared" ca="1" si="46"/>
        <v/>
      </c>
      <c r="K144" s="79" t="str">
        <f t="shared" ca="1" si="47"/>
        <v/>
      </c>
      <c r="L144" s="141" t="str">
        <f t="shared" ca="1" si="48"/>
        <v/>
      </c>
      <c r="M144" s="143" t="str">
        <f t="shared" ca="1" si="49"/>
        <v/>
      </c>
      <c r="N144" s="79" t="str">
        <f t="shared" ca="1" si="50"/>
        <v/>
      </c>
      <c r="O144" s="141" t="str">
        <f t="shared" ca="1" si="51"/>
        <v/>
      </c>
    </row>
    <row r="145" spans="1:15">
      <c r="A145" s="160">
        <v>15</v>
      </c>
      <c r="B145" s="160" t="str">
        <f>TEXT(투자전략!$G$1+14, "[$-ko-KR]yyyy.mm.dd")</f>
        <v>2021.05.15</v>
      </c>
      <c r="C145" s="138" t="str">
        <f t="shared" ca="1" si="39"/>
        <v/>
      </c>
      <c r="D145" s="142" t="str">
        <f t="shared" ca="1" si="40"/>
        <v/>
      </c>
      <c r="E145" s="77" t="str">
        <f t="shared" ca="1" si="41"/>
        <v/>
      </c>
      <c r="F145" s="140" t="str">
        <f t="shared" ca="1" si="42"/>
        <v/>
      </c>
      <c r="G145" s="142" t="str">
        <f t="shared" ca="1" si="43"/>
        <v/>
      </c>
      <c r="H145" s="77" t="str">
        <f t="shared" ca="1" si="44"/>
        <v/>
      </c>
      <c r="I145" s="140" t="str">
        <f t="shared" ca="1" si="45"/>
        <v/>
      </c>
      <c r="J145" s="142" t="str">
        <f t="shared" ca="1" si="46"/>
        <v/>
      </c>
      <c r="K145" s="77" t="str">
        <f t="shared" ca="1" si="47"/>
        <v/>
      </c>
      <c r="L145" s="140" t="str">
        <f t="shared" ca="1" si="48"/>
        <v/>
      </c>
      <c r="M145" s="142" t="str">
        <f t="shared" ca="1" si="49"/>
        <v/>
      </c>
      <c r="N145" s="77" t="str">
        <f t="shared" ca="1" si="50"/>
        <v/>
      </c>
      <c r="O145" s="140" t="str">
        <f t="shared" ca="1" si="51"/>
        <v/>
      </c>
    </row>
    <row r="146" spans="1:15">
      <c r="A146" s="159">
        <v>16</v>
      </c>
      <c r="B146" s="159" t="str">
        <f>TEXT(투자전략!$G$1+15, "[$-ko-KR]yyyy.mm.dd")</f>
        <v>2021.05.16</v>
      </c>
      <c r="C146" s="138" t="str">
        <f t="shared" ca="1" si="39"/>
        <v/>
      </c>
      <c r="D146" s="142" t="str">
        <f t="shared" ca="1" si="40"/>
        <v/>
      </c>
      <c r="E146" s="77" t="str">
        <f t="shared" ca="1" si="41"/>
        <v/>
      </c>
      <c r="F146" s="140" t="str">
        <f t="shared" ca="1" si="42"/>
        <v/>
      </c>
      <c r="G146" s="142" t="str">
        <f t="shared" ca="1" si="43"/>
        <v/>
      </c>
      <c r="H146" s="77" t="str">
        <f t="shared" ca="1" si="44"/>
        <v/>
      </c>
      <c r="I146" s="140" t="str">
        <f t="shared" ca="1" si="45"/>
        <v/>
      </c>
      <c r="J146" s="142" t="str">
        <f t="shared" ca="1" si="46"/>
        <v/>
      </c>
      <c r="K146" s="77" t="str">
        <f t="shared" ca="1" si="47"/>
        <v/>
      </c>
      <c r="L146" s="140" t="str">
        <f t="shared" ca="1" si="48"/>
        <v/>
      </c>
      <c r="M146" s="142" t="str">
        <f t="shared" ca="1" si="49"/>
        <v/>
      </c>
      <c r="N146" s="77" t="str">
        <f t="shared" ca="1" si="50"/>
        <v/>
      </c>
      <c r="O146" s="140" t="str">
        <f t="shared" ca="1" si="51"/>
        <v/>
      </c>
    </row>
    <row r="147" spans="1:15">
      <c r="A147" s="159">
        <v>17</v>
      </c>
      <c r="B147" s="159" t="str">
        <f>TEXT(투자전략!$G$1+16, "[$-ko-KR]yyyy.mm.dd")</f>
        <v>2021.05.17</v>
      </c>
      <c r="C147" s="138" t="str">
        <f t="shared" ca="1" si="39"/>
        <v/>
      </c>
      <c r="D147" s="142" t="str">
        <f t="shared" ca="1" si="40"/>
        <v/>
      </c>
      <c r="E147" s="77" t="str">
        <f t="shared" ca="1" si="41"/>
        <v/>
      </c>
      <c r="F147" s="140" t="str">
        <f t="shared" ca="1" si="42"/>
        <v/>
      </c>
      <c r="G147" s="142" t="str">
        <f t="shared" ca="1" si="43"/>
        <v/>
      </c>
      <c r="H147" s="77" t="str">
        <f t="shared" ca="1" si="44"/>
        <v/>
      </c>
      <c r="I147" s="140" t="str">
        <f t="shared" ca="1" si="45"/>
        <v/>
      </c>
      <c r="J147" s="142" t="str">
        <f t="shared" ca="1" si="46"/>
        <v/>
      </c>
      <c r="K147" s="77" t="str">
        <f t="shared" ca="1" si="47"/>
        <v/>
      </c>
      <c r="L147" s="140" t="str">
        <f t="shared" ca="1" si="48"/>
        <v/>
      </c>
      <c r="M147" s="142" t="str">
        <f t="shared" ca="1" si="49"/>
        <v/>
      </c>
      <c r="N147" s="77" t="str">
        <f t="shared" ca="1" si="50"/>
        <v/>
      </c>
      <c r="O147" s="140" t="str">
        <f t="shared" ca="1" si="51"/>
        <v/>
      </c>
    </row>
    <row r="148" spans="1:15">
      <c r="A148" s="159">
        <v>18</v>
      </c>
      <c r="B148" s="159" t="str">
        <f>TEXT(투자전략!$G$1+17, "[$-ko-KR]yyyy.mm.dd")</f>
        <v>2021.05.18</v>
      </c>
      <c r="C148" s="138" t="str">
        <f t="shared" ca="1" si="39"/>
        <v/>
      </c>
      <c r="D148" s="142" t="str">
        <f t="shared" ca="1" si="40"/>
        <v/>
      </c>
      <c r="E148" s="77" t="str">
        <f t="shared" ca="1" si="41"/>
        <v/>
      </c>
      <c r="F148" s="140" t="str">
        <f t="shared" ca="1" si="42"/>
        <v/>
      </c>
      <c r="G148" s="142" t="str">
        <f t="shared" ca="1" si="43"/>
        <v/>
      </c>
      <c r="H148" s="77" t="str">
        <f t="shared" ca="1" si="44"/>
        <v/>
      </c>
      <c r="I148" s="140" t="str">
        <f t="shared" ca="1" si="45"/>
        <v/>
      </c>
      <c r="J148" s="142" t="str">
        <f t="shared" ca="1" si="46"/>
        <v/>
      </c>
      <c r="K148" s="77" t="str">
        <f t="shared" ca="1" si="47"/>
        <v/>
      </c>
      <c r="L148" s="140" t="str">
        <f t="shared" ca="1" si="48"/>
        <v/>
      </c>
      <c r="M148" s="142" t="str">
        <f t="shared" ca="1" si="49"/>
        <v/>
      </c>
      <c r="N148" s="77" t="str">
        <f t="shared" ca="1" si="50"/>
        <v/>
      </c>
      <c r="O148" s="140" t="str">
        <f t="shared" ca="1" si="51"/>
        <v/>
      </c>
    </row>
    <row r="149" spans="1:15">
      <c r="A149" s="159">
        <v>19</v>
      </c>
      <c r="B149" s="159" t="str">
        <f>TEXT(투자전략!$G$1+18, "[$-ko-KR]yyyy.mm.dd")</f>
        <v>2021.05.19</v>
      </c>
      <c r="C149" s="138" t="str">
        <f t="shared" ca="1" si="39"/>
        <v/>
      </c>
      <c r="D149" s="142" t="str">
        <f t="shared" ca="1" si="40"/>
        <v/>
      </c>
      <c r="E149" s="77" t="str">
        <f t="shared" ca="1" si="41"/>
        <v/>
      </c>
      <c r="F149" s="140" t="str">
        <f t="shared" ca="1" si="42"/>
        <v/>
      </c>
      <c r="G149" s="142" t="str">
        <f t="shared" ca="1" si="43"/>
        <v/>
      </c>
      <c r="H149" s="77" t="str">
        <f t="shared" ca="1" si="44"/>
        <v/>
      </c>
      <c r="I149" s="140" t="str">
        <f t="shared" ca="1" si="45"/>
        <v/>
      </c>
      <c r="J149" s="142" t="str">
        <f t="shared" ca="1" si="46"/>
        <v/>
      </c>
      <c r="K149" s="77" t="str">
        <f t="shared" ca="1" si="47"/>
        <v/>
      </c>
      <c r="L149" s="140" t="str">
        <f t="shared" ca="1" si="48"/>
        <v/>
      </c>
      <c r="M149" s="142" t="str">
        <f t="shared" ca="1" si="49"/>
        <v/>
      </c>
      <c r="N149" s="77" t="str">
        <f t="shared" ca="1" si="50"/>
        <v/>
      </c>
      <c r="O149" s="140" t="str">
        <f t="shared" ca="1" si="51"/>
        <v/>
      </c>
    </row>
    <row r="150" spans="1:15">
      <c r="A150" s="159">
        <v>20</v>
      </c>
      <c r="B150" s="159" t="str">
        <f>TEXT(투자전략!$G$1+19, "[$-ko-KR]yyyy.mm.dd")</f>
        <v>2021.05.20</v>
      </c>
      <c r="C150" s="138" t="str">
        <f t="shared" ca="1" si="39"/>
        <v/>
      </c>
      <c r="D150" s="142" t="str">
        <f t="shared" ca="1" si="40"/>
        <v/>
      </c>
      <c r="E150" s="77" t="str">
        <f t="shared" ca="1" si="41"/>
        <v/>
      </c>
      <c r="F150" s="140" t="str">
        <f t="shared" ca="1" si="42"/>
        <v/>
      </c>
      <c r="G150" s="142" t="str">
        <f t="shared" ca="1" si="43"/>
        <v/>
      </c>
      <c r="H150" s="77" t="str">
        <f t="shared" ca="1" si="44"/>
        <v/>
      </c>
      <c r="I150" s="140" t="str">
        <f t="shared" ca="1" si="45"/>
        <v/>
      </c>
      <c r="J150" s="142" t="str">
        <f t="shared" ca="1" si="46"/>
        <v/>
      </c>
      <c r="K150" s="77" t="str">
        <f t="shared" ca="1" si="47"/>
        <v/>
      </c>
      <c r="L150" s="140" t="str">
        <f t="shared" ca="1" si="48"/>
        <v/>
      </c>
      <c r="M150" s="142" t="str">
        <f t="shared" ca="1" si="49"/>
        <v/>
      </c>
      <c r="N150" s="77" t="str">
        <f t="shared" ca="1" si="50"/>
        <v/>
      </c>
      <c r="O150" s="140" t="str">
        <f t="shared" ca="1" si="51"/>
        <v/>
      </c>
    </row>
    <row r="151" spans="1:15" ht="17.25" thickBot="1">
      <c r="A151" s="161">
        <v>21</v>
      </c>
      <c r="B151" s="161" t="str">
        <f>TEXT(투자전략!$G$1+20, "[$-ko-KR]yyyy.mm.dd")</f>
        <v>2021.05.21</v>
      </c>
      <c r="C151" s="138" t="str">
        <f t="shared" ca="1" si="39"/>
        <v/>
      </c>
      <c r="D151" s="142" t="str">
        <f t="shared" ca="1" si="40"/>
        <v/>
      </c>
      <c r="E151" s="77" t="str">
        <f t="shared" ca="1" si="41"/>
        <v/>
      </c>
      <c r="F151" s="140" t="str">
        <f t="shared" ca="1" si="42"/>
        <v/>
      </c>
      <c r="G151" s="142" t="str">
        <f t="shared" ca="1" si="43"/>
        <v/>
      </c>
      <c r="H151" s="77" t="str">
        <f t="shared" ca="1" si="44"/>
        <v/>
      </c>
      <c r="I151" s="140" t="str">
        <f t="shared" ca="1" si="45"/>
        <v/>
      </c>
      <c r="J151" s="142" t="str">
        <f t="shared" ca="1" si="46"/>
        <v/>
      </c>
      <c r="K151" s="77" t="str">
        <f t="shared" ca="1" si="47"/>
        <v/>
      </c>
      <c r="L151" s="140" t="str">
        <f t="shared" ca="1" si="48"/>
        <v/>
      </c>
      <c r="M151" s="142" t="str">
        <f t="shared" ca="1" si="49"/>
        <v/>
      </c>
      <c r="N151" s="77" t="str">
        <f t="shared" ca="1" si="50"/>
        <v/>
      </c>
      <c r="O151" s="140" t="str">
        <f t="shared" ca="1" si="51"/>
        <v/>
      </c>
    </row>
    <row r="152" spans="1:15">
      <c r="A152" s="160">
        <v>22</v>
      </c>
      <c r="B152" s="160" t="str">
        <f>TEXT(투자전략!$G$1+21, "[$-ko-KR]yyyy.mm.dd")</f>
        <v>2021.05.22</v>
      </c>
      <c r="C152" s="137" t="str">
        <f t="shared" ca="1" si="39"/>
        <v/>
      </c>
      <c r="D152" s="145" t="str">
        <f t="shared" ca="1" si="40"/>
        <v/>
      </c>
      <c r="E152" s="76" t="str">
        <f t="shared" ca="1" si="41"/>
        <v/>
      </c>
      <c r="F152" s="144" t="str">
        <f t="shared" ca="1" si="42"/>
        <v/>
      </c>
      <c r="G152" s="145" t="str">
        <f t="shared" ca="1" si="43"/>
        <v/>
      </c>
      <c r="H152" s="76" t="str">
        <f t="shared" ca="1" si="44"/>
        <v/>
      </c>
      <c r="I152" s="144" t="str">
        <f t="shared" ca="1" si="45"/>
        <v/>
      </c>
      <c r="J152" s="145" t="str">
        <f t="shared" ca="1" si="46"/>
        <v/>
      </c>
      <c r="K152" s="76" t="str">
        <f t="shared" ca="1" si="47"/>
        <v/>
      </c>
      <c r="L152" s="144" t="str">
        <f t="shared" ca="1" si="48"/>
        <v/>
      </c>
      <c r="M152" s="145" t="str">
        <f t="shared" ca="1" si="49"/>
        <v/>
      </c>
      <c r="N152" s="76" t="str">
        <f t="shared" ca="1" si="50"/>
        <v/>
      </c>
      <c r="O152" s="144" t="str">
        <f t="shared" ca="1" si="51"/>
        <v/>
      </c>
    </row>
    <row r="153" spans="1:15">
      <c r="A153" s="159">
        <v>23</v>
      </c>
      <c r="B153" s="159" t="str">
        <f>TEXT(투자전략!$G$1+22, "[$-ko-KR]yyyy.mm.dd")</f>
        <v>2021.05.23</v>
      </c>
      <c r="C153" s="138" t="str">
        <f t="shared" ca="1" si="39"/>
        <v/>
      </c>
      <c r="D153" s="142" t="str">
        <f t="shared" ca="1" si="40"/>
        <v/>
      </c>
      <c r="E153" s="77" t="str">
        <f t="shared" ca="1" si="41"/>
        <v/>
      </c>
      <c r="F153" s="140" t="str">
        <f t="shared" ca="1" si="42"/>
        <v/>
      </c>
      <c r="G153" s="142" t="str">
        <f t="shared" ca="1" si="43"/>
        <v/>
      </c>
      <c r="H153" s="77" t="str">
        <f t="shared" ca="1" si="44"/>
        <v/>
      </c>
      <c r="I153" s="140" t="str">
        <f t="shared" ca="1" si="45"/>
        <v/>
      </c>
      <c r="J153" s="142" t="str">
        <f t="shared" ca="1" si="46"/>
        <v/>
      </c>
      <c r="K153" s="77" t="str">
        <f t="shared" ca="1" si="47"/>
        <v/>
      </c>
      <c r="L153" s="140" t="str">
        <f t="shared" ca="1" si="48"/>
        <v/>
      </c>
      <c r="M153" s="142" t="str">
        <f t="shared" ca="1" si="49"/>
        <v/>
      </c>
      <c r="N153" s="77" t="str">
        <f t="shared" ca="1" si="50"/>
        <v/>
      </c>
      <c r="O153" s="140" t="str">
        <f t="shared" ca="1" si="51"/>
        <v/>
      </c>
    </row>
    <row r="154" spans="1:15">
      <c r="A154" s="159">
        <v>24</v>
      </c>
      <c r="B154" s="159" t="str">
        <f>TEXT(투자전략!$G$1+23, "[$-ko-KR]yyyy.mm.dd")</f>
        <v>2021.05.24</v>
      </c>
      <c r="C154" s="138" t="str">
        <f t="shared" ca="1" si="39"/>
        <v/>
      </c>
      <c r="D154" s="142" t="str">
        <f t="shared" ca="1" si="40"/>
        <v/>
      </c>
      <c r="E154" s="77" t="str">
        <f t="shared" ca="1" si="41"/>
        <v/>
      </c>
      <c r="F154" s="140" t="str">
        <f t="shared" ca="1" si="42"/>
        <v/>
      </c>
      <c r="G154" s="142" t="str">
        <f t="shared" ca="1" si="43"/>
        <v/>
      </c>
      <c r="H154" s="77" t="str">
        <f t="shared" ca="1" si="44"/>
        <v/>
      </c>
      <c r="I154" s="140" t="str">
        <f t="shared" ca="1" si="45"/>
        <v/>
      </c>
      <c r="J154" s="142" t="str">
        <f t="shared" ca="1" si="46"/>
        <v/>
      </c>
      <c r="K154" s="77" t="str">
        <f t="shared" ca="1" si="47"/>
        <v/>
      </c>
      <c r="L154" s="140" t="str">
        <f t="shared" ca="1" si="48"/>
        <v/>
      </c>
      <c r="M154" s="142" t="str">
        <f t="shared" ca="1" si="49"/>
        <v/>
      </c>
      <c r="N154" s="77" t="str">
        <f t="shared" ca="1" si="50"/>
        <v/>
      </c>
      <c r="O154" s="140" t="str">
        <f t="shared" ca="1" si="51"/>
        <v/>
      </c>
    </row>
    <row r="155" spans="1:15">
      <c r="A155" s="159">
        <v>25</v>
      </c>
      <c r="B155" s="159" t="str">
        <f>TEXT(투자전략!$G$1+24, "[$-ko-KR]yyyy.mm.dd")</f>
        <v>2021.05.25</v>
      </c>
      <c r="C155" s="138" t="str">
        <f t="shared" ca="1" si="39"/>
        <v/>
      </c>
      <c r="D155" s="142" t="str">
        <f t="shared" ca="1" si="40"/>
        <v/>
      </c>
      <c r="E155" s="77" t="str">
        <f t="shared" ca="1" si="41"/>
        <v/>
      </c>
      <c r="F155" s="140" t="str">
        <f t="shared" ca="1" si="42"/>
        <v/>
      </c>
      <c r="G155" s="142" t="str">
        <f t="shared" ca="1" si="43"/>
        <v/>
      </c>
      <c r="H155" s="77" t="str">
        <f t="shared" ca="1" si="44"/>
        <v/>
      </c>
      <c r="I155" s="140" t="str">
        <f t="shared" ca="1" si="45"/>
        <v/>
      </c>
      <c r="J155" s="142" t="str">
        <f t="shared" ca="1" si="46"/>
        <v/>
      </c>
      <c r="K155" s="77" t="str">
        <f t="shared" ca="1" si="47"/>
        <v/>
      </c>
      <c r="L155" s="140" t="str">
        <f t="shared" ca="1" si="48"/>
        <v/>
      </c>
      <c r="M155" s="142" t="str">
        <f t="shared" ca="1" si="49"/>
        <v/>
      </c>
      <c r="N155" s="77" t="str">
        <f t="shared" ca="1" si="50"/>
        <v/>
      </c>
      <c r="O155" s="140" t="str">
        <f t="shared" ca="1" si="51"/>
        <v/>
      </c>
    </row>
    <row r="156" spans="1:15">
      <c r="A156" s="159">
        <v>26</v>
      </c>
      <c r="B156" s="159" t="str">
        <f>TEXT(투자전략!$G$1+25, "[$-ko-KR]yyyy.mm.dd")</f>
        <v>2021.05.26</v>
      </c>
      <c r="C156" s="138" t="str">
        <f t="shared" ca="1" si="39"/>
        <v/>
      </c>
      <c r="D156" s="142" t="str">
        <f t="shared" ca="1" si="40"/>
        <v/>
      </c>
      <c r="E156" s="77" t="str">
        <f t="shared" ca="1" si="41"/>
        <v/>
      </c>
      <c r="F156" s="140" t="str">
        <f t="shared" ca="1" si="42"/>
        <v/>
      </c>
      <c r="G156" s="142" t="str">
        <f t="shared" ca="1" si="43"/>
        <v/>
      </c>
      <c r="H156" s="77" t="str">
        <f t="shared" ca="1" si="44"/>
        <v/>
      </c>
      <c r="I156" s="140" t="str">
        <f t="shared" ca="1" si="45"/>
        <v/>
      </c>
      <c r="J156" s="142" t="str">
        <f t="shared" ca="1" si="46"/>
        <v/>
      </c>
      <c r="K156" s="77" t="str">
        <f t="shared" ca="1" si="47"/>
        <v/>
      </c>
      <c r="L156" s="140" t="str">
        <f t="shared" ca="1" si="48"/>
        <v/>
      </c>
      <c r="M156" s="142" t="str">
        <f t="shared" ca="1" si="49"/>
        <v/>
      </c>
      <c r="N156" s="77" t="str">
        <f t="shared" ca="1" si="50"/>
        <v/>
      </c>
      <c r="O156" s="140" t="str">
        <f t="shared" ca="1" si="51"/>
        <v/>
      </c>
    </row>
    <row r="157" spans="1:15">
      <c r="A157" s="159">
        <v>27</v>
      </c>
      <c r="B157" s="159" t="str">
        <f>TEXT(투자전략!$G$1+26, "[$-ko-KR]yyyy.mm.dd")</f>
        <v>2021.05.27</v>
      </c>
      <c r="C157" s="138" t="str">
        <f t="shared" ca="1" si="39"/>
        <v/>
      </c>
      <c r="D157" s="142" t="str">
        <f t="shared" ca="1" si="40"/>
        <v/>
      </c>
      <c r="E157" s="77" t="str">
        <f t="shared" ca="1" si="41"/>
        <v/>
      </c>
      <c r="F157" s="140" t="str">
        <f t="shared" ca="1" si="42"/>
        <v/>
      </c>
      <c r="G157" s="142" t="str">
        <f t="shared" ca="1" si="43"/>
        <v/>
      </c>
      <c r="H157" s="77" t="str">
        <f t="shared" ca="1" si="44"/>
        <v/>
      </c>
      <c r="I157" s="140" t="str">
        <f t="shared" ca="1" si="45"/>
        <v/>
      </c>
      <c r="J157" s="142" t="str">
        <f t="shared" ca="1" si="46"/>
        <v/>
      </c>
      <c r="K157" s="77" t="str">
        <f t="shared" ca="1" si="47"/>
        <v/>
      </c>
      <c r="L157" s="140" t="str">
        <f t="shared" ca="1" si="48"/>
        <v/>
      </c>
      <c r="M157" s="142" t="str">
        <f t="shared" ca="1" si="49"/>
        <v/>
      </c>
      <c r="N157" s="77" t="str">
        <f t="shared" ca="1" si="50"/>
        <v/>
      </c>
      <c r="O157" s="140" t="str">
        <f t="shared" ca="1" si="51"/>
        <v/>
      </c>
    </row>
    <row r="158" spans="1:15" ht="17.25" thickBot="1">
      <c r="A158" s="161">
        <v>28</v>
      </c>
      <c r="B158" s="161" t="str">
        <f>TEXT(투자전략!$G$1+27, "[$-ko-KR]yyyy.mm.dd")</f>
        <v>2021.05.28</v>
      </c>
      <c r="C158" s="139" t="str">
        <f t="shared" ca="1" si="39"/>
        <v/>
      </c>
      <c r="D158" s="143" t="str">
        <f t="shared" ca="1" si="40"/>
        <v/>
      </c>
      <c r="E158" s="79" t="str">
        <f t="shared" ca="1" si="41"/>
        <v/>
      </c>
      <c r="F158" s="141" t="str">
        <f t="shared" ca="1" si="42"/>
        <v/>
      </c>
      <c r="G158" s="143" t="str">
        <f t="shared" ca="1" si="43"/>
        <v/>
      </c>
      <c r="H158" s="79" t="str">
        <f t="shared" ca="1" si="44"/>
        <v/>
      </c>
      <c r="I158" s="141" t="str">
        <f t="shared" ca="1" si="45"/>
        <v/>
      </c>
      <c r="J158" s="143" t="str">
        <f t="shared" ca="1" si="46"/>
        <v/>
      </c>
      <c r="K158" s="79" t="str">
        <f t="shared" ca="1" si="47"/>
        <v/>
      </c>
      <c r="L158" s="141" t="str">
        <f t="shared" ca="1" si="48"/>
        <v/>
      </c>
      <c r="M158" s="143" t="str">
        <f t="shared" ca="1" si="49"/>
        <v/>
      </c>
      <c r="N158" s="79" t="str">
        <f t="shared" ca="1" si="50"/>
        <v/>
      </c>
      <c r="O158" s="141" t="str">
        <f t="shared" ca="1" si="51"/>
        <v/>
      </c>
    </row>
    <row r="159" spans="1:15">
      <c r="A159" s="124">
        <v>29</v>
      </c>
      <c r="B159" s="160" t="str">
        <f>TEXT(투자전략!$G$1+28, "[$-ko-KR]yyyy.mm.dd")</f>
        <v>2021.05.29</v>
      </c>
      <c r="C159" s="138" t="str">
        <f t="shared" ca="1" si="39"/>
        <v/>
      </c>
      <c r="D159" s="142" t="str">
        <f t="shared" ca="1" si="40"/>
        <v/>
      </c>
      <c r="E159" s="77" t="str">
        <f t="shared" ca="1" si="41"/>
        <v/>
      </c>
      <c r="F159" s="140" t="str">
        <f t="shared" ca="1" si="42"/>
        <v/>
      </c>
      <c r="G159" s="142" t="str">
        <f t="shared" ca="1" si="43"/>
        <v/>
      </c>
      <c r="H159" s="77" t="str">
        <f t="shared" ca="1" si="44"/>
        <v/>
      </c>
      <c r="I159" s="140" t="str">
        <f t="shared" ca="1" si="45"/>
        <v/>
      </c>
      <c r="J159" s="142" t="str">
        <f t="shared" ca="1" si="46"/>
        <v/>
      </c>
      <c r="K159" s="77" t="str">
        <f t="shared" ca="1" si="47"/>
        <v/>
      </c>
      <c r="L159" s="140" t="str">
        <f t="shared" ca="1" si="48"/>
        <v/>
      </c>
      <c r="M159" s="142" t="str">
        <f t="shared" ca="1" si="49"/>
        <v/>
      </c>
      <c r="N159" s="77" t="str">
        <f t="shared" ca="1" si="50"/>
        <v/>
      </c>
      <c r="O159" s="140" t="str">
        <f t="shared" ca="1" si="51"/>
        <v/>
      </c>
    </row>
    <row r="160" spans="1:15">
      <c r="A160" s="124">
        <v>30</v>
      </c>
      <c r="B160" s="159" t="str">
        <f>TEXT(투자전략!$G$1+29, "[$-ko-KR]yyyy.mm.dd")</f>
        <v>2021.05.30</v>
      </c>
      <c r="C160" s="138" t="str">
        <f t="shared" ca="1" si="39"/>
        <v/>
      </c>
      <c r="D160" s="142" t="str">
        <f t="shared" ca="1" si="40"/>
        <v/>
      </c>
      <c r="E160" s="77" t="str">
        <f t="shared" ca="1" si="41"/>
        <v/>
      </c>
      <c r="F160" s="140" t="str">
        <f t="shared" ca="1" si="42"/>
        <v/>
      </c>
      <c r="G160" s="142" t="str">
        <f t="shared" ca="1" si="43"/>
        <v/>
      </c>
      <c r="H160" s="77" t="str">
        <f t="shared" ca="1" si="44"/>
        <v/>
      </c>
      <c r="I160" s="140" t="str">
        <f t="shared" ca="1" si="45"/>
        <v/>
      </c>
      <c r="J160" s="142" t="str">
        <f t="shared" ca="1" si="46"/>
        <v/>
      </c>
      <c r="K160" s="77" t="str">
        <f t="shared" ca="1" si="47"/>
        <v/>
      </c>
      <c r="L160" s="140" t="str">
        <f t="shared" ca="1" si="48"/>
        <v/>
      </c>
      <c r="M160" s="142" t="str">
        <f t="shared" ca="1" si="49"/>
        <v/>
      </c>
      <c r="N160" s="77" t="str">
        <f t="shared" ca="1" si="50"/>
        <v/>
      </c>
      <c r="O160" s="140" t="str">
        <f t="shared" ca="1" si="51"/>
        <v/>
      </c>
    </row>
    <row r="161" spans="1:15" ht="17.25" thickBot="1">
      <c r="A161" s="124">
        <v>31</v>
      </c>
      <c r="B161" s="159" t="str">
        <f>TEXT(투자전략!$G$1+30, "[$-ko-KR]yyyy.mm.dd")</f>
        <v>2021.05.31</v>
      </c>
      <c r="C161" s="139" t="str">
        <f t="shared" ca="1" si="39"/>
        <v/>
      </c>
      <c r="D161" s="143" t="str">
        <f t="shared" ca="1" si="40"/>
        <v/>
      </c>
      <c r="E161" s="79" t="str">
        <f t="shared" ca="1" si="41"/>
        <v/>
      </c>
      <c r="F161" s="141" t="str">
        <f t="shared" ca="1" si="42"/>
        <v/>
      </c>
      <c r="G161" s="143" t="str">
        <f t="shared" ca="1" si="43"/>
        <v/>
      </c>
      <c r="H161" s="79" t="str">
        <f t="shared" ca="1" si="44"/>
        <v/>
      </c>
      <c r="I161" s="141" t="str">
        <f t="shared" ca="1" si="45"/>
        <v/>
      </c>
      <c r="J161" s="143" t="str">
        <f t="shared" ca="1" si="46"/>
        <v/>
      </c>
      <c r="K161" s="79" t="str">
        <f t="shared" ca="1" si="47"/>
        <v/>
      </c>
      <c r="L161" s="141" t="str">
        <f t="shared" ca="1" si="48"/>
        <v/>
      </c>
      <c r="M161" s="143" t="str">
        <f t="shared" ca="1" si="49"/>
        <v/>
      </c>
      <c r="N161" s="79" t="str">
        <f t="shared" ca="1" si="50"/>
        <v/>
      </c>
      <c r="O161" s="141" t="str">
        <f t="shared" ca="1" si="51"/>
        <v/>
      </c>
    </row>
    <row r="162" spans="1:15" ht="17.25" thickBot="1">
      <c r="A162" s="213" t="s">
        <v>319</v>
      </c>
      <c r="B162" s="215"/>
      <c r="C162" s="135" t="s">
        <v>314</v>
      </c>
      <c r="D162" s="153" t="s">
        <v>315</v>
      </c>
      <c r="E162" s="154" t="s">
        <v>316</v>
      </c>
      <c r="F162" s="155" t="s">
        <v>317</v>
      </c>
      <c r="G162" s="153" t="s">
        <v>315</v>
      </c>
      <c r="H162" s="154" t="s">
        <v>316</v>
      </c>
      <c r="I162" s="155" t="s">
        <v>317</v>
      </c>
      <c r="J162" s="153" t="s">
        <v>315</v>
      </c>
      <c r="K162" s="154" t="s">
        <v>316</v>
      </c>
      <c r="L162" s="155" t="s">
        <v>317</v>
      </c>
      <c r="M162" s="153" t="s">
        <v>315</v>
      </c>
      <c r="N162" s="154" t="s">
        <v>316</v>
      </c>
      <c r="O162" s="155" t="s">
        <v>317</v>
      </c>
    </row>
    <row r="163" spans="1:15" ht="17.25" thickBot="1">
      <c r="A163" s="206"/>
      <c r="B163" s="208"/>
      <c r="C163" s="139">
        <f ca="1">SUM(C131:C161)</f>
        <v>27000000</v>
      </c>
      <c r="D163" s="143">
        <f ca="1">SUM(D131:D161)</f>
        <v>27592515.04666739</v>
      </c>
      <c r="E163" s="79">
        <f ca="1">IFERROR(F163 / (SUM($C131:$C161) / COUNT($C131:$C161)), 0)</f>
        <v>0.10972500864211021</v>
      </c>
      <c r="F163" s="141">
        <f ca="1">SUM(F131:F161)</f>
        <v>592515.04666739516</v>
      </c>
      <c r="G163" s="143">
        <f ca="1">SUM(G131:G161)</f>
        <v>27713872.207383987</v>
      </c>
      <c r="H163" s="79">
        <f ca="1">IFERROR(I163 / (SUM($C131:$C161) / COUNT($C131:$C161)), 0)</f>
        <v>0.13219855692296048</v>
      </c>
      <c r="I163" s="141">
        <f ca="1">SUM(I131:I161)</f>
        <v>713872.20738398656</v>
      </c>
      <c r="J163" s="143">
        <f ca="1">SUM(J131:J161)</f>
        <v>27912701.131633408</v>
      </c>
      <c r="K163" s="79">
        <f ca="1">IFERROR(L163 / (SUM($C131:$C161) / COUNT($C131:$C161)), 0)</f>
        <v>0.16901872808026119</v>
      </c>
      <c r="L163" s="141">
        <f ca="1">SUM(L131:L161)</f>
        <v>912701.13163341046</v>
      </c>
      <c r="M163" s="143">
        <f ca="1">SUM(M131:M161)</f>
        <v>27470779.816236466</v>
      </c>
      <c r="N163" s="79">
        <f ca="1">IFERROR(O163 / (SUM($C131:$C161) / COUNT($C131:$C161)), 0)</f>
        <v>8.7181447451197283E-2</v>
      </c>
      <c r="O163" s="141">
        <f ca="1">SUM(O131:O161)</f>
        <v>470779.8162364653</v>
      </c>
    </row>
    <row r="165" spans="1:15" ht="17.25" thickBot="1"/>
    <row r="166" spans="1:15" ht="17.25" thickBot="1">
      <c r="A166" s="185" t="str">
        <f>TEXT(투자전략!$G$1, "[$-ko-KR]yyyy년 mm월 ") &amp; "[엽전코인] 전일대비 상승률 Bottom20 월말결산"</f>
        <v>2021년 05월 [엽전코인] 전일대비 상승률 Bottom20 월말결산</v>
      </c>
      <c r="B166" s="186"/>
      <c r="C166" s="186"/>
      <c r="D166" s="186"/>
      <c r="E166" s="186"/>
      <c r="F166" s="186"/>
      <c r="G166" s="186"/>
      <c r="H166" s="186"/>
      <c r="I166" s="186"/>
      <c r="J166" s="186"/>
      <c r="K166" s="186"/>
      <c r="L166" s="186"/>
      <c r="M166" s="186"/>
      <c r="N166" s="186"/>
      <c r="O166" s="187"/>
    </row>
    <row r="167" spans="1:15" ht="17.25" thickBot="1">
      <c r="A167" s="229" t="s">
        <v>320</v>
      </c>
      <c r="B167" s="206" t="s">
        <v>318</v>
      </c>
      <c r="C167" s="208"/>
      <c r="D167" s="206" t="s">
        <v>310</v>
      </c>
      <c r="E167" s="207"/>
      <c r="F167" s="208"/>
      <c r="G167" s="206" t="s">
        <v>311</v>
      </c>
      <c r="H167" s="207"/>
      <c r="I167" s="208"/>
      <c r="J167" s="206" t="s">
        <v>312</v>
      </c>
      <c r="K167" s="207"/>
      <c r="L167" s="208"/>
      <c r="M167" s="206" t="s">
        <v>313</v>
      </c>
      <c r="N167" s="207"/>
      <c r="O167" s="208"/>
    </row>
    <row r="168" spans="1:15" ht="17.25" thickBot="1">
      <c r="A168" s="222"/>
      <c r="B168" s="160" t="s">
        <v>308</v>
      </c>
      <c r="C168" s="160" t="s">
        <v>42</v>
      </c>
      <c r="D168" s="124" t="s">
        <v>309</v>
      </c>
      <c r="E168" s="136" t="s">
        <v>40</v>
      </c>
      <c r="F168" s="162" t="s">
        <v>41</v>
      </c>
      <c r="G168" s="124" t="s">
        <v>309</v>
      </c>
      <c r="H168" s="136" t="s">
        <v>40</v>
      </c>
      <c r="I168" s="162" t="s">
        <v>41</v>
      </c>
      <c r="J168" s="124" t="s">
        <v>309</v>
      </c>
      <c r="K168" s="136" t="s">
        <v>40</v>
      </c>
      <c r="L168" s="162" t="s">
        <v>41</v>
      </c>
      <c r="M168" s="124" t="s">
        <v>309</v>
      </c>
      <c r="N168" s="136" t="s">
        <v>40</v>
      </c>
      <c r="O168" s="162" t="s">
        <v>41</v>
      </c>
    </row>
    <row r="169" spans="1:15">
      <c r="A169" s="160">
        <v>1</v>
      </c>
      <c r="B169" s="160" t="str">
        <f>TEXT(투자전략!$G$1+0, "[$-ko-KR]yyyy.mm.dd")</f>
        <v>2021.05.01</v>
      </c>
      <c r="C169" s="137">
        <f ca="1">IFERROR(COUNTA(INDIRECT($B169&amp;"!A125:A144")) * INDIRECT($B169&amp;"!B145"), "")</f>
        <v>5700000</v>
      </c>
      <c r="D169" s="145">
        <f ca="1">IFERROR($C169 * (1 + E169), "")</f>
        <v>5796967.8582712999</v>
      </c>
      <c r="E169" s="76">
        <f ca="1">IFERROR(INDIRECT($B169&amp;"!E145"), "")</f>
        <v>1.7011904959877054E-2</v>
      </c>
      <c r="F169" s="144">
        <f ca="1">IFERROR(INDIRECT($B169&amp;"!F145"), "")</f>
        <v>96967.858271299192</v>
      </c>
      <c r="G169" s="145">
        <f ca="1">IFERROR($C169 * (1 + H169), "")</f>
        <v>5762497.1388724633</v>
      </c>
      <c r="H169" s="76">
        <f ca="1">IFERROR(INDIRECT($B169&amp;"!H145"), "")</f>
        <v>1.0964410328502251E-2</v>
      </c>
      <c r="I169" s="144">
        <f ca="1">IFERROR(INDIRECT($B169&amp;"!I145"), "")</f>
        <v>62497.138872462834</v>
      </c>
      <c r="J169" s="145">
        <f ca="1">IFERROR($C169 * (1 + K169), "")</f>
        <v>5794168.1462707957</v>
      </c>
      <c r="K169" s="76">
        <f ca="1">IFERROR(INDIRECT($B169&amp;"!K145"), "")</f>
        <v>1.6520727415929037E-2</v>
      </c>
      <c r="L169" s="144">
        <f ca="1">IFERROR(INDIRECT($B169&amp;"!L145"), "")</f>
        <v>94168.146270795492</v>
      </c>
      <c r="M169" s="145">
        <f ca="1">IFERROR($C169 * (1 + N169), "")</f>
        <v>5791895.125992734</v>
      </c>
      <c r="N169" s="76">
        <f ca="1">IFERROR(INDIRECT($B169&amp;"!N145"), "")</f>
        <v>1.6121951928549837E-2</v>
      </c>
      <c r="O169" s="144">
        <f ca="1">IFERROR(INDIRECT($B169&amp;"!O145"), "")</f>
        <v>91895.125992734043</v>
      </c>
    </row>
    <row r="170" spans="1:15">
      <c r="A170" s="159">
        <v>2</v>
      </c>
      <c r="B170" s="159" t="str">
        <f>TEXT(투자전략!$G$1+1, "[$-ko-KR]yyyy.mm.dd")</f>
        <v>2021.05.02</v>
      </c>
      <c r="C170" s="138">
        <f t="shared" ref="C170:C199" ca="1" si="52">IFERROR(COUNTA(INDIRECT($B170&amp;"!A125:A144")) * INDIRECT($B170&amp;"!B145"), "")</f>
        <v>5700000</v>
      </c>
      <c r="D170" s="142">
        <f t="shared" ref="D170:D199" ca="1" si="53">IFERROR($C170 * (1 + E170), "")</f>
        <v>5690911.4456432778</v>
      </c>
      <c r="E170" s="77">
        <f t="shared" ref="E170:E199" ca="1" si="54">IFERROR(INDIRECT($B170&amp;"!E145"), "")</f>
        <v>-1.594483220477585E-3</v>
      </c>
      <c r="F170" s="140">
        <f t="shared" ref="F170:F199" ca="1" si="55">IFERROR(INDIRECT($B170&amp;"!F145"), "")</f>
        <v>-9088.5543567222303</v>
      </c>
      <c r="G170" s="142">
        <f t="shared" ref="G170:G199" ca="1" si="56">IFERROR($C170 * (1 + H170), "")</f>
        <v>5690498.5045738928</v>
      </c>
      <c r="H170" s="77">
        <f t="shared" ref="H170:H199" ca="1" si="57">IFERROR(INDIRECT($B170&amp;"!H145"), "")</f>
        <v>-1.666929022124089E-3</v>
      </c>
      <c r="I170" s="140">
        <f t="shared" ref="I170:I199" ca="1" si="58">IFERROR(INDIRECT($B170&amp;"!I145"), "")</f>
        <v>-9501.4954261073035</v>
      </c>
      <c r="J170" s="142">
        <f t="shared" ref="J170:J199" ca="1" si="59">IFERROR($C170 * (1 + K170), "")</f>
        <v>5725292.5041279895</v>
      </c>
      <c r="K170" s="77">
        <f t="shared" ref="K170:K199" ca="1" si="60">IFERROR(INDIRECT($B170&amp;"!K145"), "")</f>
        <v>4.437281425962906E-3</v>
      </c>
      <c r="L170" s="140">
        <f t="shared" ref="L170:L199" ca="1" si="61">IFERROR(INDIRECT($B170&amp;"!L145"), "")</f>
        <v>25292.50412798857</v>
      </c>
      <c r="M170" s="142">
        <f t="shared" ref="M170:M199" ca="1" si="62">IFERROR($C170 * (1 + N170), "")</f>
        <v>5763933.8531855056</v>
      </c>
      <c r="N170" s="77">
        <f t="shared" ref="N170:N199" ca="1" si="63">IFERROR(INDIRECT($B170&amp;"!N145"), "")</f>
        <v>1.1216465471141364E-2</v>
      </c>
      <c r="O170" s="140">
        <f t="shared" ref="O170:O199" ca="1" si="64">IFERROR(INDIRECT($B170&amp;"!O145"), "")</f>
        <v>63933.853185505781</v>
      </c>
    </row>
    <row r="171" spans="1:15">
      <c r="A171" s="159">
        <v>3</v>
      </c>
      <c r="B171" s="159" t="str">
        <f>TEXT(투자전략!$G$1+2, "[$-ko-KR]yyyy.mm.dd")</f>
        <v>2021.05.03</v>
      </c>
      <c r="C171" s="138">
        <f t="shared" ca="1" si="52"/>
        <v>5400000</v>
      </c>
      <c r="D171" s="142">
        <f t="shared" ca="1" si="53"/>
        <v>5575496.9864295339</v>
      </c>
      <c r="E171" s="77">
        <f t="shared" ca="1" si="54"/>
        <v>3.2499441931395062E-2</v>
      </c>
      <c r="F171" s="140">
        <f t="shared" ca="1" si="55"/>
        <v>175496.9864295334</v>
      </c>
      <c r="G171" s="142">
        <f t="shared" ca="1" si="56"/>
        <v>5618685.4874268863</v>
      </c>
      <c r="H171" s="77">
        <f t="shared" ca="1" si="57"/>
        <v>4.0497312486460504E-2</v>
      </c>
      <c r="I171" s="140">
        <f t="shared" ca="1" si="58"/>
        <v>218685.48742688677</v>
      </c>
      <c r="J171" s="142">
        <f t="shared" ca="1" si="59"/>
        <v>5642781.0931354463</v>
      </c>
      <c r="K171" s="77">
        <f t="shared" ca="1" si="60"/>
        <v>4.4959461691749317E-2</v>
      </c>
      <c r="L171" s="140">
        <f t="shared" ca="1" si="61"/>
        <v>242781.09313544634</v>
      </c>
      <c r="M171" s="142">
        <f t="shared" ca="1" si="62"/>
        <v>5599398.2018607762</v>
      </c>
      <c r="N171" s="77">
        <f t="shared" ca="1" si="63"/>
        <v>3.6925592937180791E-2</v>
      </c>
      <c r="O171" s="140">
        <f t="shared" ca="1" si="64"/>
        <v>199398.20186077629</v>
      </c>
    </row>
    <row r="172" spans="1:15">
      <c r="A172" s="159">
        <v>4</v>
      </c>
      <c r="B172" s="159" t="str">
        <f>TEXT(투자전략!$G$1+3, "[$-ko-KR]yyyy.mm.dd")</f>
        <v>2021.05.04</v>
      </c>
      <c r="C172" s="138">
        <f t="shared" ca="1" si="52"/>
        <v>5100000</v>
      </c>
      <c r="D172" s="142">
        <f t="shared" ca="1" si="53"/>
        <v>4913291.8029331751</v>
      </c>
      <c r="E172" s="77">
        <f t="shared" ca="1" si="54"/>
        <v>-3.6609450405259723E-2</v>
      </c>
      <c r="F172" s="140">
        <f t="shared" ca="1" si="55"/>
        <v>-186708.19706682459</v>
      </c>
      <c r="G172" s="142">
        <f t="shared" ca="1" si="56"/>
        <v>4944548.6693847794</v>
      </c>
      <c r="H172" s="77">
        <f t="shared" ca="1" si="57"/>
        <v>-3.0480653061807909E-2</v>
      </c>
      <c r="I172" s="140">
        <f t="shared" ca="1" si="58"/>
        <v>-155451.3306152203</v>
      </c>
      <c r="J172" s="142">
        <f t="shared" ca="1" si="59"/>
        <v>4946341.5860611983</v>
      </c>
      <c r="K172" s="77">
        <f t="shared" ca="1" si="60"/>
        <v>-3.0129100772314142E-2</v>
      </c>
      <c r="L172" s="140">
        <f t="shared" ca="1" si="61"/>
        <v>-153658.41393880208</v>
      </c>
      <c r="M172" s="142">
        <f t="shared" ca="1" si="62"/>
        <v>4753721.9406563118</v>
      </c>
      <c r="N172" s="77">
        <f t="shared" ca="1" si="63"/>
        <v>-6.7897658694840837E-2</v>
      </c>
      <c r="O172" s="140">
        <f t="shared" ca="1" si="64"/>
        <v>-346278.05934368825</v>
      </c>
    </row>
    <row r="173" spans="1:15">
      <c r="A173" s="159">
        <v>5</v>
      </c>
      <c r="B173" s="159" t="str">
        <f>TEXT(투자전략!$G$1+4, "[$-ko-KR]yyyy.mm.dd")</f>
        <v>2021.05.05</v>
      </c>
      <c r="C173" s="138">
        <f t="shared" ca="1" si="52"/>
        <v>2550000</v>
      </c>
      <c r="D173" s="142">
        <f t="shared" ca="1" si="53"/>
        <v>2414283.6024819729</v>
      </c>
      <c r="E173" s="77">
        <f t="shared" ca="1" si="54"/>
        <v>-5.3222116673736088E-2</v>
      </c>
      <c r="F173" s="140">
        <f t="shared" ca="1" si="55"/>
        <v>-135716.39751802705</v>
      </c>
      <c r="G173" s="142">
        <f t="shared" ca="1" si="56"/>
        <v>2485506.2944377828</v>
      </c>
      <c r="H173" s="77">
        <f t="shared" ca="1" si="57"/>
        <v>-2.5291649240085156E-2</v>
      </c>
      <c r="I173" s="140">
        <f t="shared" ca="1" si="58"/>
        <v>-64493.705562217161</v>
      </c>
      <c r="J173" s="142">
        <f t="shared" ca="1" si="59"/>
        <v>2450988.7532001613</v>
      </c>
      <c r="K173" s="77">
        <f t="shared" ca="1" si="60"/>
        <v>-3.8827939921505517E-2</v>
      </c>
      <c r="L173" s="140">
        <f t="shared" ca="1" si="61"/>
        <v>-99011.246799839064</v>
      </c>
      <c r="M173" s="142">
        <f t="shared" ca="1" si="62"/>
        <v>2550000</v>
      </c>
      <c r="N173" s="77">
        <f t="shared" ca="1" si="63"/>
        <v>0</v>
      </c>
      <c r="O173" s="140">
        <f t="shared" ca="1" si="64"/>
        <v>0</v>
      </c>
    </row>
    <row r="174" spans="1:15">
      <c r="A174" s="159">
        <v>6</v>
      </c>
      <c r="B174" s="159" t="str">
        <f>TEXT(투자전략!$G$1+5, "[$-ko-KR]yyyy.mm.dd")</f>
        <v>2021.05.06</v>
      </c>
      <c r="C174" s="138" t="str">
        <f t="shared" ca="1" si="52"/>
        <v/>
      </c>
      <c r="D174" s="142" t="str">
        <f t="shared" ca="1" si="53"/>
        <v/>
      </c>
      <c r="E174" s="77" t="str">
        <f t="shared" ca="1" si="54"/>
        <v/>
      </c>
      <c r="F174" s="140" t="str">
        <f t="shared" ca="1" si="55"/>
        <v/>
      </c>
      <c r="G174" s="142" t="str">
        <f t="shared" ca="1" si="56"/>
        <v/>
      </c>
      <c r="H174" s="77" t="str">
        <f t="shared" ca="1" si="57"/>
        <v/>
      </c>
      <c r="I174" s="140" t="str">
        <f t="shared" ca="1" si="58"/>
        <v/>
      </c>
      <c r="J174" s="142" t="str">
        <f t="shared" ca="1" si="59"/>
        <v/>
      </c>
      <c r="K174" s="77" t="str">
        <f t="shared" ca="1" si="60"/>
        <v/>
      </c>
      <c r="L174" s="140" t="str">
        <f t="shared" ca="1" si="61"/>
        <v/>
      </c>
      <c r="M174" s="142" t="str">
        <f t="shared" ca="1" si="62"/>
        <v/>
      </c>
      <c r="N174" s="77" t="str">
        <f t="shared" ca="1" si="63"/>
        <v/>
      </c>
      <c r="O174" s="140" t="str">
        <f t="shared" ca="1" si="64"/>
        <v/>
      </c>
    </row>
    <row r="175" spans="1:15" ht="17.25" thickBot="1">
      <c r="A175" s="161">
        <v>7</v>
      </c>
      <c r="B175" s="161" t="str">
        <f>TEXT(투자전략!$G$1+6, "[$-ko-KR]yyyy.mm.dd")</f>
        <v>2021.05.07</v>
      </c>
      <c r="C175" s="138" t="str">
        <f t="shared" ca="1" si="52"/>
        <v/>
      </c>
      <c r="D175" s="142" t="str">
        <f t="shared" ca="1" si="53"/>
        <v/>
      </c>
      <c r="E175" s="77" t="str">
        <f t="shared" ca="1" si="54"/>
        <v/>
      </c>
      <c r="F175" s="140" t="str">
        <f t="shared" ca="1" si="55"/>
        <v/>
      </c>
      <c r="G175" s="142" t="str">
        <f t="shared" ca="1" si="56"/>
        <v/>
      </c>
      <c r="H175" s="77" t="str">
        <f t="shared" ca="1" si="57"/>
        <v/>
      </c>
      <c r="I175" s="140" t="str">
        <f t="shared" ca="1" si="58"/>
        <v/>
      </c>
      <c r="J175" s="142" t="str">
        <f t="shared" ca="1" si="59"/>
        <v/>
      </c>
      <c r="K175" s="77" t="str">
        <f t="shared" ca="1" si="60"/>
        <v/>
      </c>
      <c r="L175" s="140" t="str">
        <f t="shared" ca="1" si="61"/>
        <v/>
      </c>
      <c r="M175" s="142" t="str">
        <f t="shared" ca="1" si="62"/>
        <v/>
      </c>
      <c r="N175" s="77" t="str">
        <f t="shared" ca="1" si="63"/>
        <v/>
      </c>
      <c r="O175" s="140" t="str">
        <f t="shared" ca="1" si="64"/>
        <v/>
      </c>
    </row>
    <row r="176" spans="1:15">
      <c r="A176" s="160">
        <v>8</v>
      </c>
      <c r="B176" s="160" t="str">
        <f>TEXT(투자전략!$G$1+7, "[$-ko-KR]yyyy.mm.dd")</f>
        <v>2021.05.08</v>
      </c>
      <c r="C176" s="137" t="str">
        <f t="shared" ca="1" si="52"/>
        <v/>
      </c>
      <c r="D176" s="145" t="str">
        <f t="shared" ca="1" si="53"/>
        <v/>
      </c>
      <c r="E176" s="76" t="str">
        <f t="shared" ca="1" si="54"/>
        <v/>
      </c>
      <c r="F176" s="144" t="str">
        <f t="shared" ca="1" si="55"/>
        <v/>
      </c>
      <c r="G176" s="145" t="str">
        <f t="shared" ca="1" si="56"/>
        <v/>
      </c>
      <c r="H176" s="76" t="str">
        <f t="shared" ca="1" si="57"/>
        <v/>
      </c>
      <c r="I176" s="144" t="str">
        <f t="shared" ca="1" si="58"/>
        <v/>
      </c>
      <c r="J176" s="145" t="str">
        <f t="shared" ca="1" si="59"/>
        <v/>
      </c>
      <c r="K176" s="76" t="str">
        <f t="shared" ca="1" si="60"/>
        <v/>
      </c>
      <c r="L176" s="144" t="str">
        <f t="shared" ca="1" si="61"/>
        <v/>
      </c>
      <c r="M176" s="145" t="str">
        <f t="shared" ca="1" si="62"/>
        <v/>
      </c>
      <c r="N176" s="76" t="str">
        <f t="shared" ca="1" si="63"/>
        <v/>
      </c>
      <c r="O176" s="144" t="str">
        <f t="shared" ca="1" si="64"/>
        <v/>
      </c>
    </row>
    <row r="177" spans="1:15">
      <c r="A177" s="159">
        <v>9</v>
      </c>
      <c r="B177" s="159" t="str">
        <f>TEXT(투자전략!$G$1+8, "[$-ko-KR]yyyy.mm.dd")</f>
        <v>2021.05.09</v>
      </c>
      <c r="C177" s="138" t="str">
        <f t="shared" ca="1" si="52"/>
        <v/>
      </c>
      <c r="D177" s="142" t="str">
        <f t="shared" ca="1" si="53"/>
        <v/>
      </c>
      <c r="E177" s="77" t="str">
        <f t="shared" ca="1" si="54"/>
        <v/>
      </c>
      <c r="F177" s="140" t="str">
        <f t="shared" ca="1" si="55"/>
        <v/>
      </c>
      <c r="G177" s="142" t="str">
        <f t="shared" ca="1" si="56"/>
        <v/>
      </c>
      <c r="H177" s="77" t="str">
        <f t="shared" ca="1" si="57"/>
        <v/>
      </c>
      <c r="I177" s="140" t="str">
        <f t="shared" ca="1" si="58"/>
        <v/>
      </c>
      <c r="J177" s="142" t="str">
        <f t="shared" ca="1" si="59"/>
        <v/>
      </c>
      <c r="K177" s="77" t="str">
        <f t="shared" ca="1" si="60"/>
        <v/>
      </c>
      <c r="L177" s="140" t="str">
        <f t="shared" ca="1" si="61"/>
        <v/>
      </c>
      <c r="M177" s="142" t="str">
        <f t="shared" ca="1" si="62"/>
        <v/>
      </c>
      <c r="N177" s="77" t="str">
        <f t="shared" ca="1" si="63"/>
        <v/>
      </c>
      <c r="O177" s="140" t="str">
        <f t="shared" ca="1" si="64"/>
        <v/>
      </c>
    </row>
    <row r="178" spans="1:15">
      <c r="A178" s="159">
        <v>10</v>
      </c>
      <c r="B178" s="159" t="str">
        <f>TEXT(투자전략!$G$1+9, "[$-ko-KR]yyyy.mm.dd")</f>
        <v>2021.05.10</v>
      </c>
      <c r="C178" s="138" t="str">
        <f t="shared" ca="1" si="52"/>
        <v/>
      </c>
      <c r="D178" s="142" t="str">
        <f t="shared" ca="1" si="53"/>
        <v/>
      </c>
      <c r="E178" s="77" t="str">
        <f t="shared" ca="1" si="54"/>
        <v/>
      </c>
      <c r="F178" s="140" t="str">
        <f t="shared" ca="1" si="55"/>
        <v/>
      </c>
      <c r="G178" s="142" t="str">
        <f t="shared" ca="1" si="56"/>
        <v/>
      </c>
      <c r="H178" s="77" t="str">
        <f t="shared" ca="1" si="57"/>
        <v/>
      </c>
      <c r="I178" s="140" t="str">
        <f t="shared" ca="1" si="58"/>
        <v/>
      </c>
      <c r="J178" s="142" t="str">
        <f t="shared" ca="1" si="59"/>
        <v/>
      </c>
      <c r="K178" s="77" t="str">
        <f t="shared" ca="1" si="60"/>
        <v/>
      </c>
      <c r="L178" s="140" t="str">
        <f t="shared" ca="1" si="61"/>
        <v/>
      </c>
      <c r="M178" s="142" t="str">
        <f t="shared" ca="1" si="62"/>
        <v/>
      </c>
      <c r="N178" s="77" t="str">
        <f t="shared" ca="1" si="63"/>
        <v/>
      </c>
      <c r="O178" s="140" t="str">
        <f t="shared" ca="1" si="64"/>
        <v/>
      </c>
    </row>
    <row r="179" spans="1:15">
      <c r="A179" s="159">
        <v>11</v>
      </c>
      <c r="B179" s="159" t="str">
        <f>TEXT(투자전략!$G$1+10, "[$-ko-KR]yyyy.mm.dd")</f>
        <v>2021.05.11</v>
      </c>
      <c r="C179" s="138" t="str">
        <f t="shared" ca="1" si="52"/>
        <v/>
      </c>
      <c r="D179" s="142" t="str">
        <f t="shared" ca="1" si="53"/>
        <v/>
      </c>
      <c r="E179" s="77" t="str">
        <f t="shared" ca="1" si="54"/>
        <v/>
      </c>
      <c r="F179" s="140" t="str">
        <f t="shared" ca="1" si="55"/>
        <v/>
      </c>
      <c r="G179" s="142" t="str">
        <f t="shared" ca="1" si="56"/>
        <v/>
      </c>
      <c r="H179" s="77" t="str">
        <f t="shared" ca="1" si="57"/>
        <v/>
      </c>
      <c r="I179" s="140" t="str">
        <f t="shared" ca="1" si="58"/>
        <v/>
      </c>
      <c r="J179" s="142" t="str">
        <f t="shared" ca="1" si="59"/>
        <v/>
      </c>
      <c r="K179" s="77" t="str">
        <f t="shared" ca="1" si="60"/>
        <v/>
      </c>
      <c r="L179" s="140" t="str">
        <f t="shared" ca="1" si="61"/>
        <v/>
      </c>
      <c r="M179" s="142" t="str">
        <f t="shared" ca="1" si="62"/>
        <v/>
      </c>
      <c r="N179" s="77" t="str">
        <f t="shared" ca="1" si="63"/>
        <v/>
      </c>
      <c r="O179" s="140" t="str">
        <f t="shared" ca="1" si="64"/>
        <v/>
      </c>
    </row>
    <row r="180" spans="1:15">
      <c r="A180" s="159">
        <v>12</v>
      </c>
      <c r="B180" s="159" t="str">
        <f>TEXT(투자전략!$G$1+11, "[$-ko-KR]yyyy.mm.dd")</f>
        <v>2021.05.12</v>
      </c>
      <c r="C180" s="138" t="str">
        <f t="shared" ca="1" si="52"/>
        <v/>
      </c>
      <c r="D180" s="142" t="str">
        <f t="shared" ca="1" si="53"/>
        <v/>
      </c>
      <c r="E180" s="77" t="str">
        <f t="shared" ca="1" si="54"/>
        <v/>
      </c>
      <c r="F180" s="140" t="str">
        <f t="shared" ca="1" si="55"/>
        <v/>
      </c>
      <c r="G180" s="142" t="str">
        <f t="shared" ca="1" si="56"/>
        <v/>
      </c>
      <c r="H180" s="77" t="str">
        <f t="shared" ca="1" si="57"/>
        <v/>
      </c>
      <c r="I180" s="140" t="str">
        <f t="shared" ca="1" si="58"/>
        <v/>
      </c>
      <c r="J180" s="142" t="str">
        <f t="shared" ca="1" si="59"/>
        <v/>
      </c>
      <c r="K180" s="77" t="str">
        <f t="shared" ca="1" si="60"/>
        <v/>
      </c>
      <c r="L180" s="140" t="str">
        <f t="shared" ca="1" si="61"/>
        <v/>
      </c>
      <c r="M180" s="142" t="str">
        <f t="shared" ca="1" si="62"/>
        <v/>
      </c>
      <c r="N180" s="77" t="str">
        <f t="shared" ca="1" si="63"/>
        <v/>
      </c>
      <c r="O180" s="140" t="str">
        <f t="shared" ca="1" si="64"/>
        <v/>
      </c>
    </row>
    <row r="181" spans="1:15">
      <c r="A181" s="159">
        <v>13</v>
      </c>
      <c r="B181" s="159" t="str">
        <f>TEXT(투자전략!$G$1+12, "[$-ko-KR]yyyy.mm.dd")</f>
        <v>2021.05.13</v>
      </c>
      <c r="C181" s="138" t="str">
        <f t="shared" ca="1" si="52"/>
        <v/>
      </c>
      <c r="D181" s="142" t="str">
        <f t="shared" ca="1" si="53"/>
        <v/>
      </c>
      <c r="E181" s="77" t="str">
        <f t="shared" ca="1" si="54"/>
        <v/>
      </c>
      <c r="F181" s="140" t="str">
        <f t="shared" ca="1" si="55"/>
        <v/>
      </c>
      <c r="G181" s="142" t="str">
        <f t="shared" ca="1" si="56"/>
        <v/>
      </c>
      <c r="H181" s="77" t="str">
        <f t="shared" ca="1" si="57"/>
        <v/>
      </c>
      <c r="I181" s="140" t="str">
        <f t="shared" ca="1" si="58"/>
        <v/>
      </c>
      <c r="J181" s="142" t="str">
        <f t="shared" ca="1" si="59"/>
        <v/>
      </c>
      <c r="K181" s="77" t="str">
        <f t="shared" ca="1" si="60"/>
        <v/>
      </c>
      <c r="L181" s="140" t="str">
        <f t="shared" ca="1" si="61"/>
        <v/>
      </c>
      <c r="M181" s="142" t="str">
        <f t="shared" ca="1" si="62"/>
        <v/>
      </c>
      <c r="N181" s="77" t="str">
        <f t="shared" ca="1" si="63"/>
        <v/>
      </c>
      <c r="O181" s="140" t="str">
        <f t="shared" ca="1" si="64"/>
        <v/>
      </c>
    </row>
    <row r="182" spans="1:15" ht="17.25" thickBot="1">
      <c r="A182" s="161">
        <v>14</v>
      </c>
      <c r="B182" s="161" t="str">
        <f>TEXT(투자전략!$G$1+13, "[$-ko-KR]yyyy.mm.dd")</f>
        <v>2021.05.14</v>
      </c>
      <c r="C182" s="139" t="str">
        <f t="shared" ca="1" si="52"/>
        <v/>
      </c>
      <c r="D182" s="143" t="str">
        <f t="shared" ca="1" si="53"/>
        <v/>
      </c>
      <c r="E182" s="79" t="str">
        <f t="shared" ca="1" si="54"/>
        <v/>
      </c>
      <c r="F182" s="141" t="str">
        <f t="shared" ca="1" si="55"/>
        <v/>
      </c>
      <c r="G182" s="143" t="str">
        <f t="shared" ca="1" si="56"/>
        <v/>
      </c>
      <c r="H182" s="79" t="str">
        <f t="shared" ca="1" si="57"/>
        <v/>
      </c>
      <c r="I182" s="141" t="str">
        <f t="shared" ca="1" si="58"/>
        <v/>
      </c>
      <c r="J182" s="143" t="str">
        <f t="shared" ca="1" si="59"/>
        <v/>
      </c>
      <c r="K182" s="79" t="str">
        <f t="shared" ca="1" si="60"/>
        <v/>
      </c>
      <c r="L182" s="141" t="str">
        <f t="shared" ca="1" si="61"/>
        <v/>
      </c>
      <c r="M182" s="143" t="str">
        <f t="shared" ca="1" si="62"/>
        <v/>
      </c>
      <c r="N182" s="79" t="str">
        <f t="shared" ca="1" si="63"/>
        <v/>
      </c>
      <c r="O182" s="141" t="str">
        <f t="shared" ca="1" si="64"/>
        <v/>
      </c>
    </row>
    <row r="183" spans="1:15">
      <c r="A183" s="160">
        <v>15</v>
      </c>
      <c r="B183" s="160" t="str">
        <f>TEXT(투자전략!$G$1+14, "[$-ko-KR]yyyy.mm.dd")</f>
        <v>2021.05.15</v>
      </c>
      <c r="C183" s="138" t="str">
        <f t="shared" ca="1" si="52"/>
        <v/>
      </c>
      <c r="D183" s="142" t="str">
        <f t="shared" ca="1" si="53"/>
        <v/>
      </c>
      <c r="E183" s="77" t="str">
        <f t="shared" ca="1" si="54"/>
        <v/>
      </c>
      <c r="F183" s="140" t="str">
        <f t="shared" ca="1" si="55"/>
        <v/>
      </c>
      <c r="G183" s="142" t="str">
        <f t="shared" ca="1" si="56"/>
        <v/>
      </c>
      <c r="H183" s="77" t="str">
        <f t="shared" ca="1" si="57"/>
        <v/>
      </c>
      <c r="I183" s="140" t="str">
        <f t="shared" ca="1" si="58"/>
        <v/>
      </c>
      <c r="J183" s="142" t="str">
        <f t="shared" ca="1" si="59"/>
        <v/>
      </c>
      <c r="K183" s="77" t="str">
        <f t="shared" ca="1" si="60"/>
        <v/>
      </c>
      <c r="L183" s="140" t="str">
        <f t="shared" ca="1" si="61"/>
        <v/>
      </c>
      <c r="M183" s="142" t="str">
        <f t="shared" ca="1" si="62"/>
        <v/>
      </c>
      <c r="N183" s="77" t="str">
        <f t="shared" ca="1" si="63"/>
        <v/>
      </c>
      <c r="O183" s="140" t="str">
        <f t="shared" ca="1" si="64"/>
        <v/>
      </c>
    </row>
    <row r="184" spans="1:15">
      <c r="A184" s="159">
        <v>16</v>
      </c>
      <c r="B184" s="159" t="str">
        <f>TEXT(투자전략!$G$1+15, "[$-ko-KR]yyyy.mm.dd")</f>
        <v>2021.05.16</v>
      </c>
      <c r="C184" s="138" t="str">
        <f t="shared" ca="1" si="52"/>
        <v/>
      </c>
      <c r="D184" s="142" t="str">
        <f t="shared" ca="1" si="53"/>
        <v/>
      </c>
      <c r="E184" s="77" t="str">
        <f t="shared" ca="1" si="54"/>
        <v/>
      </c>
      <c r="F184" s="140" t="str">
        <f t="shared" ca="1" si="55"/>
        <v/>
      </c>
      <c r="G184" s="142" t="str">
        <f t="shared" ca="1" si="56"/>
        <v/>
      </c>
      <c r="H184" s="77" t="str">
        <f t="shared" ca="1" si="57"/>
        <v/>
      </c>
      <c r="I184" s="140" t="str">
        <f t="shared" ca="1" si="58"/>
        <v/>
      </c>
      <c r="J184" s="142" t="str">
        <f t="shared" ca="1" si="59"/>
        <v/>
      </c>
      <c r="K184" s="77" t="str">
        <f t="shared" ca="1" si="60"/>
        <v/>
      </c>
      <c r="L184" s="140" t="str">
        <f t="shared" ca="1" si="61"/>
        <v/>
      </c>
      <c r="M184" s="142" t="str">
        <f t="shared" ca="1" si="62"/>
        <v/>
      </c>
      <c r="N184" s="77" t="str">
        <f t="shared" ca="1" si="63"/>
        <v/>
      </c>
      <c r="O184" s="140" t="str">
        <f t="shared" ca="1" si="64"/>
        <v/>
      </c>
    </row>
    <row r="185" spans="1:15">
      <c r="A185" s="159">
        <v>17</v>
      </c>
      <c r="B185" s="159" t="str">
        <f>TEXT(투자전략!$G$1+16, "[$-ko-KR]yyyy.mm.dd")</f>
        <v>2021.05.17</v>
      </c>
      <c r="C185" s="138" t="str">
        <f t="shared" ca="1" si="52"/>
        <v/>
      </c>
      <c r="D185" s="142" t="str">
        <f t="shared" ca="1" si="53"/>
        <v/>
      </c>
      <c r="E185" s="77" t="str">
        <f t="shared" ca="1" si="54"/>
        <v/>
      </c>
      <c r="F185" s="140" t="str">
        <f t="shared" ca="1" si="55"/>
        <v/>
      </c>
      <c r="G185" s="142" t="str">
        <f t="shared" ca="1" si="56"/>
        <v/>
      </c>
      <c r="H185" s="77" t="str">
        <f t="shared" ca="1" si="57"/>
        <v/>
      </c>
      <c r="I185" s="140" t="str">
        <f t="shared" ca="1" si="58"/>
        <v/>
      </c>
      <c r="J185" s="142" t="str">
        <f t="shared" ca="1" si="59"/>
        <v/>
      </c>
      <c r="K185" s="77" t="str">
        <f t="shared" ca="1" si="60"/>
        <v/>
      </c>
      <c r="L185" s="140" t="str">
        <f t="shared" ca="1" si="61"/>
        <v/>
      </c>
      <c r="M185" s="142" t="str">
        <f t="shared" ca="1" si="62"/>
        <v/>
      </c>
      <c r="N185" s="77" t="str">
        <f t="shared" ca="1" si="63"/>
        <v/>
      </c>
      <c r="O185" s="140" t="str">
        <f t="shared" ca="1" si="64"/>
        <v/>
      </c>
    </row>
    <row r="186" spans="1:15">
      <c r="A186" s="159">
        <v>18</v>
      </c>
      <c r="B186" s="159" t="str">
        <f>TEXT(투자전략!$G$1+17, "[$-ko-KR]yyyy.mm.dd")</f>
        <v>2021.05.18</v>
      </c>
      <c r="C186" s="138" t="str">
        <f t="shared" ca="1" si="52"/>
        <v/>
      </c>
      <c r="D186" s="142" t="str">
        <f t="shared" ca="1" si="53"/>
        <v/>
      </c>
      <c r="E186" s="77" t="str">
        <f t="shared" ca="1" si="54"/>
        <v/>
      </c>
      <c r="F186" s="140" t="str">
        <f t="shared" ca="1" si="55"/>
        <v/>
      </c>
      <c r="G186" s="142" t="str">
        <f t="shared" ca="1" si="56"/>
        <v/>
      </c>
      <c r="H186" s="77" t="str">
        <f t="shared" ca="1" si="57"/>
        <v/>
      </c>
      <c r="I186" s="140" t="str">
        <f t="shared" ca="1" si="58"/>
        <v/>
      </c>
      <c r="J186" s="142" t="str">
        <f t="shared" ca="1" si="59"/>
        <v/>
      </c>
      <c r="K186" s="77" t="str">
        <f t="shared" ca="1" si="60"/>
        <v/>
      </c>
      <c r="L186" s="140" t="str">
        <f t="shared" ca="1" si="61"/>
        <v/>
      </c>
      <c r="M186" s="142" t="str">
        <f t="shared" ca="1" si="62"/>
        <v/>
      </c>
      <c r="N186" s="77" t="str">
        <f t="shared" ca="1" si="63"/>
        <v/>
      </c>
      <c r="O186" s="140" t="str">
        <f t="shared" ca="1" si="64"/>
        <v/>
      </c>
    </row>
    <row r="187" spans="1:15">
      <c r="A187" s="159">
        <v>19</v>
      </c>
      <c r="B187" s="159" t="str">
        <f>TEXT(투자전략!$G$1+18, "[$-ko-KR]yyyy.mm.dd")</f>
        <v>2021.05.19</v>
      </c>
      <c r="C187" s="138" t="str">
        <f t="shared" ca="1" si="52"/>
        <v/>
      </c>
      <c r="D187" s="142" t="str">
        <f t="shared" ca="1" si="53"/>
        <v/>
      </c>
      <c r="E187" s="77" t="str">
        <f t="shared" ca="1" si="54"/>
        <v/>
      </c>
      <c r="F187" s="140" t="str">
        <f t="shared" ca="1" si="55"/>
        <v/>
      </c>
      <c r="G187" s="142" t="str">
        <f t="shared" ca="1" si="56"/>
        <v/>
      </c>
      <c r="H187" s="77" t="str">
        <f t="shared" ca="1" si="57"/>
        <v/>
      </c>
      <c r="I187" s="140" t="str">
        <f t="shared" ca="1" si="58"/>
        <v/>
      </c>
      <c r="J187" s="142" t="str">
        <f t="shared" ca="1" si="59"/>
        <v/>
      </c>
      <c r="K187" s="77" t="str">
        <f t="shared" ca="1" si="60"/>
        <v/>
      </c>
      <c r="L187" s="140" t="str">
        <f t="shared" ca="1" si="61"/>
        <v/>
      </c>
      <c r="M187" s="142" t="str">
        <f t="shared" ca="1" si="62"/>
        <v/>
      </c>
      <c r="N187" s="77" t="str">
        <f t="shared" ca="1" si="63"/>
        <v/>
      </c>
      <c r="O187" s="140" t="str">
        <f t="shared" ca="1" si="64"/>
        <v/>
      </c>
    </row>
    <row r="188" spans="1:15">
      <c r="A188" s="159">
        <v>20</v>
      </c>
      <c r="B188" s="159" t="str">
        <f>TEXT(투자전략!$G$1+19, "[$-ko-KR]yyyy.mm.dd")</f>
        <v>2021.05.20</v>
      </c>
      <c r="C188" s="138" t="str">
        <f t="shared" ca="1" si="52"/>
        <v/>
      </c>
      <c r="D188" s="142" t="str">
        <f t="shared" ca="1" si="53"/>
        <v/>
      </c>
      <c r="E188" s="77" t="str">
        <f t="shared" ca="1" si="54"/>
        <v/>
      </c>
      <c r="F188" s="140" t="str">
        <f t="shared" ca="1" si="55"/>
        <v/>
      </c>
      <c r="G188" s="142" t="str">
        <f t="shared" ca="1" si="56"/>
        <v/>
      </c>
      <c r="H188" s="77" t="str">
        <f t="shared" ca="1" si="57"/>
        <v/>
      </c>
      <c r="I188" s="140" t="str">
        <f t="shared" ca="1" si="58"/>
        <v/>
      </c>
      <c r="J188" s="142" t="str">
        <f t="shared" ca="1" si="59"/>
        <v/>
      </c>
      <c r="K188" s="77" t="str">
        <f t="shared" ca="1" si="60"/>
        <v/>
      </c>
      <c r="L188" s="140" t="str">
        <f t="shared" ca="1" si="61"/>
        <v/>
      </c>
      <c r="M188" s="142" t="str">
        <f t="shared" ca="1" si="62"/>
        <v/>
      </c>
      <c r="N188" s="77" t="str">
        <f t="shared" ca="1" si="63"/>
        <v/>
      </c>
      <c r="O188" s="140" t="str">
        <f t="shared" ca="1" si="64"/>
        <v/>
      </c>
    </row>
    <row r="189" spans="1:15" ht="17.25" thickBot="1">
      <c r="A189" s="161">
        <v>21</v>
      </c>
      <c r="B189" s="161" t="str">
        <f>TEXT(투자전략!$G$1+20, "[$-ko-KR]yyyy.mm.dd")</f>
        <v>2021.05.21</v>
      </c>
      <c r="C189" s="138" t="str">
        <f t="shared" ca="1" si="52"/>
        <v/>
      </c>
      <c r="D189" s="142" t="str">
        <f t="shared" ca="1" si="53"/>
        <v/>
      </c>
      <c r="E189" s="77" t="str">
        <f t="shared" ca="1" si="54"/>
        <v/>
      </c>
      <c r="F189" s="140" t="str">
        <f t="shared" ca="1" si="55"/>
        <v/>
      </c>
      <c r="G189" s="142" t="str">
        <f t="shared" ca="1" si="56"/>
        <v/>
      </c>
      <c r="H189" s="77" t="str">
        <f t="shared" ca="1" si="57"/>
        <v/>
      </c>
      <c r="I189" s="140" t="str">
        <f t="shared" ca="1" si="58"/>
        <v/>
      </c>
      <c r="J189" s="142" t="str">
        <f t="shared" ca="1" si="59"/>
        <v/>
      </c>
      <c r="K189" s="77" t="str">
        <f t="shared" ca="1" si="60"/>
        <v/>
      </c>
      <c r="L189" s="140" t="str">
        <f t="shared" ca="1" si="61"/>
        <v/>
      </c>
      <c r="M189" s="142" t="str">
        <f t="shared" ca="1" si="62"/>
        <v/>
      </c>
      <c r="N189" s="77" t="str">
        <f t="shared" ca="1" si="63"/>
        <v/>
      </c>
      <c r="O189" s="140" t="str">
        <f t="shared" ca="1" si="64"/>
        <v/>
      </c>
    </row>
    <row r="190" spans="1:15">
      <c r="A190" s="160">
        <v>22</v>
      </c>
      <c r="B190" s="160" t="str">
        <f>TEXT(투자전략!$G$1+21, "[$-ko-KR]yyyy.mm.dd")</f>
        <v>2021.05.22</v>
      </c>
      <c r="C190" s="137" t="str">
        <f t="shared" ca="1" si="52"/>
        <v/>
      </c>
      <c r="D190" s="145" t="str">
        <f t="shared" ca="1" si="53"/>
        <v/>
      </c>
      <c r="E190" s="76" t="str">
        <f t="shared" ca="1" si="54"/>
        <v/>
      </c>
      <c r="F190" s="144" t="str">
        <f t="shared" ca="1" si="55"/>
        <v/>
      </c>
      <c r="G190" s="145" t="str">
        <f t="shared" ca="1" si="56"/>
        <v/>
      </c>
      <c r="H190" s="76" t="str">
        <f t="shared" ca="1" si="57"/>
        <v/>
      </c>
      <c r="I190" s="144" t="str">
        <f t="shared" ca="1" si="58"/>
        <v/>
      </c>
      <c r="J190" s="145" t="str">
        <f t="shared" ca="1" si="59"/>
        <v/>
      </c>
      <c r="K190" s="76" t="str">
        <f t="shared" ca="1" si="60"/>
        <v/>
      </c>
      <c r="L190" s="144" t="str">
        <f t="shared" ca="1" si="61"/>
        <v/>
      </c>
      <c r="M190" s="145" t="str">
        <f t="shared" ca="1" si="62"/>
        <v/>
      </c>
      <c r="N190" s="76" t="str">
        <f t="shared" ca="1" si="63"/>
        <v/>
      </c>
      <c r="O190" s="144" t="str">
        <f t="shared" ca="1" si="64"/>
        <v/>
      </c>
    </row>
    <row r="191" spans="1:15">
      <c r="A191" s="159">
        <v>23</v>
      </c>
      <c r="B191" s="159" t="str">
        <f>TEXT(투자전략!$G$1+22, "[$-ko-KR]yyyy.mm.dd")</f>
        <v>2021.05.23</v>
      </c>
      <c r="C191" s="138" t="str">
        <f t="shared" ca="1" si="52"/>
        <v/>
      </c>
      <c r="D191" s="142" t="str">
        <f t="shared" ca="1" si="53"/>
        <v/>
      </c>
      <c r="E191" s="77" t="str">
        <f t="shared" ca="1" si="54"/>
        <v/>
      </c>
      <c r="F191" s="140" t="str">
        <f t="shared" ca="1" si="55"/>
        <v/>
      </c>
      <c r="G191" s="142" t="str">
        <f t="shared" ca="1" si="56"/>
        <v/>
      </c>
      <c r="H191" s="77" t="str">
        <f t="shared" ca="1" si="57"/>
        <v/>
      </c>
      <c r="I191" s="140" t="str">
        <f t="shared" ca="1" si="58"/>
        <v/>
      </c>
      <c r="J191" s="142" t="str">
        <f t="shared" ca="1" si="59"/>
        <v/>
      </c>
      <c r="K191" s="77" t="str">
        <f t="shared" ca="1" si="60"/>
        <v/>
      </c>
      <c r="L191" s="140" t="str">
        <f t="shared" ca="1" si="61"/>
        <v/>
      </c>
      <c r="M191" s="142" t="str">
        <f t="shared" ca="1" si="62"/>
        <v/>
      </c>
      <c r="N191" s="77" t="str">
        <f t="shared" ca="1" si="63"/>
        <v/>
      </c>
      <c r="O191" s="140" t="str">
        <f t="shared" ca="1" si="64"/>
        <v/>
      </c>
    </row>
    <row r="192" spans="1:15">
      <c r="A192" s="159">
        <v>24</v>
      </c>
      <c r="B192" s="159" t="str">
        <f>TEXT(투자전략!$G$1+23, "[$-ko-KR]yyyy.mm.dd")</f>
        <v>2021.05.24</v>
      </c>
      <c r="C192" s="138" t="str">
        <f t="shared" ca="1" si="52"/>
        <v/>
      </c>
      <c r="D192" s="142" t="str">
        <f t="shared" ca="1" si="53"/>
        <v/>
      </c>
      <c r="E192" s="77" t="str">
        <f t="shared" ca="1" si="54"/>
        <v/>
      </c>
      <c r="F192" s="140" t="str">
        <f t="shared" ca="1" si="55"/>
        <v/>
      </c>
      <c r="G192" s="142" t="str">
        <f t="shared" ca="1" si="56"/>
        <v/>
      </c>
      <c r="H192" s="77" t="str">
        <f t="shared" ca="1" si="57"/>
        <v/>
      </c>
      <c r="I192" s="140" t="str">
        <f t="shared" ca="1" si="58"/>
        <v/>
      </c>
      <c r="J192" s="142" t="str">
        <f t="shared" ca="1" si="59"/>
        <v/>
      </c>
      <c r="K192" s="77" t="str">
        <f t="shared" ca="1" si="60"/>
        <v/>
      </c>
      <c r="L192" s="140" t="str">
        <f t="shared" ca="1" si="61"/>
        <v/>
      </c>
      <c r="M192" s="142" t="str">
        <f t="shared" ca="1" si="62"/>
        <v/>
      </c>
      <c r="N192" s="77" t="str">
        <f t="shared" ca="1" si="63"/>
        <v/>
      </c>
      <c r="O192" s="140" t="str">
        <f t="shared" ca="1" si="64"/>
        <v/>
      </c>
    </row>
    <row r="193" spans="1:15">
      <c r="A193" s="159">
        <v>25</v>
      </c>
      <c r="B193" s="159" t="str">
        <f>TEXT(투자전략!$G$1+24, "[$-ko-KR]yyyy.mm.dd")</f>
        <v>2021.05.25</v>
      </c>
      <c r="C193" s="138" t="str">
        <f t="shared" ca="1" si="52"/>
        <v/>
      </c>
      <c r="D193" s="142" t="str">
        <f t="shared" ca="1" si="53"/>
        <v/>
      </c>
      <c r="E193" s="77" t="str">
        <f t="shared" ca="1" si="54"/>
        <v/>
      </c>
      <c r="F193" s="140" t="str">
        <f t="shared" ca="1" si="55"/>
        <v/>
      </c>
      <c r="G193" s="142" t="str">
        <f t="shared" ca="1" si="56"/>
        <v/>
      </c>
      <c r="H193" s="77" t="str">
        <f t="shared" ca="1" si="57"/>
        <v/>
      </c>
      <c r="I193" s="140" t="str">
        <f t="shared" ca="1" si="58"/>
        <v/>
      </c>
      <c r="J193" s="142" t="str">
        <f t="shared" ca="1" si="59"/>
        <v/>
      </c>
      <c r="K193" s="77" t="str">
        <f t="shared" ca="1" si="60"/>
        <v/>
      </c>
      <c r="L193" s="140" t="str">
        <f t="shared" ca="1" si="61"/>
        <v/>
      </c>
      <c r="M193" s="142" t="str">
        <f t="shared" ca="1" si="62"/>
        <v/>
      </c>
      <c r="N193" s="77" t="str">
        <f t="shared" ca="1" si="63"/>
        <v/>
      </c>
      <c r="O193" s="140" t="str">
        <f t="shared" ca="1" si="64"/>
        <v/>
      </c>
    </row>
    <row r="194" spans="1:15">
      <c r="A194" s="159">
        <v>26</v>
      </c>
      <c r="B194" s="159" t="str">
        <f>TEXT(투자전략!$G$1+25, "[$-ko-KR]yyyy.mm.dd")</f>
        <v>2021.05.26</v>
      </c>
      <c r="C194" s="138" t="str">
        <f t="shared" ca="1" si="52"/>
        <v/>
      </c>
      <c r="D194" s="142" t="str">
        <f t="shared" ca="1" si="53"/>
        <v/>
      </c>
      <c r="E194" s="77" t="str">
        <f t="shared" ca="1" si="54"/>
        <v/>
      </c>
      <c r="F194" s="140" t="str">
        <f t="shared" ca="1" si="55"/>
        <v/>
      </c>
      <c r="G194" s="142" t="str">
        <f t="shared" ca="1" si="56"/>
        <v/>
      </c>
      <c r="H194" s="77" t="str">
        <f t="shared" ca="1" si="57"/>
        <v/>
      </c>
      <c r="I194" s="140" t="str">
        <f t="shared" ca="1" si="58"/>
        <v/>
      </c>
      <c r="J194" s="142" t="str">
        <f t="shared" ca="1" si="59"/>
        <v/>
      </c>
      <c r="K194" s="77" t="str">
        <f t="shared" ca="1" si="60"/>
        <v/>
      </c>
      <c r="L194" s="140" t="str">
        <f t="shared" ca="1" si="61"/>
        <v/>
      </c>
      <c r="M194" s="142" t="str">
        <f t="shared" ca="1" si="62"/>
        <v/>
      </c>
      <c r="N194" s="77" t="str">
        <f t="shared" ca="1" si="63"/>
        <v/>
      </c>
      <c r="O194" s="140" t="str">
        <f t="shared" ca="1" si="64"/>
        <v/>
      </c>
    </row>
    <row r="195" spans="1:15">
      <c r="A195" s="159">
        <v>27</v>
      </c>
      <c r="B195" s="159" t="str">
        <f>TEXT(투자전략!$G$1+26, "[$-ko-KR]yyyy.mm.dd")</f>
        <v>2021.05.27</v>
      </c>
      <c r="C195" s="138" t="str">
        <f t="shared" ca="1" si="52"/>
        <v/>
      </c>
      <c r="D195" s="142" t="str">
        <f t="shared" ca="1" si="53"/>
        <v/>
      </c>
      <c r="E195" s="77" t="str">
        <f t="shared" ca="1" si="54"/>
        <v/>
      </c>
      <c r="F195" s="140" t="str">
        <f t="shared" ca="1" si="55"/>
        <v/>
      </c>
      <c r="G195" s="142" t="str">
        <f t="shared" ca="1" si="56"/>
        <v/>
      </c>
      <c r="H195" s="77" t="str">
        <f t="shared" ca="1" si="57"/>
        <v/>
      </c>
      <c r="I195" s="140" t="str">
        <f t="shared" ca="1" si="58"/>
        <v/>
      </c>
      <c r="J195" s="142" t="str">
        <f t="shared" ca="1" si="59"/>
        <v/>
      </c>
      <c r="K195" s="77" t="str">
        <f t="shared" ca="1" si="60"/>
        <v/>
      </c>
      <c r="L195" s="140" t="str">
        <f t="shared" ca="1" si="61"/>
        <v/>
      </c>
      <c r="M195" s="142" t="str">
        <f t="shared" ca="1" si="62"/>
        <v/>
      </c>
      <c r="N195" s="77" t="str">
        <f t="shared" ca="1" si="63"/>
        <v/>
      </c>
      <c r="O195" s="140" t="str">
        <f t="shared" ca="1" si="64"/>
        <v/>
      </c>
    </row>
    <row r="196" spans="1:15" ht="17.25" thickBot="1">
      <c r="A196" s="161">
        <v>28</v>
      </c>
      <c r="B196" s="161" t="str">
        <f>TEXT(투자전략!$G$1+27, "[$-ko-KR]yyyy.mm.dd")</f>
        <v>2021.05.28</v>
      </c>
      <c r="C196" s="139" t="str">
        <f t="shared" ca="1" si="52"/>
        <v/>
      </c>
      <c r="D196" s="143" t="str">
        <f t="shared" ca="1" si="53"/>
        <v/>
      </c>
      <c r="E196" s="79" t="str">
        <f t="shared" ca="1" si="54"/>
        <v/>
      </c>
      <c r="F196" s="141" t="str">
        <f t="shared" ca="1" si="55"/>
        <v/>
      </c>
      <c r="G196" s="143" t="str">
        <f t="shared" ca="1" si="56"/>
        <v/>
      </c>
      <c r="H196" s="79" t="str">
        <f t="shared" ca="1" si="57"/>
        <v/>
      </c>
      <c r="I196" s="141" t="str">
        <f t="shared" ca="1" si="58"/>
        <v/>
      </c>
      <c r="J196" s="143" t="str">
        <f t="shared" ca="1" si="59"/>
        <v/>
      </c>
      <c r="K196" s="79" t="str">
        <f t="shared" ca="1" si="60"/>
        <v/>
      </c>
      <c r="L196" s="141" t="str">
        <f t="shared" ca="1" si="61"/>
        <v/>
      </c>
      <c r="M196" s="143" t="str">
        <f t="shared" ca="1" si="62"/>
        <v/>
      </c>
      <c r="N196" s="79" t="str">
        <f t="shared" ca="1" si="63"/>
        <v/>
      </c>
      <c r="O196" s="141" t="str">
        <f t="shared" ca="1" si="64"/>
        <v/>
      </c>
    </row>
    <row r="197" spans="1:15">
      <c r="A197" s="124">
        <v>29</v>
      </c>
      <c r="B197" s="160" t="str">
        <f>TEXT(투자전략!$G$1+28, "[$-ko-KR]yyyy.mm.dd")</f>
        <v>2021.05.29</v>
      </c>
      <c r="C197" s="138" t="str">
        <f t="shared" ca="1" si="52"/>
        <v/>
      </c>
      <c r="D197" s="142" t="str">
        <f t="shared" ca="1" si="53"/>
        <v/>
      </c>
      <c r="E197" s="77" t="str">
        <f t="shared" ca="1" si="54"/>
        <v/>
      </c>
      <c r="F197" s="140" t="str">
        <f t="shared" ca="1" si="55"/>
        <v/>
      </c>
      <c r="G197" s="142" t="str">
        <f t="shared" ca="1" si="56"/>
        <v/>
      </c>
      <c r="H197" s="77" t="str">
        <f t="shared" ca="1" si="57"/>
        <v/>
      </c>
      <c r="I197" s="140" t="str">
        <f t="shared" ca="1" si="58"/>
        <v/>
      </c>
      <c r="J197" s="142" t="str">
        <f t="shared" ca="1" si="59"/>
        <v/>
      </c>
      <c r="K197" s="77" t="str">
        <f t="shared" ca="1" si="60"/>
        <v/>
      </c>
      <c r="L197" s="140" t="str">
        <f t="shared" ca="1" si="61"/>
        <v/>
      </c>
      <c r="M197" s="142" t="str">
        <f t="shared" ca="1" si="62"/>
        <v/>
      </c>
      <c r="N197" s="77" t="str">
        <f t="shared" ca="1" si="63"/>
        <v/>
      </c>
      <c r="O197" s="140" t="str">
        <f t="shared" ca="1" si="64"/>
        <v/>
      </c>
    </row>
    <row r="198" spans="1:15">
      <c r="A198" s="124">
        <v>30</v>
      </c>
      <c r="B198" s="159" t="str">
        <f>TEXT(투자전략!$G$1+29, "[$-ko-KR]yyyy.mm.dd")</f>
        <v>2021.05.30</v>
      </c>
      <c r="C198" s="138" t="str">
        <f t="shared" ca="1" si="52"/>
        <v/>
      </c>
      <c r="D198" s="142" t="str">
        <f t="shared" ca="1" si="53"/>
        <v/>
      </c>
      <c r="E198" s="77" t="str">
        <f t="shared" ca="1" si="54"/>
        <v/>
      </c>
      <c r="F198" s="140" t="str">
        <f t="shared" ca="1" si="55"/>
        <v/>
      </c>
      <c r="G198" s="142" t="str">
        <f t="shared" ca="1" si="56"/>
        <v/>
      </c>
      <c r="H198" s="77" t="str">
        <f t="shared" ca="1" si="57"/>
        <v/>
      </c>
      <c r="I198" s="140" t="str">
        <f t="shared" ca="1" si="58"/>
        <v/>
      </c>
      <c r="J198" s="142" t="str">
        <f t="shared" ca="1" si="59"/>
        <v/>
      </c>
      <c r="K198" s="77" t="str">
        <f t="shared" ca="1" si="60"/>
        <v/>
      </c>
      <c r="L198" s="140" t="str">
        <f t="shared" ca="1" si="61"/>
        <v/>
      </c>
      <c r="M198" s="142" t="str">
        <f t="shared" ca="1" si="62"/>
        <v/>
      </c>
      <c r="N198" s="77" t="str">
        <f t="shared" ca="1" si="63"/>
        <v/>
      </c>
      <c r="O198" s="140" t="str">
        <f t="shared" ca="1" si="64"/>
        <v/>
      </c>
    </row>
    <row r="199" spans="1:15" ht="17.25" thickBot="1">
      <c r="A199" s="124">
        <v>31</v>
      </c>
      <c r="B199" s="159" t="str">
        <f>TEXT(투자전략!$G$1+30, "[$-ko-KR]yyyy.mm.dd")</f>
        <v>2021.05.31</v>
      </c>
      <c r="C199" s="139" t="str">
        <f t="shared" ca="1" si="52"/>
        <v/>
      </c>
      <c r="D199" s="143" t="str">
        <f t="shared" ca="1" si="53"/>
        <v/>
      </c>
      <c r="E199" s="79" t="str">
        <f t="shared" ca="1" si="54"/>
        <v/>
      </c>
      <c r="F199" s="141" t="str">
        <f t="shared" ca="1" si="55"/>
        <v/>
      </c>
      <c r="G199" s="143" t="str">
        <f t="shared" ca="1" si="56"/>
        <v/>
      </c>
      <c r="H199" s="79" t="str">
        <f t="shared" ca="1" si="57"/>
        <v/>
      </c>
      <c r="I199" s="141" t="str">
        <f t="shared" ca="1" si="58"/>
        <v/>
      </c>
      <c r="J199" s="143" t="str">
        <f t="shared" ca="1" si="59"/>
        <v/>
      </c>
      <c r="K199" s="79" t="str">
        <f t="shared" ca="1" si="60"/>
        <v/>
      </c>
      <c r="L199" s="141" t="str">
        <f t="shared" ca="1" si="61"/>
        <v/>
      </c>
      <c r="M199" s="143" t="str">
        <f t="shared" ca="1" si="62"/>
        <v/>
      </c>
      <c r="N199" s="79" t="str">
        <f t="shared" ca="1" si="63"/>
        <v/>
      </c>
      <c r="O199" s="141" t="str">
        <f t="shared" ca="1" si="64"/>
        <v/>
      </c>
    </row>
    <row r="200" spans="1:15" ht="17.25" thickBot="1">
      <c r="A200" s="213" t="s">
        <v>319</v>
      </c>
      <c r="B200" s="215"/>
      <c r="C200" s="135" t="s">
        <v>314</v>
      </c>
      <c r="D200" s="153" t="s">
        <v>315</v>
      </c>
      <c r="E200" s="154" t="s">
        <v>316</v>
      </c>
      <c r="F200" s="155" t="s">
        <v>317</v>
      </c>
      <c r="G200" s="153" t="s">
        <v>315</v>
      </c>
      <c r="H200" s="154" t="s">
        <v>316</v>
      </c>
      <c r="I200" s="155" t="s">
        <v>317</v>
      </c>
      <c r="J200" s="153" t="s">
        <v>315</v>
      </c>
      <c r="K200" s="154" t="s">
        <v>316</v>
      </c>
      <c r="L200" s="155" t="s">
        <v>317</v>
      </c>
      <c r="M200" s="153" t="s">
        <v>315</v>
      </c>
      <c r="N200" s="154" t="s">
        <v>316</v>
      </c>
      <c r="O200" s="155" t="s">
        <v>317</v>
      </c>
    </row>
    <row r="201" spans="1:15" ht="17.25" thickBot="1">
      <c r="A201" s="206"/>
      <c r="B201" s="208"/>
      <c r="C201" s="139">
        <f ca="1">SUM(C169:C199)</f>
        <v>24450000</v>
      </c>
      <c r="D201" s="143">
        <f ca="1">SUM(D169:D199)</f>
        <v>24390951.695759259</v>
      </c>
      <c r="E201" s="79">
        <f ca="1">IFERROR(F201 / (SUM($C169:$C199) / COUNT($C169:$C199)), 0)</f>
        <v>-1.2075317840642393E-2</v>
      </c>
      <c r="F201" s="141">
        <f ca="1">SUM(F169:F199)</f>
        <v>-59048.304240741301</v>
      </c>
      <c r="G201" s="143">
        <f ca="1">SUM(G169:G199)</f>
        <v>24501736.094695799</v>
      </c>
      <c r="H201" s="79">
        <f ca="1">IFERROR(I201 / (SUM($C169:$C199) / COUNT($C169:$C199)), 0)</f>
        <v>1.0579978465399757E-2</v>
      </c>
      <c r="I201" s="141">
        <f ca="1">SUM(I169:I199)</f>
        <v>51736.094695804815</v>
      </c>
      <c r="J201" s="143">
        <f ca="1">SUM(J169:J199)</f>
        <v>24559572.08279559</v>
      </c>
      <c r="K201" s="79">
        <f ca="1">IFERROR(L201 / (SUM($C169:$C199) / COUNT($C169:$C199)), 0)</f>
        <v>2.2407378894803525E-2</v>
      </c>
      <c r="L201" s="141">
        <f ca="1">SUM(L169:L199)</f>
        <v>109572.08279558925</v>
      </c>
      <c r="M201" s="143">
        <f ca="1">SUM(M169:M199)</f>
        <v>24458949.121695325</v>
      </c>
      <c r="N201" s="79">
        <f ca="1">IFERROR(O201 / (SUM($C169:$C199) / COUNT($C169:$C199)), 0)</f>
        <v>1.8300862362633668E-3</v>
      </c>
      <c r="O201" s="141">
        <f ca="1">SUM(O169:O199)</f>
        <v>8949.1216953278636</v>
      </c>
    </row>
    <row r="203" spans="1:15" ht="17.25" thickBot="1"/>
    <row r="204" spans="1:15" ht="17.25" thickBot="1">
      <c r="A204" s="185" t="str">
        <f>TEXT(투자전략!$G$1, "[$-ko-KR]yyyy년 mm월 ") &amp; "[동전코인] 전일대비 상승률 Bottom20 월말결산"</f>
        <v>2021년 05월 [동전코인] 전일대비 상승률 Bottom20 월말결산</v>
      </c>
      <c r="B204" s="186"/>
      <c r="C204" s="186"/>
      <c r="D204" s="186"/>
      <c r="E204" s="186"/>
      <c r="F204" s="186"/>
      <c r="G204" s="186"/>
      <c r="H204" s="186"/>
      <c r="I204" s="186"/>
      <c r="J204" s="186"/>
      <c r="K204" s="186"/>
      <c r="L204" s="186"/>
      <c r="M204" s="186"/>
      <c r="N204" s="186"/>
      <c r="O204" s="187"/>
    </row>
    <row r="205" spans="1:15" ht="17.25" thickBot="1">
      <c r="A205" s="229" t="s">
        <v>320</v>
      </c>
      <c r="B205" s="206" t="s">
        <v>318</v>
      </c>
      <c r="C205" s="208"/>
      <c r="D205" s="206" t="s">
        <v>310</v>
      </c>
      <c r="E205" s="207"/>
      <c r="F205" s="208"/>
      <c r="G205" s="206" t="s">
        <v>311</v>
      </c>
      <c r="H205" s="207"/>
      <c r="I205" s="208"/>
      <c r="J205" s="206" t="s">
        <v>312</v>
      </c>
      <c r="K205" s="207"/>
      <c r="L205" s="208"/>
      <c r="M205" s="206" t="s">
        <v>313</v>
      </c>
      <c r="N205" s="207"/>
      <c r="O205" s="208"/>
    </row>
    <row r="206" spans="1:15" ht="17.25" thickBot="1">
      <c r="A206" s="222"/>
      <c r="B206" s="160" t="s">
        <v>308</v>
      </c>
      <c r="C206" s="160" t="s">
        <v>42</v>
      </c>
      <c r="D206" s="124" t="s">
        <v>309</v>
      </c>
      <c r="E206" s="136" t="s">
        <v>40</v>
      </c>
      <c r="F206" s="162" t="s">
        <v>41</v>
      </c>
      <c r="G206" s="124" t="s">
        <v>309</v>
      </c>
      <c r="H206" s="136" t="s">
        <v>40</v>
      </c>
      <c r="I206" s="162" t="s">
        <v>41</v>
      </c>
      <c r="J206" s="124" t="s">
        <v>309</v>
      </c>
      <c r="K206" s="136" t="s">
        <v>40</v>
      </c>
      <c r="L206" s="162" t="s">
        <v>41</v>
      </c>
      <c r="M206" s="124" t="s">
        <v>309</v>
      </c>
      <c r="N206" s="136" t="s">
        <v>40</v>
      </c>
      <c r="O206" s="162" t="s">
        <v>41</v>
      </c>
    </row>
    <row r="207" spans="1:15">
      <c r="A207" s="160">
        <v>1</v>
      </c>
      <c r="B207" s="160" t="str">
        <f>TEXT(투자전략!$G$1+0, "[$-ko-KR]yyyy.mm.dd")</f>
        <v>2021.05.01</v>
      </c>
      <c r="C207" s="137">
        <f ca="1">IFERROR(COUNTA(INDIRECT($B207&amp;"!A152:A171")) * INDIRECT($B207&amp;"!B172"), "")</f>
        <v>6000000</v>
      </c>
      <c r="D207" s="145">
        <f ca="1">IFERROR($C207 * (1 + E207), "")</f>
        <v>6124643.8078743648</v>
      </c>
      <c r="E207" s="76">
        <f ca="1">IFERROR(INDIRECT($B207&amp;"!E172"), "")</f>
        <v>2.0773967979060941E-2</v>
      </c>
      <c r="F207" s="144">
        <f ca="1">IFERROR(INDIRECT($B207&amp;"!F172"), "")</f>
        <v>124643.80787436568</v>
      </c>
      <c r="G207" s="145">
        <f ca="1">IFERROR($C207 * (1 + H207), "")</f>
        <v>6105413.1165179126</v>
      </c>
      <c r="H207" s="76">
        <f ca="1">IFERROR(INDIRECT($B207&amp;"!H172"), "")</f>
        <v>1.7568852752985451E-2</v>
      </c>
      <c r="I207" s="144">
        <f ca="1">IFERROR(INDIRECT($B207&amp;"!I172"), "")</f>
        <v>105413.11651791273</v>
      </c>
      <c r="J207" s="145">
        <f ca="1">IFERROR($C207 * (1 + K207), "")</f>
        <v>6163717.9750172189</v>
      </c>
      <c r="K207" s="76">
        <f ca="1">IFERROR(INDIRECT($B207&amp;"!K172"), "")</f>
        <v>2.7286329169536477E-2</v>
      </c>
      <c r="L207" s="144">
        <f ca="1">IFERROR(INDIRECT($B207&amp;"!L172"), "")</f>
        <v>163717.97501721897</v>
      </c>
      <c r="M207" s="145">
        <f ca="1">IFERROR($C207 * (1 + N207), "")</f>
        <v>6157901.8330953205</v>
      </c>
      <c r="N207" s="76">
        <f ca="1">IFERROR(INDIRECT($B207&amp;"!N172"), "")</f>
        <v>2.6316972182553383E-2</v>
      </c>
      <c r="O207" s="144">
        <f ca="1">IFERROR(INDIRECT($B207&amp;"!O172"), "")</f>
        <v>157901.8330953203</v>
      </c>
    </row>
    <row r="208" spans="1:15">
      <c r="A208" s="159">
        <v>2</v>
      </c>
      <c r="B208" s="159" t="str">
        <f>TEXT(투자전략!$G$1+1, "[$-ko-KR]yyyy.mm.dd")</f>
        <v>2021.05.02</v>
      </c>
      <c r="C208" s="138">
        <f t="shared" ref="C208:C237" ca="1" si="65">IFERROR(COUNTA(INDIRECT($B208&amp;"!A152:A171")) * INDIRECT($B208&amp;"!B172"), "")</f>
        <v>6000000</v>
      </c>
      <c r="D208" s="142">
        <f t="shared" ref="D208:D237" ca="1" si="66">IFERROR($C208 * (1 + E208), "")</f>
        <v>5961370.5070159072</v>
      </c>
      <c r="E208" s="77">
        <f t="shared" ref="E208:E237" ca="1" si="67">IFERROR(INDIRECT($B208&amp;"!E172"), "")</f>
        <v>-6.4382488306821582E-3</v>
      </c>
      <c r="F208" s="140">
        <f t="shared" ref="F208:F237" ca="1" si="68">IFERROR(INDIRECT($B208&amp;"!F172"), "")</f>
        <v>-38629.492984092954</v>
      </c>
      <c r="G208" s="142">
        <f t="shared" ref="G208:G237" ca="1" si="69">IFERROR($C208 * (1 + H208), "")</f>
        <v>5966190.2954432806</v>
      </c>
      <c r="H208" s="77">
        <f t="shared" ref="H208:H237" ca="1" si="70">IFERROR(INDIRECT($B208&amp;"!H172"), "")</f>
        <v>-5.6349507594533142E-3</v>
      </c>
      <c r="I208" s="140">
        <f t="shared" ref="I208:I237" ca="1" si="71">IFERROR(INDIRECT($B208&amp;"!I172"), "")</f>
        <v>-33809.704556719887</v>
      </c>
      <c r="J208" s="142">
        <f t="shared" ref="J208:J237" ca="1" si="72">IFERROR($C208 * (1 + K208), "")</f>
        <v>6004574.4043603446</v>
      </c>
      <c r="K208" s="77">
        <f t="shared" ref="K208:K237" ca="1" si="73">IFERROR(INDIRECT($B208&amp;"!K172"), "")</f>
        <v>7.6240072672426322E-4</v>
      </c>
      <c r="L208" s="140">
        <f t="shared" ref="L208:L237" ca="1" si="74">IFERROR(INDIRECT($B208&amp;"!L172"), "")</f>
        <v>4574.404360345583</v>
      </c>
      <c r="M208" s="142">
        <f t="shared" ref="M208:M237" ca="1" si="75">IFERROR($C208 * (1 + N208), "")</f>
        <v>6066987.4722006135</v>
      </c>
      <c r="N208" s="77">
        <f t="shared" ref="N208:N237" ca="1" si="76">IFERROR(INDIRECT($B208&amp;"!N172"), "")</f>
        <v>1.1164578700102153E-2</v>
      </c>
      <c r="O208" s="140">
        <f t="shared" ref="O208:O237" ca="1" si="77">IFERROR(INDIRECT($B208&amp;"!O172"), "")</f>
        <v>66987.472200612887</v>
      </c>
    </row>
    <row r="209" spans="1:15">
      <c r="A209" s="159">
        <v>3</v>
      </c>
      <c r="B209" s="159" t="str">
        <f>TEXT(투자전략!$G$1+2, "[$-ko-KR]yyyy.mm.dd")</f>
        <v>2021.05.03</v>
      </c>
      <c r="C209" s="138">
        <f t="shared" ca="1" si="65"/>
        <v>6000000</v>
      </c>
      <c r="D209" s="142">
        <f t="shared" ca="1" si="66"/>
        <v>6128356.0662969947</v>
      </c>
      <c r="E209" s="77">
        <f t="shared" ca="1" si="67"/>
        <v>2.1392677716165733E-2</v>
      </c>
      <c r="F209" s="140">
        <f t="shared" ca="1" si="68"/>
        <v>128356.06629699441</v>
      </c>
      <c r="G209" s="142">
        <f t="shared" ca="1" si="69"/>
        <v>6240631.5506008863</v>
      </c>
      <c r="H209" s="77">
        <f t="shared" ca="1" si="70"/>
        <v>4.010525843348102E-2</v>
      </c>
      <c r="I209" s="140">
        <f t="shared" ca="1" si="71"/>
        <v>240631.55060088605</v>
      </c>
      <c r="J209" s="142">
        <f t="shared" ca="1" si="72"/>
        <v>6248225.5412954725</v>
      </c>
      <c r="K209" s="77">
        <f t="shared" ca="1" si="73"/>
        <v>4.1370923549245493E-2</v>
      </c>
      <c r="L209" s="140">
        <f t="shared" ca="1" si="74"/>
        <v>248225.541295473</v>
      </c>
      <c r="M209" s="142">
        <f t="shared" ca="1" si="75"/>
        <v>6222210.6952812904</v>
      </c>
      <c r="N209" s="77">
        <f t="shared" ca="1" si="76"/>
        <v>3.7035115880215207E-2</v>
      </c>
      <c r="O209" s="140">
        <f t="shared" ca="1" si="77"/>
        <v>222210.69528129121</v>
      </c>
    </row>
    <row r="210" spans="1:15">
      <c r="A210" s="159">
        <v>4</v>
      </c>
      <c r="B210" s="159" t="str">
        <f>TEXT(투자전략!$G$1+3, "[$-ko-KR]yyyy.mm.dd")</f>
        <v>2021.05.04</v>
      </c>
      <c r="C210" s="138">
        <f t="shared" ca="1" si="65"/>
        <v>6000000</v>
      </c>
      <c r="D210" s="142">
        <f t="shared" ca="1" si="66"/>
        <v>5752840.7580823554</v>
      </c>
      <c r="E210" s="77">
        <f t="shared" ca="1" si="67"/>
        <v>-4.1193206986274031E-2</v>
      </c>
      <c r="F210" s="140">
        <f t="shared" ca="1" si="68"/>
        <v>-247159.24191764425</v>
      </c>
      <c r="G210" s="142">
        <f t="shared" ca="1" si="69"/>
        <v>5793742.7243329585</v>
      </c>
      <c r="H210" s="77">
        <f t="shared" ca="1" si="70"/>
        <v>-3.4376212611173518E-2</v>
      </c>
      <c r="I210" s="140">
        <f t="shared" ca="1" si="71"/>
        <v>-206257.27566704105</v>
      </c>
      <c r="J210" s="142">
        <f t="shared" ca="1" si="72"/>
        <v>5765221.5588728925</v>
      </c>
      <c r="K210" s="77">
        <f t="shared" ca="1" si="73"/>
        <v>-3.9129740187851314E-2</v>
      </c>
      <c r="L210" s="140">
        <f t="shared" ca="1" si="74"/>
        <v>-234778.441127108</v>
      </c>
      <c r="M210" s="142">
        <f t="shared" ca="1" si="75"/>
        <v>5573575.2806062503</v>
      </c>
      <c r="N210" s="77">
        <f t="shared" ca="1" si="76"/>
        <v>-7.1070786565624905E-2</v>
      </c>
      <c r="O210" s="140">
        <f t="shared" ca="1" si="77"/>
        <v>-426424.71939374949</v>
      </c>
    </row>
    <row r="211" spans="1:15">
      <c r="A211" s="159">
        <v>5</v>
      </c>
      <c r="B211" s="159" t="str">
        <f>TEXT(투자전략!$G$1+4, "[$-ko-KR]yyyy.mm.dd")</f>
        <v>2021.05.05</v>
      </c>
      <c r="C211" s="138">
        <f t="shared" ca="1" si="65"/>
        <v>3000000</v>
      </c>
      <c r="D211" s="142">
        <f t="shared" ca="1" si="66"/>
        <v>2859213.9310296546</v>
      </c>
      <c r="E211" s="77">
        <f t="shared" ca="1" si="67"/>
        <v>-4.6928689656781777E-2</v>
      </c>
      <c r="F211" s="140">
        <f t="shared" ca="1" si="68"/>
        <v>-140786.06897034537</v>
      </c>
      <c r="G211" s="142">
        <f t="shared" ca="1" si="69"/>
        <v>2903434.1887083645</v>
      </c>
      <c r="H211" s="77">
        <f t="shared" ca="1" si="70"/>
        <v>-3.2188603763878595E-2</v>
      </c>
      <c r="I211" s="140">
        <f t="shared" ca="1" si="71"/>
        <v>-96565.811291635808</v>
      </c>
      <c r="J211" s="142">
        <f t="shared" ca="1" si="72"/>
        <v>2859883.4321260368</v>
      </c>
      <c r="K211" s="77">
        <f t="shared" ca="1" si="73"/>
        <v>-4.6705522624654335E-2</v>
      </c>
      <c r="L211" s="140">
        <f t="shared" ca="1" si="74"/>
        <v>-140116.56787396301</v>
      </c>
      <c r="M211" s="142">
        <f t="shared" ca="1" si="75"/>
        <v>3000000</v>
      </c>
      <c r="N211" s="77">
        <f t="shared" ca="1" si="76"/>
        <v>0</v>
      </c>
      <c r="O211" s="140">
        <f t="shared" ca="1" si="77"/>
        <v>0</v>
      </c>
    </row>
    <row r="212" spans="1:15">
      <c r="A212" s="159">
        <v>6</v>
      </c>
      <c r="B212" s="159" t="str">
        <f>TEXT(투자전략!$G$1+5, "[$-ko-KR]yyyy.mm.dd")</f>
        <v>2021.05.06</v>
      </c>
      <c r="C212" s="138" t="str">
        <f t="shared" ca="1" si="65"/>
        <v/>
      </c>
      <c r="D212" s="142" t="str">
        <f t="shared" ca="1" si="66"/>
        <v/>
      </c>
      <c r="E212" s="77" t="str">
        <f t="shared" ca="1" si="67"/>
        <v/>
      </c>
      <c r="F212" s="140" t="str">
        <f t="shared" ca="1" si="68"/>
        <v/>
      </c>
      <c r="G212" s="142" t="str">
        <f t="shared" ca="1" si="69"/>
        <v/>
      </c>
      <c r="H212" s="77" t="str">
        <f t="shared" ca="1" si="70"/>
        <v/>
      </c>
      <c r="I212" s="140" t="str">
        <f t="shared" ca="1" si="71"/>
        <v/>
      </c>
      <c r="J212" s="142" t="str">
        <f t="shared" ca="1" si="72"/>
        <v/>
      </c>
      <c r="K212" s="77" t="str">
        <f t="shared" ca="1" si="73"/>
        <v/>
      </c>
      <c r="L212" s="140" t="str">
        <f t="shared" ca="1" si="74"/>
        <v/>
      </c>
      <c r="M212" s="142" t="str">
        <f t="shared" ca="1" si="75"/>
        <v/>
      </c>
      <c r="N212" s="77" t="str">
        <f t="shared" ca="1" si="76"/>
        <v/>
      </c>
      <c r="O212" s="140" t="str">
        <f t="shared" ca="1" si="77"/>
        <v/>
      </c>
    </row>
    <row r="213" spans="1:15" ht="17.25" thickBot="1">
      <c r="A213" s="161">
        <v>7</v>
      </c>
      <c r="B213" s="161" t="str">
        <f>TEXT(투자전략!$G$1+6, "[$-ko-KR]yyyy.mm.dd")</f>
        <v>2021.05.07</v>
      </c>
      <c r="C213" s="138" t="str">
        <f t="shared" ca="1" si="65"/>
        <v/>
      </c>
      <c r="D213" s="142" t="str">
        <f t="shared" ca="1" si="66"/>
        <v/>
      </c>
      <c r="E213" s="77" t="str">
        <f t="shared" ca="1" si="67"/>
        <v/>
      </c>
      <c r="F213" s="140" t="str">
        <f t="shared" ca="1" si="68"/>
        <v/>
      </c>
      <c r="G213" s="142" t="str">
        <f t="shared" ca="1" si="69"/>
        <v/>
      </c>
      <c r="H213" s="77" t="str">
        <f t="shared" ca="1" si="70"/>
        <v/>
      </c>
      <c r="I213" s="140" t="str">
        <f t="shared" ca="1" si="71"/>
        <v/>
      </c>
      <c r="J213" s="142" t="str">
        <f t="shared" ca="1" si="72"/>
        <v/>
      </c>
      <c r="K213" s="77" t="str">
        <f t="shared" ca="1" si="73"/>
        <v/>
      </c>
      <c r="L213" s="140" t="str">
        <f t="shared" ca="1" si="74"/>
        <v/>
      </c>
      <c r="M213" s="142" t="str">
        <f t="shared" ca="1" si="75"/>
        <v/>
      </c>
      <c r="N213" s="77" t="str">
        <f t="shared" ca="1" si="76"/>
        <v/>
      </c>
      <c r="O213" s="140" t="str">
        <f t="shared" ca="1" si="77"/>
        <v/>
      </c>
    </row>
    <row r="214" spans="1:15">
      <c r="A214" s="160">
        <v>8</v>
      </c>
      <c r="B214" s="160" t="str">
        <f>TEXT(투자전략!$G$1+7, "[$-ko-KR]yyyy.mm.dd")</f>
        <v>2021.05.08</v>
      </c>
      <c r="C214" s="137" t="str">
        <f t="shared" ca="1" si="65"/>
        <v/>
      </c>
      <c r="D214" s="145" t="str">
        <f t="shared" ca="1" si="66"/>
        <v/>
      </c>
      <c r="E214" s="76" t="str">
        <f t="shared" ca="1" si="67"/>
        <v/>
      </c>
      <c r="F214" s="144" t="str">
        <f t="shared" ca="1" si="68"/>
        <v/>
      </c>
      <c r="G214" s="145" t="str">
        <f t="shared" ca="1" si="69"/>
        <v/>
      </c>
      <c r="H214" s="76" t="str">
        <f t="shared" ca="1" si="70"/>
        <v/>
      </c>
      <c r="I214" s="144" t="str">
        <f t="shared" ca="1" si="71"/>
        <v/>
      </c>
      <c r="J214" s="145" t="str">
        <f t="shared" ca="1" si="72"/>
        <v/>
      </c>
      <c r="K214" s="76" t="str">
        <f t="shared" ca="1" si="73"/>
        <v/>
      </c>
      <c r="L214" s="144" t="str">
        <f t="shared" ca="1" si="74"/>
        <v/>
      </c>
      <c r="M214" s="145" t="str">
        <f t="shared" ca="1" si="75"/>
        <v/>
      </c>
      <c r="N214" s="76" t="str">
        <f t="shared" ca="1" si="76"/>
        <v/>
      </c>
      <c r="O214" s="144" t="str">
        <f t="shared" ca="1" si="77"/>
        <v/>
      </c>
    </row>
    <row r="215" spans="1:15">
      <c r="A215" s="159">
        <v>9</v>
      </c>
      <c r="B215" s="159" t="str">
        <f>TEXT(투자전략!$G$1+8, "[$-ko-KR]yyyy.mm.dd")</f>
        <v>2021.05.09</v>
      </c>
      <c r="C215" s="138" t="str">
        <f t="shared" ca="1" si="65"/>
        <v/>
      </c>
      <c r="D215" s="142" t="str">
        <f t="shared" ca="1" si="66"/>
        <v/>
      </c>
      <c r="E215" s="77" t="str">
        <f t="shared" ca="1" si="67"/>
        <v/>
      </c>
      <c r="F215" s="140" t="str">
        <f t="shared" ca="1" si="68"/>
        <v/>
      </c>
      <c r="G215" s="142" t="str">
        <f t="shared" ca="1" si="69"/>
        <v/>
      </c>
      <c r="H215" s="77" t="str">
        <f t="shared" ca="1" si="70"/>
        <v/>
      </c>
      <c r="I215" s="140" t="str">
        <f t="shared" ca="1" si="71"/>
        <v/>
      </c>
      <c r="J215" s="142" t="str">
        <f t="shared" ca="1" si="72"/>
        <v/>
      </c>
      <c r="K215" s="77" t="str">
        <f t="shared" ca="1" si="73"/>
        <v/>
      </c>
      <c r="L215" s="140" t="str">
        <f t="shared" ca="1" si="74"/>
        <v/>
      </c>
      <c r="M215" s="142" t="str">
        <f t="shared" ca="1" si="75"/>
        <v/>
      </c>
      <c r="N215" s="77" t="str">
        <f t="shared" ca="1" si="76"/>
        <v/>
      </c>
      <c r="O215" s="140" t="str">
        <f t="shared" ca="1" si="77"/>
        <v/>
      </c>
    </row>
    <row r="216" spans="1:15">
      <c r="A216" s="159">
        <v>10</v>
      </c>
      <c r="B216" s="159" t="str">
        <f>TEXT(투자전략!$G$1+9, "[$-ko-KR]yyyy.mm.dd")</f>
        <v>2021.05.10</v>
      </c>
      <c r="C216" s="138" t="str">
        <f t="shared" ca="1" si="65"/>
        <v/>
      </c>
      <c r="D216" s="142" t="str">
        <f t="shared" ca="1" si="66"/>
        <v/>
      </c>
      <c r="E216" s="77" t="str">
        <f t="shared" ca="1" si="67"/>
        <v/>
      </c>
      <c r="F216" s="140" t="str">
        <f t="shared" ca="1" si="68"/>
        <v/>
      </c>
      <c r="G216" s="142" t="str">
        <f t="shared" ca="1" si="69"/>
        <v/>
      </c>
      <c r="H216" s="77" t="str">
        <f t="shared" ca="1" si="70"/>
        <v/>
      </c>
      <c r="I216" s="140" t="str">
        <f t="shared" ca="1" si="71"/>
        <v/>
      </c>
      <c r="J216" s="142" t="str">
        <f t="shared" ca="1" si="72"/>
        <v/>
      </c>
      <c r="K216" s="77" t="str">
        <f t="shared" ca="1" si="73"/>
        <v/>
      </c>
      <c r="L216" s="140" t="str">
        <f t="shared" ca="1" si="74"/>
        <v/>
      </c>
      <c r="M216" s="142" t="str">
        <f t="shared" ca="1" si="75"/>
        <v/>
      </c>
      <c r="N216" s="77" t="str">
        <f t="shared" ca="1" si="76"/>
        <v/>
      </c>
      <c r="O216" s="140" t="str">
        <f t="shared" ca="1" si="77"/>
        <v/>
      </c>
    </row>
    <row r="217" spans="1:15">
      <c r="A217" s="159">
        <v>11</v>
      </c>
      <c r="B217" s="159" t="str">
        <f>TEXT(투자전략!$G$1+10, "[$-ko-KR]yyyy.mm.dd")</f>
        <v>2021.05.11</v>
      </c>
      <c r="C217" s="138" t="str">
        <f t="shared" ca="1" si="65"/>
        <v/>
      </c>
      <c r="D217" s="142" t="str">
        <f t="shared" ca="1" si="66"/>
        <v/>
      </c>
      <c r="E217" s="77" t="str">
        <f t="shared" ca="1" si="67"/>
        <v/>
      </c>
      <c r="F217" s="140" t="str">
        <f t="shared" ca="1" si="68"/>
        <v/>
      </c>
      <c r="G217" s="142" t="str">
        <f t="shared" ca="1" si="69"/>
        <v/>
      </c>
      <c r="H217" s="77" t="str">
        <f t="shared" ca="1" si="70"/>
        <v/>
      </c>
      <c r="I217" s="140" t="str">
        <f t="shared" ca="1" si="71"/>
        <v/>
      </c>
      <c r="J217" s="142" t="str">
        <f t="shared" ca="1" si="72"/>
        <v/>
      </c>
      <c r="K217" s="77" t="str">
        <f t="shared" ca="1" si="73"/>
        <v/>
      </c>
      <c r="L217" s="140" t="str">
        <f t="shared" ca="1" si="74"/>
        <v/>
      </c>
      <c r="M217" s="142" t="str">
        <f t="shared" ca="1" si="75"/>
        <v/>
      </c>
      <c r="N217" s="77" t="str">
        <f t="shared" ca="1" si="76"/>
        <v/>
      </c>
      <c r="O217" s="140" t="str">
        <f t="shared" ca="1" si="77"/>
        <v/>
      </c>
    </row>
    <row r="218" spans="1:15">
      <c r="A218" s="159">
        <v>12</v>
      </c>
      <c r="B218" s="159" t="str">
        <f>TEXT(투자전략!$G$1+11, "[$-ko-KR]yyyy.mm.dd")</f>
        <v>2021.05.12</v>
      </c>
      <c r="C218" s="138" t="str">
        <f t="shared" ca="1" si="65"/>
        <v/>
      </c>
      <c r="D218" s="142" t="str">
        <f t="shared" ca="1" si="66"/>
        <v/>
      </c>
      <c r="E218" s="77" t="str">
        <f t="shared" ca="1" si="67"/>
        <v/>
      </c>
      <c r="F218" s="140" t="str">
        <f t="shared" ca="1" si="68"/>
        <v/>
      </c>
      <c r="G218" s="142" t="str">
        <f t="shared" ca="1" si="69"/>
        <v/>
      </c>
      <c r="H218" s="77" t="str">
        <f t="shared" ca="1" si="70"/>
        <v/>
      </c>
      <c r="I218" s="140" t="str">
        <f t="shared" ca="1" si="71"/>
        <v/>
      </c>
      <c r="J218" s="142" t="str">
        <f t="shared" ca="1" si="72"/>
        <v/>
      </c>
      <c r="K218" s="77" t="str">
        <f t="shared" ca="1" si="73"/>
        <v/>
      </c>
      <c r="L218" s="140" t="str">
        <f t="shared" ca="1" si="74"/>
        <v/>
      </c>
      <c r="M218" s="142" t="str">
        <f t="shared" ca="1" si="75"/>
        <v/>
      </c>
      <c r="N218" s="77" t="str">
        <f t="shared" ca="1" si="76"/>
        <v/>
      </c>
      <c r="O218" s="140" t="str">
        <f t="shared" ca="1" si="77"/>
        <v/>
      </c>
    </row>
    <row r="219" spans="1:15">
      <c r="A219" s="159">
        <v>13</v>
      </c>
      <c r="B219" s="159" t="str">
        <f>TEXT(투자전략!$G$1+12, "[$-ko-KR]yyyy.mm.dd")</f>
        <v>2021.05.13</v>
      </c>
      <c r="C219" s="138" t="str">
        <f t="shared" ca="1" si="65"/>
        <v/>
      </c>
      <c r="D219" s="142" t="str">
        <f t="shared" ca="1" si="66"/>
        <v/>
      </c>
      <c r="E219" s="77" t="str">
        <f t="shared" ca="1" si="67"/>
        <v/>
      </c>
      <c r="F219" s="140" t="str">
        <f t="shared" ca="1" si="68"/>
        <v/>
      </c>
      <c r="G219" s="142" t="str">
        <f t="shared" ca="1" si="69"/>
        <v/>
      </c>
      <c r="H219" s="77" t="str">
        <f t="shared" ca="1" si="70"/>
        <v/>
      </c>
      <c r="I219" s="140" t="str">
        <f t="shared" ca="1" si="71"/>
        <v/>
      </c>
      <c r="J219" s="142" t="str">
        <f t="shared" ca="1" si="72"/>
        <v/>
      </c>
      <c r="K219" s="77" t="str">
        <f t="shared" ca="1" si="73"/>
        <v/>
      </c>
      <c r="L219" s="140" t="str">
        <f t="shared" ca="1" si="74"/>
        <v/>
      </c>
      <c r="M219" s="142" t="str">
        <f t="shared" ca="1" si="75"/>
        <v/>
      </c>
      <c r="N219" s="77" t="str">
        <f t="shared" ca="1" si="76"/>
        <v/>
      </c>
      <c r="O219" s="140" t="str">
        <f t="shared" ca="1" si="77"/>
        <v/>
      </c>
    </row>
    <row r="220" spans="1:15" ht="17.25" thickBot="1">
      <c r="A220" s="161">
        <v>14</v>
      </c>
      <c r="B220" s="161" t="str">
        <f>TEXT(투자전략!$G$1+13, "[$-ko-KR]yyyy.mm.dd")</f>
        <v>2021.05.14</v>
      </c>
      <c r="C220" s="139" t="str">
        <f t="shared" ca="1" si="65"/>
        <v/>
      </c>
      <c r="D220" s="143" t="str">
        <f t="shared" ca="1" si="66"/>
        <v/>
      </c>
      <c r="E220" s="79" t="str">
        <f t="shared" ca="1" si="67"/>
        <v/>
      </c>
      <c r="F220" s="141" t="str">
        <f t="shared" ca="1" si="68"/>
        <v/>
      </c>
      <c r="G220" s="143" t="str">
        <f t="shared" ca="1" si="69"/>
        <v/>
      </c>
      <c r="H220" s="79" t="str">
        <f t="shared" ca="1" si="70"/>
        <v/>
      </c>
      <c r="I220" s="141" t="str">
        <f t="shared" ca="1" si="71"/>
        <v/>
      </c>
      <c r="J220" s="143" t="str">
        <f t="shared" ca="1" si="72"/>
        <v/>
      </c>
      <c r="K220" s="79" t="str">
        <f t="shared" ca="1" si="73"/>
        <v/>
      </c>
      <c r="L220" s="141" t="str">
        <f t="shared" ca="1" si="74"/>
        <v/>
      </c>
      <c r="M220" s="143" t="str">
        <f t="shared" ca="1" si="75"/>
        <v/>
      </c>
      <c r="N220" s="79" t="str">
        <f t="shared" ca="1" si="76"/>
        <v/>
      </c>
      <c r="O220" s="141" t="str">
        <f t="shared" ca="1" si="77"/>
        <v/>
      </c>
    </row>
    <row r="221" spans="1:15">
      <c r="A221" s="160">
        <v>15</v>
      </c>
      <c r="B221" s="160" t="str">
        <f>TEXT(투자전략!$G$1+14, "[$-ko-KR]yyyy.mm.dd")</f>
        <v>2021.05.15</v>
      </c>
      <c r="C221" s="138" t="str">
        <f t="shared" ca="1" si="65"/>
        <v/>
      </c>
      <c r="D221" s="142" t="str">
        <f t="shared" ca="1" si="66"/>
        <v/>
      </c>
      <c r="E221" s="77" t="str">
        <f t="shared" ca="1" si="67"/>
        <v/>
      </c>
      <c r="F221" s="140" t="str">
        <f t="shared" ca="1" si="68"/>
        <v/>
      </c>
      <c r="G221" s="142" t="str">
        <f t="shared" ca="1" si="69"/>
        <v/>
      </c>
      <c r="H221" s="77" t="str">
        <f t="shared" ca="1" si="70"/>
        <v/>
      </c>
      <c r="I221" s="140" t="str">
        <f t="shared" ca="1" si="71"/>
        <v/>
      </c>
      <c r="J221" s="142" t="str">
        <f t="shared" ca="1" si="72"/>
        <v/>
      </c>
      <c r="K221" s="77" t="str">
        <f t="shared" ca="1" si="73"/>
        <v/>
      </c>
      <c r="L221" s="140" t="str">
        <f t="shared" ca="1" si="74"/>
        <v/>
      </c>
      <c r="M221" s="142" t="str">
        <f t="shared" ca="1" si="75"/>
        <v/>
      </c>
      <c r="N221" s="77" t="str">
        <f t="shared" ca="1" si="76"/>
        <v/>
      </c>
      <c r="O221" s="140" t="str">
        <f t="shared" ca="1" si="77"/>
        <v/>
      </c>
    </row>
    <row r="222" spans="1:15">
      <c r="A222" s="159">
        <v>16</v>
      </c>
      <c r="B222" s="159" t="str">
        <f>TEXT(투자전략!$G$1+15, "[$-ko-KR]yyyy.mm.dd")</f>
        <v>2021.05.16</v>
      </c>
      <c r="C222" s="138" t="str">
        <f t="shared" ca="1" si="65"/>
        <v/>
      </c>
      <c r="D222" s="142" t="str">
        <f t="shared" ca="1" si="66"/>
        <v/>
      </c>
      <c r="E222" s="77" t="str">
        <f t="shared" ca="1" si="67"/>
        <v/>
      </c>
      <c r="F222" s="140" t="str">
        <f t="shared" ca="1" si="68"/>
        <v/>
      </c>
      <c r="G222" s="142" t="str">
        <f t="shared" ca="1" si="69"/>
        <v/>
      </c>
      <c r="H222" s="77" t="str">
        <f t="shared" ca="1" si="70"/>
        <v/>
      </c>
      <c r="I222" s="140" t="str">
        <f t="shared" ca="1" si="71"/>
        <v/>
      </c>
      <c r="J222" s="142" t="str">
        <f t="shared" ca="1" si="72"/>
        <v/>
      </c>
      <c r="K222" s="77" t="str">
        <f t="shared" ca="1" si="73"/>
        <v/>
      </c>
      <c r="L222" s="140" t="str">
        <f t="shared" ca="1" si="74"/>
        <v/>
      </c>
      <c r="M222" s="142" t="str">
        <f t="shared" ca="1" si="75"/>
        <v/>
      </c>
      <c r="N222" s="77" t="str">
        <f t="shared" ca="1" si="76"/>
        <v/>
      </c>
      <c r="O222" s="140" t="str">
        <f t="shared" ca="1" si="77"/>
        <v/>
      </c>
    </row>
    <row r="223" spans="1:15">
      <c r="A223" s="159">
        <v>17</v>
      </c>
      <c r="B223" s="159" t="str">
        <f>TEXT(투자전략!$G$1+16, "[$-ko-KR]yyyy.mm.dd")</f>
        <v>2021.05.17</v>
      </c>
      <c r="C223" s="138" t="str">
        <f t="shared" ca="1" si="65"/>
        <v/>
      </c>
      <c r="D223" s="142" t="str">
        <f t="shared" ca="1" si="66"/>
        <v/>
      </c>
      <c r="E223" s="77" t="str">
        <f t="shared" ca="1" si="67"/>
        <v/>
      </c>
      <c r="F223" s="140" t="str">
        <f t="shared" ca="1" si="68"/>
        <v/>
      </c>
      <c r="G223" s="142" t="str">
        <f t="shared" ca="1" si="69"/>
        <v/>
      </c>
      <c r="H223" s="77" t="str">
        <f t="shared" ca="1" si="70"/>
        <v/>
      </c>
      <c r="I223" s="140" t="str">
        <f t="shared" ca="1" si="71"/>
        <v/>
      </c>
      <c r="J223" s="142" t="str">
        <f t="shared" ca="1" si="72"/>
        <v/>
      </c>
      <c r="K223" s="77" t="str">
        <f t="shared" ca="1" si="73"/>
        <v/>
      </c>
      <c r="L223" s="140" t="str">
        <f t="shared" ca="1" si="74"/>
        <v/>
      </c>
      <c r="M223" s="142" t="str">
        <f t="shared" ca="1" si="75"/>
        <v/>
      </c>
      <c r="N223" s="77" t="str">
        <f t="shared" ca="1" si="76"/>
        <v/>
      </c>
      <c r="O223" s="140" t="str">
        <f t="shared" ca="1" si="77"/>
        <v/>
      </c>
    </row>
    <row r="224" spans="1:15">
      <c r="A224" s="159">
        <v>18</v>
      </c>
      <c r="B224" s="159" t="str">
        <f>TEXT(투자전략!$G$1+17, "[$-ko-KR]yyyy.mm.dd")</f>
        <v>2021.05.18</v>
      </c>
      <c r="C224" s="138" t="str">
        <f t="shared" ca="1" si="65"/>
        <v/>
      </c>
      <c r="D224" s="142" t="str">
        <f t="shared" ca="1" si="66"/>
        <v/>
      </c>
      <c r="E224" s="77" t="str">
        <f t="shared" ca="1" si="67"/>
        <v/>
      </c>
      <c r="F224" s="140" t="str">
        <f t="shared" ca="1" si="68"/>
        <v/>
      </c>
      <c r="G224" s="142" t="str">
        <f t="shared" ca="1" si="69"/>
        <v/>
      </c>
      <c r="H224" s="77" t="str">
        <f t="shared" ca="1" si="70"/>
        <v/>
      </c>
      <c r="I224" s="140" t="str">
        <f t="shared" ca="1" si="71"/>
        <v/>
      </c>
      <c r="J224" s="142" t="str">
        <f t="shared" ca="1" si="72"/>
        <v/>
      </c>
      <c r="K224" s="77" t="str">
        <f t="shared" ca="1" si="73"/>
        <v/>
      </c>
      <c r="L224" s="140" t="str">
        <f t="shared" ca="1" si="74"/>
        <v/>
      </c>
      <c r="M224" s="142" t="str">
        <f t="shared" ca="1" si="75"/>
        <v/>
      </c>
      <c r="N224" s="77" t="str">
        <f t="shared" ca="1" si="76"/>
        <v/>
      </c>
      <c r="O224" s="140" t="str">
        <f t="shared" ca="1" si="77"/>
        <v/>
      </c>
    </row>
    <row r="225" spans="1:15">
      <c r="A225" s="159">
        <v>19</v>
      </c>
      <c r="B225" s="159" t="str">
        <f>TEXT(투자전략!$G$1+18, "[$-ko-KR]yyyy.mm.dd")</f>
        <v>2021.05.19</v>
      </c>
      <c r="C225" s="138" t="str">
        <f t="shared" ca="1" si="65"/>
        <v/>
      </c>
      <c r="D225" s="142" t="str">
        <f t="shared" ca="1" si="66"/>
        <v/>
      </c>
      <c r="E225" s="77" t="str">
        <f t="shared" ca="1" si="67"/>
        <v/>
      </c>
      <c r="F225" s="140" t="str">
        <f t="shared" ca="1" si="68"/>
        <v/>
      </c>
      <c r="G225" s="142" t="str">
        <f t="shared" ca="1" si="69"/>
        <v/>
      </c>
      <c r="H225" s="77" t="str">
        <f t="shared" ca="1" si="70"/>
        <v/>
      </c>
      <c r="I225" s="140" t="str">
        <f t="shared" ca="1" si="71"/>
        <v/>
      </c>
      <c r="J225" s="142" t="str">
        <f t="shared" ca="1" si="72"/>
        <v/>
      </c>
      <c r="K225" s="77" t="str">
        <f t="shared" ca="1" si="73"/>
        <v/>
      </c>
      <c r="L225" s="140" t="str">
        <f t="shared" ca="1" si="74"/>
        <v/>
      </c>
      <c r="M225" s="142" t="str">
        <f t="shared" ca="1" si="75"/>
        <v/>
      </c>
      <c r="N225" s="77" t="str">
        <f t="shared" ca="1" si="76"/>
        <v/>
      </c>
      <c r="O225" s="140" t="str">
        <f t="shared" ca="1" si="77"/>
        <v/>
      </c>
    </row>
    <row r="226" spans="1:15">
      <c r="A226" s="159">
        <v>20</v>
      </c>
      <c r="B226" s="159" t="str">
        <f>TEXT(투자전략!$G$1+19, "[$-ko-KR]yyyy.mm.dd")</f>
        <v>2021.05.20</v>
      </c>
      <c r="C226" s="138" t="str">
        <f t="shared" ca="1" si="65"/>
        <v/>
      </c>
      <c r="D226" s="142" t="str">
        <f t="shared" ca="1" si="66"/>
        <v/>
      </c>
      <c r="E226" s="77" t="str">
        <f t="shared" ca="1" si="67"/>
        <v/>
      </c>
      <c r="F226" s="140" t="str">
        <f t="shared" ca="1" si="68"/>
        <v/>
      </c>
      <c r="G226" s="142" t="str">
        <f t="shared" ca="1" si="69"/>
        <v/>
      </c>
      <c r="H226" s="77" t="str">
        <f t="shared" ca="1" si="70"/>
        <v/>
      </c>
      <c r="I226" s="140" t="str">
        <f t="shared" ca="1" si="71"/>
        <v/>
      </c>
      <c r="J226" s="142" t="str">
        <f t="shared" ca="1" si="72"/>
        <v/>
      </c>
      <c r="K226" s="77" t="str">
        <f t="shared" ca="1" si="73"/>
        <v/>
      </c>
      <c r="L226" s="140" t="str">
        <f t="shared" ca="1" si="74"/>
        <v/>
      </c>
      <c r="M226" s="142" t="str">
        <f t="shared" ca="1" si="75"/>
        <v/>
      </c>
      <c r="N226" s="77" t="str">
        <f t="shared" ca="1" si="76"/>
        <v/>
      </c>
      <c r="O226" s="140" t="str">
        <f t="shared" ca="1" si="77"/>
        <v/>
      </c>
    </row>
    <row r="227" spans="1:15" ht="17.25" thickBot="1">
      <c r="A227" s="161">
        <v>21</v>
      </c>
      <c r="B227" s="161" t="str">
        <f>TEXT(투자전략!$G$1+20, "[$-ko-KR]yyyy.mm.dd")</f>
        <v>2021.05.21</v>
      </c>
      <c r="C227" s="138" t="str">
        <f t="shared" ca="1" si="65"/>
        <v/>
      </c>
      <c r="D227" s="142" t="str">
        <f t="shared" ca="1" si="66"/>
        <v/>
      </c>
      <c r="E227" s="77" t="str">
        <f t="shared" ca="1" si="67"/>
        <v/>
      </c>
      <c r="F227" s="140" t="str">
        <f t="shared" ca="1" si="68"/>
        <v/>
      </c>
      <c r="G227" s="142" t="str">
        <f t="shared" ca="1" si="69"/>
        <v/>
      </c>
      <c r="H227" s="77" t="str">
        <f t="shared" ca="1" si="70"/>
        <v/>
      </c>
      <c r="I227" s="140" t="str">
        <f t="shared" ca="1" si="71"/>
        <v/>
      </c>
      <c r="J227" s="142" t="str">
        <f t="shared" ca="1" si="72"/>
        <v/>
      </c>
      <c r="K227" s="77" t="str">
        <f t="shared" ca="1" si="73"/>
        <v/>
      </c>
      <c r="L227" s="140" t="str">
        <f t="shared" ca="1" si="74"/>
        <v/>
      </c>
      <c r="M227" s="142" t="str">
        <f t="shared" ca="1" si="75"/>
        <v/>
      </c>
      <c r="N227" s="77" t="str">
        <f t="shared" ca="1" si="76"/>
        <v/>
      </c>
      <c r="O227" s="140" t="str">
        <f t="shared" ca="1" si="77"/>
        <v/>
      </c>
    </row>
    <row r="228" spans="1:15">
      <c r="A228" s="160">
        <v>22</v>
      </c>
      <c r="B228" s="160" t="str">
        <f>TEXT(투자전략!$G$1+21, "[$-ko-KR]yyyy.mm.dd")</f>
        <v>2021.05.22</v>
      </c>
      <c r="C228" s="137" t="str">
        <f t="shared" ca="1" si="65"/>
        <v/>
      </c>
      <c r="D228" s="145" t="str">
        <f t="shared" ca="1" si="66"/>
        <v/>
      </c>
      <c r="E228" s="76" t="str">
        <f t="shared" ca="1" si="67"/>
        <v/>
      </c>
      <c r="F228" s="144" t="str">
        <f t="shared" ca="1" si="68"/>
        <v/>
      </c>
      <c r="G228" s="145" t="str">
        <f t="shared" ca="1" si="69"/>
        <v/>
      </c>
      <c r="H228" s="76" t="str">
        <f t="shared" ca="1" si="70"/>
        <v/>
      </c>
      <c r="I228" s="144" t="str">
        <f t="shared" ca="1" si="71"/>
        <v/>
      </c>
      <c r="J228" s="145" t="str">
        <f t="shared" ca="1" si="72"/>
        <v/>
      </c>
      <c r="K228" s="76" t="str">
        <f t="shared" ca="1" si="73"/>
        <v/>
      </c>
      <c r="L228" s="144" t="str">
        <f t="shared" ca="1" si="74"/>
        <v/>
      </c>
      <c r="M228" s="145" t="str">
        <f t="shared" ca="1" si="75"/>
        <v/>
      </c>
      <c r="N228" s="76" t="str">
        <f t="shared" ca="1" si="76"/>
        <v/>
      </c>
      <c r="O228" s="144" t="str">
        <f t="shared" ca="1" si="77"/>
        <v/>
      </c>
    </row>
    <row r="229" spans="1:15">
      <c r="A229" s="159">
        <v>23</v>
      </c>
      <c r="B229" s="159" t="str">
        <f>TEXT(투자전략!$G$1+22, "[$-ko-KR]yyyy.mm.dd")</f>
        <v>2021.05.23</v>
      </c>
      <c r="C229" s="138" t="str">
        <f t="shared" ca="1" si="65"/>
        <v/>
      </c>
      <c r="D229" s="142" t="str">
        <f t="shared" ca="1" si="66"/>
        <v/>
      </c>
      <c r="E229" s="77" t="str">
        <f t="shared" ca="1" si="67"/>
        <v/>
      </c>
      <c r="F229" s="140" t="str">
        <f t="shared" ca="1" si="68"/>
        <v/>
      </c>
      <c r="G229" s="142" t="str">
        <f t="shared" ca="1" si="69"/>
        <v/>
      </c>
      <c r="H229" s="77" t="str">
        <f t="shared" ca="1" si="70"/>
        <v/>
      </c>
      <c r="I229" s="140" t="str">
        <f t="shared" ca="1" si="71"/>
        <v/>
      </c>
      <c r="J229" s="142" t="str">
        <f t="shared" ca="1" si="72"/>
        <v/>
      </c>
      <c r="K229" s="77" t="str">
        <f t="shared" ca="1" si="73"/>
        <v/>
      </c>
      <c r="L229" s="140" t="str">
        <f t="shared" ca="1" si="74"/>
        <v/>
      </c>
      <c r="M229" s="142" t="str">
        <f t="shared" ca="1" si="75"/>
        <v/>
      </c>
      <c r="N229" s="77" t="str">
        <f t="shared" ca="1" si="76"/>
        <v/>
      </c>
      <c r="O229" s="140" t="str">
        <f t="shared" ca="1" si="77"/>
        <v/>
      </c>
    </row>
    <row r="230" spans="1:15">
      <c r="A230" s="159">
        <v>24</v>
      </c>
      <c r="B230" s="159" t="str">
        <f>TEXT(투자전략!$G$1+23, "[$-ko-KR]yyyy.mm.dd")</f>
        <v>2021.05.24</v>
      </c>
      <c r="C230" s="138" t="str">
        <f t="shared" ca="1" si="65"/>
        <v/>
      </c>
      <c r="D230" s="142" t="str">
        <f t="shared" ca="1" si="66"/>
        <v/>
      </c>
      <c r="E230" s="77" t="str">
        <f t="shared" ca="1" si="67"/>
        <v/>
      </c>
      <c r="F230" s="140" t="str">
        <f t="shared" ca="1" si="68"/>
        <v/>
      </c>
      <c r="G230" s="142" t="str">
        <f t="shared" ca="1" si="69"/>
        <v/>
      </c>
      <c r="H230" s="77" t="str">
        <f t="shared" ca="1" si="70"/>
        <v/>
      </c>
      <c r="I230" s="140" t="str">
        <f t="shared" ca="1" si="71"/>
        <v/>
      </c>
      <c r="J230" s="142" t="str">
        <f t="shared" ca="1" si="72"/>
        <v/>
      </c>
      <c r="K230" s="77" t="str">
        <f t="shared" ca="1" si="73"/>
        <v/>
      </c>
      <c r="L230" s="140" t="str">
        <f t="shared" ca="1" si="74"/>
        <v/>
      </c>
      <c r="M230" s="142" t="str">
        <f t="shared" ca="1" si="75"/>
        <v/>
      </c>
      <c r="N230" s="77" t="str">
        <f t="shared" ca="1" si="76"/>
        <v/>
      </c>
      <c r="O230" s="140" t="str">
        <f t="shared" ca="1" si="77"/>
        <v/>
      </c>
    </row>
    <row r="231" spans="1:15">
      <c r="A231" s="159">
        <v>25</v>
      </c>
      <c r="B231" s="159" t="str">
        <f>TEXT(투자전략!$G$1+24, "[$-ko-KR]yyyy.mm.dd")</f>
        <v>2021.05.25</v>
      </c>
      <c r="C231" s="138" t="str">
        <f t="shared" ca="1" si="65"/>
        <v/>
      </c>
      <c r="D231" s="142" t="str">
        <f t="shared" ca="1" si="66"/>
        <v/>
      </c>
      <c r="E231" s="77" t="str">
        <f t="shared" ca="1" si="67"/>
        <v/>
      </c>
      <c r="F231" s="140" t="str">
        <f t="shared" ca="1" si="68"/>
        <v/>
      </c>
      <c r="G231" s="142" t="str">
        <f t="shared" ca="1" si="69"/>
        <v/>
      </c>
      <c r="H231" s="77" t="str">
        <f t="shared" ca="1" si="70"/>
        <v/>
      </c>
      <c r="I231" s="140" t="str">
        <f t="shared" ca="1" si="71"/>
        <v/>
      </c>
      <c r="J231" s="142" t="str">
        <f t="shared" ca="1" si="72"/>
        <v/>
      </c>
      <c r="K231" s="77" t="str">
        <f t="shared" ca="1" si="73"/>
        <v/>
      </c>
      <c r="L231" s="140" t="str">
        <f t="shared" ca="1" si="74"/>
        <v/>
      </c>
      <c r="M231" s="142" t="str">
        <f t="shared" ca="1" si="75"/>
        <v/>
      </c>
      <c r="N231" s="77" t="str">
        <f t="shared" ca="1" si="76"/>
        <v/>
      </c>
      <c r="O231" s="140" t="str">
        <f t="shared" ca="1" si="77"/>
        <v/>
      </c>
    </row>
    <row r="232" spans="1:15">
      <c r="A232" s="159">
        <v>26</v>
      </c>
      <c r="B232" s="159" t="str">
        <f>TEXT(투자전략!$G$1+25, "[$-ko-KR]yyyy.mm.dd")</f>
        <v>2021.05.26</v>
      </c>
      <c r="C232" s="138" t="str">
        <f t="shared" ca="1" si="65"/>
        <v/>
      </c>
      <c r="D232" s="142" t="str">
        <f t="shared" ca="1" si="66"/>
        <v/>
      </c>
      <c r="E232" s="77" t="str">
        <f t="shared" ca="1" si="67"/>
        <v/>
      </c>
      <c r="F232" s="140" t="str">
        <f t="shared" ca="1" si="68"/>
        <v/>
      </c>
      <c r="G232" s="142" t="str">
        <f t="shared" ca="1" si="69"/>
        <v/>
      </c>
      <c r="H232" s="77" t="str">
        <f t="shared" ca="1" si="70"/>
        <v/>
      </c>
      <c r="I232" s="140" t="str">
        <f t="shared" ca="1" si="71"/>
        <v/>
      </c>
      <c r="J232" s="142" t="str">
        <f t="shared" ca="1" si="72"/>
        <v/>
      </c>
      <c r="K232" s="77" t="str">
        <f t="shared" ca="1" si="73"/>
        <v/>
      </c>
      <c r="L232" s="140" t="str">
        <f t="shared" ca="1" si="74"/>
        <v/>
      </c>
      <c r="M232" s="142" t="str">
        <f t="shared" ca="1" si="75"/>
        <v/>
      </c>
      <c r="N232" s="77" t="str">
        <f t="shared" ca="1" si="76"/>
        <v/>
      </c>
      <c r="O232" s="140" t="str">
        <f t="shared" ca="1" si="77"/>
        <v/>
      </c>
    </row>
    <row r="233" spans="1:15">
      <c r="A233" s="159">
        <v>27</v>
      </c>
      <c r="B233" s="159" t="str">
        <f>TEXT(투자전략!$G$1+26, "[$-ko-KR]yyyy.mm.dd")</f>
        <v>2021.05.27</v>
      </c>
      <c r="C233" s="138" t="str">
        <f t="shared" ca="1" si="65"/>
        <v/>
      </c>
      <c r="D233" s="142" t="str">
        <f t="shared" ca="1" si="66"/>
        <v/>
      </c>
      <c r="E233" s="77" t="str">
        <f t="shared" ca="1" si="67"/>
        <v/>
      </c>
      <c r="F233" s="140" t="str">
        <f t="shared" ca="1" si="68"/>
        <v/>
      </c>
      <c r="G233" s="142" t="str">
        <f t="shared" ca="1" si="69"/>
        <v/>
      </c>
      <c r="H233" s="77" t="str">
        <f t="shared" ca="1" si="70"/>
        <v/>
      </c>
      <c r="I233" s="140" t="str">
        <f t="shared" ca="1" si="71"/>
        <v/>
      </c>
      <c r="J233" s="142" t="str">
        <f t="shared" ca="1" si="72"/>
        <v/>
      </c>
      <c r="K233" s="77" t="str">
        <f t="shared" ca="1" si="73"/>
        <v/>
      </c>
      <c r="L233" s="140" t="str">
        <f t="shared" ca="1" si="74"/>
        <v/>
      </c>
      <c r="M233" s="142" t="str">
        <f t="shared" ca="1" si="75"/>
        <v/>
      </c>
      <c r="N233" s="77" t="str">
        <f t="shared" ca="1" si="76"/>
        <v/>
      </c>
      <c r="O233" s="140" t="str">
        <f t="shared" ca="1" si="77"/>
        <v/>
      </c>
    </row>
    <row r="234" spans="1:15" ht="17.25" thickBot="1">
      <c r="A234" s="161">
        <v>28</v>
      </c>
      <c r="B234" s="161" t="str">
        <f>TEXT(투자전략!$G$1+27, "[$-ko-KR]yyyy.mm.dd")</f>
        <v>2021.05.28</v>
      </c>
      <c r="C234" s="139" t="str">
        <f t="shared" ca="1" si="65"/>
        <v/>
      </c>
      <c r="D234" s="143" t="str">
        <f t="shared" ca="1" si="66"/>
        <v/>
      </c>
      <c r="E234" s="79" t="str">
        <f t="shared" ca="1" si="67"/>
        <v/>
      </c>
      <c r="F234" s="141" t="str">
        <f t="shared" ca="1" si="68"/>
        <v/>
      </c>
      <c r="G234" s="143" t="str">
        <f t="shared" ca="1" si="69"/>
        <v/>
      </c>
      <c r="H234" s="79" t="str">
        <f t="shared" ca="1" si="70"/>
        <v/>
      </c>
      <c r="I234" s="141" t="str">
        <f t="shared" ca="1" si="71"/>
        <v/>
      </c>
      <c r="J234" s="143" t="str">
        <f t="shared" ca="1" si="72"/>
        <v/>
      </c>
      <c r="K234" s="79" t="str">
        <f t="shared" ca="1" si="73"/>
        <v/>
      </c>
      <c r="L234" s="141" t="str">
        <f t="shared" ca="1" si="74"/>
        <v/>
      </c>
      <c r="M234" s="143" t="str">
        <f t="shared" ca="1" si="75"/>
        <v/>
      </c>
      <c r="N234" s="79" t="str">
        <f t="shared" ca="1" si="76"/>
        <v/>
      </c>
      <c r="O234" s="141" t="str">
        <f t="shared" ca="1" si="77"/>
        <v/>
      </c>
    </row>
    <row r="235" spans="1:15">
      <c r="A235" s="124">
        <v>29</v>
      </c>
      <c r="B235" s="160" t="str">
        <f>TEXT(투자전략!$G$1+28, "[$-ko-KR]yyyy.mm.dd")</f>
        <v>2021.05.29</v>
      </c>
      <c r="C235" s="138" t="str">
        <f t="shared" ca="1" si="65"/>
        <v/>
      </c>
      <c r="D235" s="142" t="str">
        <f t="shared" ca="1" si="66"/>
        <v/>
      </c>
      <c r="E235" s="77" t="str">
        <f t="shared" ca="1" si="67"/>
        <v/>
      </c>
      <c r="F235" s="140" t="str">
        <f t="shared" ca="1" si="68"/>
        <v/>
      </c>
      <c r="G235" s="142" t="str">
        <f t="shared" ca="1" si="69"/>
        <v/>
      </c>
      <c r="H235" s="77" t="str">
        <f t="shared" ca="1" si="70"/>
        <v/>
      </c>
      <c r="I235" s="140" t="str">
        <f t="shared" ca="1" si="71"/>
        <v/>
      </c>
      <c r="J235" s="142" t="str">
        <f t="shared" ca="1" si="72"/>
        <v/>
      </c>
      <c r="K235" s="77" t="str">
        <f t="shared" ca="1" si="73"/>
        <v/>
      </c>
      <c r="L235" s="140" t="str">
        <f t="shared" ca="1" si="74"/>
        <v/>
      </c>
      <c r="M235" s="142" t="str">
        <f t="shared" ca="1" si="75"/>
        <v/>
      </c>
      <c r="N235" s="77" t="str">
        <f t="shared" ca="1" si="76"/>
        <v/>
      </c>
      <c r="O235" s="140" t="str">
        <f t="shared" ca="1" si="77"/>
        <v/>
      </c>
    </row>
    <row r="236" spans="1:15">
      <c r="A236" s="124">
        <v>30</v>
      </c>
      <c r="B236" s="159" t="str">
        <f>TEXT(투자전략!$G$1+29, "[$-ko-KR]yyyy.mm.dd")</f>
        <v>2021.05.30</v>
      </c>
      <c r="C236" s="138" t="str">
        <f t="shared" ca="1" si="65"/>
        <v/>
      </c>
      <c r="D236" s="142" t="str">
        <f t="shared" ca="1" si="66"/>
        <v/>
      </c>
      <c r="E236" s="77" t="str">
        <f t="shared" ca="1" si="67"/>
        <v/>
      </c>
      <c r="F236" s="140" t="str">
        <f t="shared" ca="1" si="68"/>
        <v/>
      </c>
      <c r="G236" s="142" t="str">
        <f t="shared" ca="1" si="69"/>
        <v/>
      </c>
      <c r="H236" s="77" t="str">
        <f t="shared" ca="1" si="70"/>
        <v/>
      </c>
      <c r="I236" s="140" t="str">
        <f t="shared" ca="1" si="71"/>
        <v/>
      </c>
      <c r="J236" s="142" t="str">
        <f t="shared" ca="1" si="72"/>
        <v/>
      </c>
      <c r="K236" s="77" t="str">
        <f t="shared" ca="1" si="73"/>
        <v/>
      </c>
      <c r="L236" s="140" t="str">
        <f t="shared" ca="1" si="74"/>
        <v/>
      </c>
      <c r="M236" s="142" t="str">
        <f t="shared" ca="1" si="75"/>
        <v/>
      </c>
      <c r="N236" s="77" t="str">
        <f t="shared" ca="1" si="76"/>
        <v/>
      </c>
      <c r="O236" s="140" t="str">
        <f t="shared" ca="1" si="77"/>
        <v/>
      </c>
    </row>
    <row r="237" spans="1:15" ht="17.25" thickBot="1">
      <c r="A237" s="124">
        <v>31</v>
      </c>
      <c r="B237" s="159" t="str">
        <f>TEXT(투자전략!$G$1+30, "[$-ko-KR]yyyy.mm.dd")</f>
        <v>2021.05.31</v>
      </c>
      <c r="C237" s="139" t="str">
        <f t="shared" ca="1" si="65"/>
        <v/>
      </c>
      <c r="D237" s="143" t="str">
        <f t="shared" ca="1" si="66"/>
        <v/>
      </c>
      <c r="E237" s="79" t="str">
        <f t="shared" ca="1" si="67"/>
        <v/>
      </c>
      <c r="F237" s="141" t="str">
        <f t="shared" ca="1" si="68"/>
        <v/>
      </c>
      <c r="G237" s="143" t="str">
        <f t="shared" ca="1" si="69"/>
        <v/>
      </c>
      <c r="H237" s="79" t="str">
        <f t="shared" ca="1" si="70"/>
        <v/>
      </c>
      <c r="I237" s="141" t="str">
        <f t="shared" ca="1" si="71"/>
        <v/>
      </c>
      <c r="J237" s="143" t="str">
        <f t="shared" ca="1" si="72"/>
        <v/>
      </c>
      <c r="K237" s="79" t="str">
        <f t="shared" ca="1" si="73"/>
        <v/>
      </c>
      <c r="L237" s="141" t="str">
        <f t="shared" ca="1" si="74"/>
        <v/>
      </c>
      <c r="M237" s="143" t="str">
        <f t="shared" ca="1" si="75"/>
        <v/>
      </c>
      <c r="N237" s="79" t="str">
        <f t="shared" ca="1" si="76"/>
        <v/>
      </c>
      <c r="O237" s="141" t="str">
        <f t="shared" ca="1" si="77"/>
        <v/>
      </c>
    </row>
    <row r="238" spans="1:15" ht="17.25" thickBot="1">
      <c r="A238" s="213" t="s">
        <v>319</v>
      </c>
      <c r="B238" s="215"/>
      <c r="C238" s="135" t="s">
        <v>314</v>
      </c>
      <c r="D238" s="153" t="s">
        <v>315</v>
      </c>
      <c r="E238" s="154" t="s">
        <v>316</v>
      </c>
      <c r="F238" s="155" t="s">
        <v>317</v>
      </c>
      <c r="G238" s="153" t="s">
        <v>315</v>
      </c>
      <c r="H238" s="154" t="s">
        <v>316</v>
      </c>
      <c r="I238" s="155" t="s">
        <v>317</v>
      </c>
      <c r="J238" s="153" t="s">
        <v>315</v>
      </c>
      <c r="K238" s="154" t="s">
        <v>316</v>
      </c>
      <c r="L238" s="155" t="s">
        <v>317</v>
      </c>
      <c r="M238" s="153" t="s">
        <v>315</v>
      </c>
      <c r="N238" s="154" t="s">
        <v>316</v>
      </c>
      <c r="O238" s="155" t="s">
        <v>317</v>
      </c>
    </row>
    <row r="239" spans="1:15" ht="17.25" thickBot="1">
      <c r="A239" s="206"/>
      <c r="B239" s="208"/>
      <c r="C239" s="139">
        <f ca="1">SUM(C207:C237)</f>
        <v>27000000</v>
      </c>
      <c r="D239" s="143">
        <f ca="1">SUM(D207:D237)</f>
        <v>26826425.070299279</v>
      </c>
      <c r="E239" s="79">
        <f ca="1">IFERROR(F239 / (SUM($C207:$C237) / COUNT($C207:$C237)), 0)</f>
        <v>-3.2143505500133791E-2</v>
      </c>
      <c r="F239" s="141">
        <f ca="1">SUM(F207:F237)</f>
        <v>-173574.92970072248</v>
      </c>
      <c r="G239" s="143">
        <f ca="1">SUM(G207:G237)</f>
        <v>27009411.875603404</v>
      </c>
      <c r="H239" s="79">
        <f ca="1">IFERROR(I239 / (SUM($C207:$C237) / COUNT($C207:$C237)), 0)</f>
        <v>1.7429399265559348E-3</v>
      </c>
      <c r="I239" s="141">
        <f ca="1">SUM(I207:I237)</f>
        <v>9411.875603402048</v>
      </c>
      <c r="J239" s="143">
        <f ca="1">SUM(J207:J237)</f>
        <v>27041622.911671966</v>
      </c>
      <c r="K239" s="79">
        <f ca="1">IFERROR(L239 / (SUM($C207:$C237) / COUNT($C207:$C237)), 0)</f>
        <v>7.7079466059197252E-3</v>
      </c>
      <c r="L239" s="141">
        <f ca="1">SUM(L207:L237)</f>
        <v>41622.911671966518</v>
      </c>
      <c r="M239" s="143">
        <f ca="1">SUM(M207:M237)</f>
        <v>27020675.281183474</v>
      </c>
      <c r="N239" s="79">
        <f ca="1">IFERROR(O239 / (SUM($C207:$C237) / COUNT($C207:$C237)), 0)</f>
        <v>3.8287557747175797E-3</v>
      </c>
      <c r="O239" s="141">
        <f ca="1">SUM(O207:O237)</f>
        <v>20675.28118347493</v>
      </c>
    </row>
    <row r="241" spans="1:15" ht="17.25" thickBot="1"/>
    <row r="242" spans="1:15" ht="17.25" thickBot="1">
      <c r="A242" s="185" t="str">
        <f>TEXT(투자전략!$G$1, "[$-ko-KR]yyyy년 mm월 ") &amp; "전일대비 상승률 Bottom20 월말결산"</f>
        <v>2021년 05월 전일대비 상승률 Bottom20 월말결산</v>
      </c>
      <c r="B242" s="186"/>
      <c r="C242" s="186"/>
      <c r="D242" s="186"/>
      <c r="E242" s="186"/>
      <c r="F242" s="186"/>
      <c r="G242" s="186"/>
      <c r="H242" s="186"/>
      <c r="I242" s="186"/>
      <c r="J242" s="186"/>
      <c r="K242" s="186"/>
      <c r="L242" s="186"/>
      <c r="M242" s="186"/>
      <c r="N242" s="186"/>
      <c r="O242" s="187"/>
    </row>
    <row r="243" spans="1:15" ht="17.25" thickBot="1">
      <c r="A243" s="229" t="s">
        <v>320</v>
      </c>
      <c r="B243" s="206" t="s">
        <v>318</v>
      </c>
      <c r="C243" s="208"/>
      <c r="D243" s="206" t="s">
        <v>310</v>
      </c>
      <c r="E243" s="207"/>
      <c r="F243" s="208"/>
      <c r="G243" s="206" t="s">
        <v>311</v>
      </c>
      <c r="H243" s="207"/>
      <c r="I243" s="208"/>
      <c r="J243" s="206" t="s">
        <v>312</v>
      </c>
      <c r="K243" s="207"/>
      <c r="L243" s="208"/>
      <c r="M243" s="206" t="s">
        <v>313</v>
      </c>
      <c r="N243" s="207"/>
      <c r="O243" s="208"/>
    </row>
    <row r="244" spans="1:15" ht="17.25" thickBot="1">
      <c r="A244" s="222"/>
      <c r="B244" s="160" t="s">
        <v>308</v>
      </c>
      <c r="C244" s="160" t="s">
        <v>42</v>
      </c>
      <c r="D244" s="124" t="s">
        <v>309</v>
      </c>
      <c r="E244" s="136" t="s">
        <v>40</v>
      </c>
      <c r="F244" s="162" t="s">
        <v>41</v>
      </c>
      <c r="G244" s="124" t="s">
        <v>309</v>
      </c>
      <c r="H244" s="136" t="s">
        <v>40</v>
      </c>
      <c r="I244" s="162" t="s">
        <v>41</v>
      </c>
      <c r="J244" s="124" t="s">
        <v>309</v>
      </c>
      <c r="K244" s="136" t="s">
        <v>40</v>
      </c>
      <c r="L244" s="162" t="s">
        <v>41</v>
      </c>
      <c r="M244" s="124" t="s">
        <v>309</v>
      </c>
      <c r="N244" s="136" t="s">
        <v>40</v>
      </c>
      <c r="O244" s="162" t="s">
        <v>41</v>
      </c>
    </row>
    <row r="245" spans="1:15">
      <c r="A245" s="160">
        <v>1</v>
      </c>
      <c r="B245" s="160" t="str">
        <f>TEXT(투자전략!$G$1+0, "[$-ko-KR]yyyy.mm.dd")</f>
        <v>2021.05.01</v>
      </c>
      <c r="C245" s="137">
        <f ca="1">IFERROR(COUNTA(INDIRECT($B245&amp;"!A179:A198")) * INDIRECT($B245&amp;"!B199"), "")</f>
        <v>6000000</v>
      </c>
      <c r="D245" s="145">
        <f ca="1">IFERROR($C245 * (1 + E245), "")</f>
        <v>6025352.5779671101</v>
      </c>
      <c r="E245" s="76">
        <f ca="1">IFERROR(INDIRECT($B245&amp;"!E199"), "")</f>
        <v>4.225429661185073E-3</v>
      </c>
      <c r="F245" s="144">
        <f ca="1">IFERROR(INDIRECT($B245&amp;"!F199"), "")</f>
        <v>25352.577967110439</v>
      </c>
      <c r="G245" s="145">
        <f ca="1">IFERROR($C245 * (1 + H245), "")</f>
        <v>5996980.6855061799</v>
      </c>
      <c r="H245" s="76">
        <f ca="1">IFERROR(INDIRECT($B245&amp;"!H199"), "")</f>
        <v>-5.0321908230329965E-4</v>
      </c>
      <c r="I245" s="144">
        <f ca="1">IFERROR(INDIRECT($B245&amp;"!I199"), "")</f>
        <v>-3019.3144938197966</v>
      </c>
      <c r="J245" s="145">
        <f ca="1">IFERROR($C245 * (1 + K245), "")</f>
        <v>6034904.925586124</v>
      </c>
      <c r="K245" s="76">
        <f ca="1">IFERROR(INDIRECT($B245&amp;"!K199"), "")</f>
        <v>5.8174875976873385E-3</v>
      </c>
      <c r="L245" s="144">
        <f ca="1">IFERROR(INDIRECT($B245&amp;"!L199"), "")</f>
        <v>34904.925586124016</v>
      </c>
      <c r="M245" s="145">
        <f ca="1">IFERROR($C245 * (1 + N245), "")</f>
        <v>6031271.9438245064</v>
      </c>
      <c r="N245" s="76">
        <f ca="1">IFERROR(INDIRECT($B245&amp;"!N199"), "")</f>
        <v>5.2119906374178248E-3</v>
      </c>
      <c r="O245" s="144">
        <f ca="1">IFERROR(INDIRECT($B245&amp;"!O199"), "")</f>
        <v>31271.943824506943</v>
      </c>
    </row>
    <row r="246" spans="1:15">
      <c r="A246" s="159">
        <v>2</v>
      </c>
      <c r="B246" s="159" t="str">
        <f>TEXT(투자전략!$G$1+1, "[$-ko-KR]yyyy.mm.dd")</f>
        <v>2021.05.02</v>
      </c>
      <c r="C246" s="138">
        <f t="shared" ref="C246:C275" ca="1" si="78">IFERROR(COUNTA(INDIRECT($B246&amp;"!A179:A198")) * INDIRECT($B246&amp;"!B199"), "")</f>
        <v>6000000</v>
      </c>
      <c r="D246" s="142">
        <f t="shared" ref="D246:D275" ca="1" si="79">IFERROR($C246 * (1 + E246), "")</f>
        <v>5959697.9038826097</v>
      </c>
      <c r="E246" s="77">
        <f t="shared" ref="E246:E275" ca="1" si="80">IFERROR(INDIRECT($B246&amp;"!E199"), "")</f>
        <v>-6.7170160195650138E-3</v>
      </c>
      <c r="F246" s="140">
        <f t="shared" ref="F246:F275" ca="1" si="81">IFERROR(INDIRECT($B246&amp;"!F199"), "")</f>
        <v>-40302.096117390087</v>
      </c>
      <c r="G246" s="142">
        <f t="shared" ref="G246:G275" ca="1" si="82">IFERROR($C246 * (1 + H246), "")</f>
        <v>5959870.4826934347</v>
      </c>
      <c r="H246" s="77">
        <f t="shared" ref="H246:H275" ca="1" si="83">IFERROR(INDIRECT($B246&amp;"!H199"), "")</f>
        <v>-6.6882528844275577E-3</v>
      </c>
      <c r="I246" s="140">
        <f t="shared" ref="I246:I275" ca="1" si="84">IFERROR(INDIRECT($B246&amp;"!I199"), "")</f>
        <v>-40129.517306565351</v>
      </c>
      <c r="J246" s="142">
        <f t="shared" ref="J246:J275" ca="1" si="85">IFERROR($C246 * (1 + K246), "")</f>
        <v>5994027.282291309</v>
      </c>
      <c r="K246" s="77">
        <f t="shared" ref="K246:K275" ca="1" si="86">IFERROR(INDIRECT($B246&amp;"!K199"), "")</f>
        <v>-9.9545295144856704E-4</v>
      </c>
      <c r="L246" s="140">
        <f t="shared" ref="L246:L275" ca="1" si="87">IFERROR(INDIRECT($B246&amp;"!L199"), "")</f>
        <v>-5972.7177086913989</v>
      </c>
      <c r="M246" s="142">
        <f t="shared" ref="M246:M275" ca="1" si="88">IFERROR($C246 * (1 + N246), "")</f>
        <v>6026319.5175636429</v>
      </c>
      <c r="N246" s="77">
        <f t="shared" ref="N246:N275" ca="1" si="89">IFERROR(INDIRECT($B246&amp;"!N199"), "")</f>
        <v>4.3865862606072333E-3</v>
      </c>
      <c r="O246" s="140">
        <f t="shared" ref="O246:O275" ca="1" si="90">IFERROR(INDIRECT($B246&amp;"!O199"), "")</f>
        <v>26319.517563643429</v>
      </c>
    </row>
    <row r="247" spans="1:15">
      <c r="A247" s="159">
        <v>3</v>
      </c>
      <c r="B247" s="159" t="str">
        <f>TEXT(투자전략!$G$1+2, "[$-ko-KR]yyyy.mm.dd")</f>
        <v>2021.05.03</v>
      </c>
      <c r="C247" s="138">
        <f t="shared" ca="1" si="78"/>
        <v>6000000</v>
      </c>
      <c r="D247" s="142">
        <f t="shared" ca="1" si="79"/>
        <v>6071850.281338485</v>
      </c>
      <c r="E247" s="77">
        <f t="shared" ca="1" si="80"/>
        <v>1.1975046889747402E-2</v>
      </c>
      <c r="F247" s="140">
        <f t="shared" ca="1" si="81"/>
        <v>71850.281338484405</v>
      </c>
      <c r="G247" s="142">
        <f t="shared" ca="1" si="82"/>
        <v>6151029.5048125805</v>
      </c>
      <c r="H247" s="77">
        <f t="shared" ca="1" si="83"/>
        <v>2.5171584135429977E-2</v>
      </c>
      <c r="I247" s="140">
        <f t="shared" ca="1" si="84"/>
        <v>151029.50481257981</v>
      </c>
      <c r="J247" s="142">
        <f t="shared" ca="1" si="85"/>
        <v>6162494.5289060026</v>
      </c>
      <c r="K247" s="77">
        <f t="shared" ca="1" si="86"/>
        <v>2.7082421484333614E-2</v>
      </c>
      <c r="L247" s="140">
        <f t="shared" ca="1" si="87"/>
        <v>162494.52890600168</v>
      </c>
      <c r="M247" s="142">
        <f t="shared" ca="1" si="88"/>
        <v>6130557.5460285367</v>
      </c>
      <c r="N247" s="77">
        <f t="shared" ca="1" si="89"/>
        <v>2.1759591004756114E-2</v>
      </c>
      <c r="O247" s="140">
        <f t="shared" ca="1" si="90"/>
        <v>130557.54602853667</v>
      </c>
    </row>
    <row r="248" spans="1:15">
      <c r="A248" s="159">
        <v>4</v>
      </c>
      <c r="B248" s="159" t="str">
        <f>TEXT(투자전략!$G$1+3, "[$-ko-KR]yyyy.mm.dd")</f>
        <v>2021.05.04</v>
      </c>
      <c r="C248" s="138">
        <f t="shared" ca="1" si="78"/>
        <v>6000000</v>
      </c>
      <c r="D248" s="142">
        <f t="shared" ca="1" si="79"/>
        <v>5762140.4655281333</v>
      </c>
      <c r="E248" s="77">
        <f t="shared" ca="1" si="80"/>
        <v>-3.9643255745311128E-2</v>
      </c>
      <c r="F248" s="140">
        <f t="shared" ca="1" si="81"/>
        <v>-237859.53447186679</v>
      </c>
      <c r="G248" s="142">
        <f t="shared" ca="1" si="82"/>
        <v>5824763.0404309658</v>
      </c>
      <c r="H248" s="77">
        <f t="shared" ca="1" si="83"/>
        <v>-2.9206159928172278E-2</v>
      </c>
      <c r="I248" s="140">
        <f t="shared" ca="1" si="84"/>
        <v>-175236.95956903361</v>
      </c>
      <c r="J248" s="142">
        <f t="shared" ca="1" si="85"/>
        <v>5788235.523084146</v>
      </c>
      <c r="K248" s="77">
        <f t="shared" ca="1" si="86"/>
        <v>-3.5294079485975779E-2</v>
      </c>
      <c r="L248" s="140">
        <f t="shared" ca="1" si="87"/>
        <v>-211764.47691585461</v>
      </c>
      <c r="M248" s="142">
        <f t="shared" ca="1" si="88"/>
        <v>5596409.9469873086</v>
      </c>
      <c r="N248" s="77">
        <f t="shared" ca="1" si="89"/>
        <v>-6.7265008835448475E-2</v>
      </c>
      <c r="O248" s="140">
        <f t="shared" ca="1" si="90"/>
        <v>-403590.05301269086</v>
      </c>
    </row>
    <row r="249" spans="1:15">
      <c r="A249" s="159">
        <v>5</v>
      </c>
      <c r="B249" s="159" t="str">
        <f>TEXT(투자전략!$G$1+4, "[$-ko-KR]yyyy.mm.dd")</f>
        <v>2021.05.05</v>
      </c>
      <c r="C249" s="138">
        <f t="shared" ca="1" si="78"/>
        <v>3000000</v>
      </c>
      <c r="D249" s="142">
        <f t="shared" ca="1" si="79"/>
        <v>2857823.9727074876</v>
      </c>
      <c r="E249" s="77">
        <f t="shared" ca="1" si="80"/>
        <v>-4.7392009097504052E-2</v>
      </c>
      <c r="F249" s="140">
        <f t="shared" ca="1" si="81"/>
        <v>-142176.02729251215</v>
      </c>
      <c r="G249" s="142">
        <f t="shared" ca="1" si="82"/>
        <v>2914503.427127427</v>
      </c>
      <c r="H249" s="77">
        <f t="shared" ca="1" si="83"/>
        <v>-2.8498857624190993E-2</v>
      </c>
      <c r="I249" s="140">
        <f t="shared" ca="1" si="84"/>
        <v>-85496.572872572986</v>
      </c>
      <c r="J249" s="142">
        <f t="shared" ca="1" si="85"/>
        <v>2881248.0135192964</v>
      </c>
      <c r="K249" s="77">
        <f t="shared" ca="1" si="86"/>
        <v>-3.9583995493567829E-2</v>
      </c>
      <c r="L249" s="140">
        <f t="shared" ca="1" si="87"/>
        <v>-118751.98648070348</v>
      </c>
      <c r="M249" s="142">
        <f t="shared" ca="1" si="88"/>
        <v>3000000</v>
      </c>
      <c r="N249" s="77">
        <f t="shared" ca="1" si="89"/>
        <v>0</v>
      </c>
      <c r="O249" s="140">
        <f t="shared" ca="1" si="90"/>
        <v>0</v>
      </c>
    </row>
    <row r="250" spans="1:15">
      <c r="A250" s="159">
        <v>6</v>
      </c>
      <c r="B250" s="159" t="str">
        <f>TEXT(투자전략!$G$1+5, "[$-ko-KR]yyyy.mm.dd")</f>
        <v>2021.05.06</v>
      </c>
      <c r="C250" s="138" t="str">
        <f t="shared" ca="1" si="78"/>
        <v/>
      </c>
      <c r="D250" s="142" t="str">
        <f t="shared" ca="1" si="79"/>
        <v/>
      </c>
      <c r="E250" s="77" t="str">
        <f t="shared" ca="1" si="80"/>
        <v/>
      </c>
      <c r="F250" s="140" t="str">
        <f t="shared" ca="1" si="81"/>
        <v/>
      </c>
      <c r="G250" s="142" t="str">
        <f t="shared" ca="1" si="82"/>
        <v/>
      </c>
      <c r="H250" s="77" t="str">
        <f t="shared" ca="1" si="83"/>
        <v/>
      </c>
      <c r="I250" s="140" t="str">
        <f t="shared" ca="1" si="84"/>
        <v/>
      </c>
      <c r="J250" s="142" t="str">
        <f t="shared" ca="1" si="85"/>
        <v/>
      </c>
      <c r="K250" s="77" t="str">
        <f t="shared" ca="1" si="86"/>
        <v/>
      </c>
      <c r="L250" s="140" t="str">
        <f t="shared" ca="1" si="87"/>
        <v/>
      </c>
      <c r="M250" s="142" t="str">
        <f t="shared" ca="1" si="88"/>
        <v/>
      </c>
      <c r="N250" s="77" t="str">
        <f t="shared" ca="1" si="89"/>
        <v/>
      </c>
      <c r="O250" s="140" t="str">
        <f t="shared" ca="1" si="90"/>
        <v/>
      </c>
    </row>
    <row r="251" spans="1:15" ht="17.25" thickBot="1">
      <c r="A251" s="161">
        <v>7</v>
      </c>
      <c r="B251" s="161" t="str">
        <f>TEXT(투자전략!$G$1+6, "[$-ko-KR]yyyy.mm.dd")</f>
        <v>2021.05.07</v>
      </c>
      <c r="C251" s="138" t="str">
        <f t="shared" ca="1" si="78"/>
        <v/>
      </c>
      <c r="D251" s="142" t="str">
        <f t="shared" ca="1" si="79"/>
        <v/>
      </c>
      <c r="E251" s="77" t="str">
        <f t="shared" ca="1" si="80"/>
        <v/>
      </c>
      <c r="F251" s="140" t="str">
        <f t="shared" ca="1" si="81"/>
        <v/>
      </c>
      <c r="G251" s="142" t="str">
        <f t="shared" ca="1" si="82"/>
        <v/>
      </c>
      <c r="H251" s="77" t="str">
        <f t="shared" ca="1" si="83"/>
        <v/>
      </c>
      <c r="I251" s="140" t="str">
        <f t="shared" ca="1" si="84"/>
        <v/>
      </c>
      <c r="J251" s="142" t="str">
        <f t="shared" ca="1" si="85"/>
        <v/>
      </c>
      <c r="K251" s="77" t="str">
        <f t="shared" ca="1" si="86"/>
        <v/>
      </c>
      <c r="L251" s="140" t="str">
        <f t="shared" ca="1" si="87"/>
        <v/>
      </c>
      <c r="M251" s="142" t="str">
        <f t="shared" ca="1" si="88"/>
        <v/>
      </c>
      <c r="N251" s="77" t="str">
        <f t="shared" ca="1" si="89"/>
        <v/>
      </c>
      <c r="O251" s="140" t="str">
        <f t="shared" ca="1" si="90"/>
        <v/>
      </c>
    </row>
    <row r="252" spans="1:15">
      <c r="A252" s="160">
        <v>8</v>
      </c>
      <c r="B252" s="160" t="str">
        <f>TEXT(투자전략!$G$1+7, "[$-ko-KR]yyyy.mm.dd")</f>
        <v>2021.05.08</v>
      </c>
      <c r="C252" s="137" t="str">
        <f t="shared" ca="1" si="78"/>
        <v/>
      </c>
      <c r="D252" s="145" t="str">
        <f t="shared" ca="1" si="79"/>
        <v/>
      </c>
      <c r="E252" s="76" t="str">
        <f t="shared" ca="1" si="80"/>
        <v/>
      </c>
      <c r="F252" s="144" t="str">
        <f t="shared" ca="1" si="81"/>
        <v/>
      </c>
      <c r="G252" s="145" t="str">
        <f t="shared" ca="1" si="82"/>
        <v/>
      </c>
      <c r="H252" s="76" t="str">
        <f t="shared" ca="1" si="83"/>
        <v/>
      </c>
      <c r="I252" s="144" t="str">
        <f t="shared" ca="1" si="84"/>
        <v/>
      </c>
      <c r="J252" s="145" t="str">
        <f t="shared" ca="1" si="85"/>
        <v/>
      </c>
      <c r="K252" s="76" t="str">
        <f t="shared" ca="1" si="86"/>
        <v/>
      </c>
      <c r="L252" s="144" t="str">
        <f t="shared" ca="1" si="87"/>
        <v/>
      </c>
      <c r="M252" s="145" t="str">
        <f t="shared" ca="1" si="88"/>
        <v/>
      </c>
      <c r="N252" s="76" t="str">
        <f t="shared" ca="1" si="89"/>
        <v/>
      </c>
      <c r="O252" s="144" t="str">
        <f t="shared" ca="1" si="90"/>
        <v/>
      </c>
    </row>
    <row r="253" spans="1:15">
      <c r="A253" s="159">
        <v>9</v>
      </c>
      <c r="B253" s="159" t="str">
        <f>TEXT(투자전략!$G$1+8, "[$-ko-KR]yyyy.mm.dd")</f>
        <v>2021.05.09</v>
      </c>
      <c r="C253" s="138" t="str">
        <f t="shared" ca="1" si="78"/>
        <v/>
      </c>
      <c r="D253" s="142" t="str">
        <f t="shared" ca="1" si="79"/>
        <v/>
      </c>
      <c r="E253" s="77" t="str">
        <f t="shared" ca="1" si="80"/>
        <v/>
      </c>
      <c r="F253" s="140" t="str">
        <f t="shared" ca="1" si="81"/>
        <v/>
      </c>
      <c r="G253" s="142" t="str">
        <f t="shared" ca="1" si="82"/>
        <v/>
      </c>
      <c r="H253" s="77" t="str">
        <f t="shared" ca="1" si="83"/>
        <v/>
      </c>
      <c r="I253" s="140" t="str">
        <f t="shared" ca="1" si="84"/>
        <v/>
      </c>
      <c r="J253" s="142" t="str">
        <f t="shared" ca="1" si="85"/>
        <v/>
      </c>
      <c r="K253" s="77" t="str">
        <f t="shared" ca="1" si="86"/>
        <v/>
      </c>
      <c r="L253" s="140" t="str">
        <f t="shared" ca="1" si="87"/>
        <v/>
      </c>
      <c r="M253" s="142" t="str">
        <f t="shared" ca="1" si="88"/>
        <v/>
      </c>
      <c r="N253" s="77" t="str">
        <f t="shared" ca="1" si="89"/>
        <v/>
      </c>
      <c r="O253" s="140" t="str">
        <f t="shared" ca="1" si="90"/>
        <v/>
      </c>
    </row>
    <row r="254" spans="1:15">
      <c r="A254" s="159">
        <v>10</v>
      </c>
      <c r="B254" s="159" t="str">
        <f>TEXT(투자전략!$G$1+9, "[$-ko-KR]yyyy.mm.dd")</f>
        <v>2021.05.10</v>
      </c>
      <c r="C254" s="138" t="str">
        <f t="shared" ca="1" si="78"/>
        <v/>
      </c>
      <c r="D254" s="142" t="str">
        <f t="shared" ca="1" si="79"/>
        <v/>
      </c>
      <c r="E254" s="77" t="str">
        <f t="shared" ca="1" si="80"/>
        <v/>
      </c>
      <c r="F254" s="140" t="str">
        <f t="shared" ca="1" si="81"/>
        <v/>
      </c>
      <c r="G254" s="142" t="str">
        <f t="shared" ca="1" si="82"/>
        <v/>
      </c>
      <c r="H254" s="77" t="str">
        <f t="shared" ca="1" si="83"/>
        <v/>
      </c>
      <c r="I254" s="140" t="str">
        <f t="shared" ca="1" si="84"/>
        <v/>
      </c>
      <c r="J254" s="142" t="str">
        <f t="shared" ca="1" si="85"/>
        <v/>
      </c>
      <c r="K254" s="77" t="str">
        <f t="shared" ca="1" si="86"/>
        <v/>
      </c>
      <c r="L254" s="140" t="str">
        <f t="shared" ca="1" si="87"/>
        <v/>
      </c>
      <c r="M254" s="142" t="str">
        <f t="shared" ca="1" si="88"/>
        <v/>
      </c>
      <c r="N254" s="77" t="str">
        <f t="shared" ca="1" si="89"/>
        <v/>
      </c>
      <c r="O254" s="140" t="str">
        <f t="shared" ca="1" si="90"/>
        <v/>
      </c>
    </row>
    <row r="255" spans="1:15">
      <c r="A255" s="159">
        <v>11</v>
      </c>
      <c r="B255" s="159" t="str">
        <f>TEXT(투자전략!$G$1+10, "[$-ko-KR]yyyy.mm.dd")</f>
        <v>2021.05.11</v>
      </c>
      <c r="C255" s="138" t="str">
        <f t="shared" ca="1" si="78"/>
        <v/>
      </c>
      <c r="D255" s="142" t="str">
        <f t="shared" ca="1" si="79"/>
        <v/>
      </c>
      <c r="E255" s="77" t="str">
        <f t="shared" ca="1" si="80"/>
        <v/>
      </c>
      <c r="F255" s="140" t="str">
        <f t="shared" ca="1" si="81"/>
        <v/>
      </c>
      <c r="G255" s="142" t="str">
        <f t="shared" ca="1" si="82"/>
        <v/>
      </c>
      <c r="H255" s="77" t="str">
        <f t="shared" ca="1" si="83"/>
        <v/>
      </c>
      <c r="I255" s="140" t="str">
        <f t="shared" ca="1" si="84"/>
        <v/>
      </c>
      <c r="J255" s="142" t="str">
        <f t="shared" ca="1" si="85"/>
        <v/>
      </c>
      <c r="K255" s="77" t="str">
        <f t="shared" ca="1" si="86"/>
        <v/>
      </c>
      <c r="L255" s="140" t="str">
        <f t="shared" ca="1" si="87"/>
        <v/>
      </c>
      <c r="M255" s="142" t="str">
        <f t="shared" ca="1" si="88"/>
        <v/>
      </c>
      <c r="N255" s="77" t="str">
        <f t="shared" ca="1" si="89"/>
        <v/>
      </c>
      <c r="O255" s="140" t="str">
        <f t="shared" ca="1" si="90"/>
        <v/>
      </c>
    </row>
    <row r="256" spans="1:15">
      <c r="A256" s="159">
        <v>12</v>
      </c>
      <c r="B256" s="159" t="str">
        <f>TEXT(투자전략!$G$1+11, "[$-ko-KR]yyyy.mm.dd")</f>
        <v>2021.05.12</v>
      </c>
      <c r="C256" s="138" t="str">
        <f t="shared" ca="1" si="78"/>
        <v/>
      </c>
      <c r="D256" s="142" t="str">
        <f t="shared" ca="1" si="79"/>
        <v/>
      </c>
      <c r="E256" s="77" t="str">
        <f t="shared" ca="1" si="80"/>
        <v/>
      </c>
      <c r="F256" s="140" t="str">
        <f t="shared" ca="1" si="81"/>
        <v/>
      </c>
      <c r="G256" s="142" t="str">
        <f t="shared" ca="1" si="82"/>
        <v/>
      </c>
      <c r="H256" s="77" t="str">
        <f t="shared" ca="1" si="83"/>
        <v/>
      </c>
      <c r="I256" s="140" t="str">
        <f t="shared" ca="1" si="84"/>
        <v/>
      </c>
      <c r="J256" s="142" t="str">
        <f t="shared" ca="1" si="85"/>
        <v/>
      </c>
      <c r="K256" s="77" t="str">
        <f t="shared" ca="1" si="86"/>
        <v/>
      </c>
      <c r="L256" s="140" t="str">
        <f t="shared" ca="1" si="87"/>
        <v/>
      </c>
      <c r="M256" s="142" t="str">
        <f t="shared" ca="1" si="88"/>
        <v/>
      </c>
      <c r="N256" s="77" t="str">
        <f t="shared" ca="1" si="89"/>
        <v/>
      </c>
      <c r="O256" s="140" t="str">
        <f t="shared" ca="1" si="90"/>
        <v/>
      </c>
    </row>
    <row r="257" spans="1:15">
      <c r="A257" s="159">
        <v>13</v>
      </c>
      <c r="B257" s="159" t="str">
        <f>TEXT(투자전략!$G$1+12, "[$-ko-KR]yyyy.mm.dd")</f>
        <v>2021.05.13</v>
      </c>
      <c r="C257" s="138" t="str">
        <f t="shared" ca="1" si="78"/>
        <v/>
      </c>
      <c r="D257" s="142" t="str">
        <f t="shared" ca="1" si="79"/>
        <v/>
      </c>
      <c r="E257" s="77" t="str">
        <f t="shared" ca="1" si="80"/>
        <v/>
      </c>
      <c r="F257" s="140" t="str">
        <f t="shared" ca="1" si="81"/>
        <v/>
      </c>
      <c r="G257" s="142" t="str">
        <f t="shared" ca="1" si="82"/>
        <v/>
      </c>
      <c r="H257" s="77" t="str">
        <f t="shared" ca="1" si="83"/>
        <v/>
      </c>
      <c r="I257" s="140" t="str">
        <f t="shared" ca="1" si="84"/>
        <v/>
      </c>
      <c r="J257" s="142" t="str">
        <f t="shared" ca="1" si="85"/>
        <v/>
      </c>
      <c r="K257" s="77" t="str">
        <f t="shared" ca="1" si="86"/>
        <v/>
      </c>
      <c r="L257" s="140" t="str">
        <f t="shared" ca="1" si="87"/>
        <v/>
      </c>
      <c r="M257" s="142" t="str">
        <f t="shared" ca="1" si="88"/>
        <v/>
      </c>
      <c r="N257" s="77" t="str">
        <f t="shared" ca="1" si="89"/>
        <v/>
      </c>
      <c r="O257" s="140" t="str">
        <f t="shared" ca="1" si="90"/>
        <v/>
      </c>
    </row>
    <row r="258" spans="1:15" ht="17.25" thickBot="1">
      <c r="A258" s="161">
        <v>14</v>
      </c>
      <c r="B258" s="161" t="str">
        <f>TEXT(투자전략!$G$1+13, "[$-ko-KR]yyyy.mm.dd")</f>
        <v>2021.05.14</v>
      </c>
      <c r="C258" s="139" t="str">
        <f t="shared" ca="1" si="78"/>
        <v/>
      </c>
      <c r="D258" s="143" t="str">
        <f t="shared" ca="1" si="79"/>
        <v/>
      </c>
      <c r="E258" s="79" t="str">
        <f t="shared" ca="1" si="80"/>
        <v/>
      </c>
      <c r="F258" s="141" t="str">
        <f t="shared" ca="1" si="81"/>
        <v/>
      </c>
      <c r="G258" s="143" t="str">
        <f t="shared" ca="1" si="82"/>
        <v/>
      </c>
      <c r="H258" s="79" t="str">
        <f t="shared" ca="1" si="83"/>
        <v/>
      </c>
      <c r="I258" s="141" t="str">
        <f t="shared" ca="1" si="84"/>
        <v/>
      </c>
      <c r="J258" s="143" t="str">
        <f t="shared" ca="1" si="85"/>
        <v/>
      </c>
      <c r="K258" s="79" t="str">
        <f t="shared" ca="1" si="86"/>
        <v/>
      </c>
      <c r="L258" s="141" t="str">
        <f t="shared" ca="1" si="87"/>
        <v/>
      </c>
      <c r="M258" s="143" t="str">
        <f t="shared" ca="1" si="88"/>
        <v/>
      </c>
      <c r="N258" s="79" t="str">
        <f t="shared" ca="1" si="89"/>
        <v/>
      </c>
      <c r="O258" s="141" t="str">
        <f t="shared" ca="1" si="90"/>
        <v/>
      </c>
    </row>
    <row r="259" spans="1:15">
      <c r="A259" s="160">
        <v>15</v>
      </c>
      <c r="B259" s="160" t="str">
        <f>TEXT(투자전략!$G$1+14, "[$-ko-KR]yyyy.mm.dd")</f>
        <v>2021.05.15</v>
      </c>
      <c r="C259" s="138" t="str">
        <f t="shared" ca="1" si="78"/>
        <v/>
      </c>
      <c r="D259" s="142" t="str">
        <f t="shared" ca="1" si="79"/>
        <v/>
      </c>
      <c r="E259" s="77" t="str">
        <f t="shared" ca="1" si="80"/>
        <v/>
      </c>
      <c r="F259" s="140" t="str">
        <f t="shared" ca="1" si="81"/>
        <v/>
      </c>
      <c r="G259" s="142" t="str">
        <f t="shared" ca="1" si="82"/>
        <v/>
      </c>
      <c r="H259" s="77" t="str">
        <f t="shared" ca="1" si="83"/>
        <v/>
      </c>
      <c r="I259" s="140" t="str">
        <f t="shared" ca="1" si="84"/>
        <v/>
      </c>
      <c r="J259" s="142" t="str">
        <f t="shared" ca="1" si="85"/>
        <v/>
      </c>
      <c r="K259" s="77" t="str">
        <f t="shared" ca="1" si="86"/>
        <v/>
      </c>
      <c r="L259" s="140" t="str">
        <f t="shared" ca="1" si="87"/>
        <v/>
      </c>
      <c r="M259" s="142" t="str">
        <f t="shared" ca="1" si="88"/>
        <v/>
      </c>
      <c r="N259" s="77" t="str">
        <f t="shared" ca="1" si="89"/>
        <v/>
      </c>
      <c r="O259" s="140" t="str">
        <f t="shared" ca="1" si="90"/>
        <v/>
      </c>
    </row>
    <row r="260" spans="1:15">
      <c r="A260" s="159">
        <v>16</v>
      </c>
      <c r="B260" s="159" t="str">
        <f>TEXT(투자전략!$G$1+15, "[$-ko-KR]yyyy.mm.dd")</f>
        <v>2021.05.16</v>
      </c>
      <c r="C260" s="138" t="str">
        <f t="shared" ca="1" si="78"/>
        <v/>
      </c>
      <c r="D260" s="142" t="str">
        <f t="shared" ca="1" si="79"/>
        <v/>
      </c>
      <c r="E260" s="77" t="str">
        <f t="shared" ca="1" si="80"/>
        <v/>
      </c>
      <c r="F260" s="140" t="str">
        <f t="shared" ca="1" si="81"/>
        <v/>
      </c>
      <c r="G260" s="142" t="str">
        <f t="shared" ca="1" si="82"/>
        <v/>
      </c>
      <c r="H260" s="77" t="str">
        <f t="shared" ca="1" si="83"/>
        <v/>
      </c>
      <c r="I260" s="140" t="str">
        <f t="shared" ca="1" si="84"/>
        <v/>
      </c>
      <c r="J260" s="142" t="str">
        <f t="shared" ca="1" si="85"/>
        <v/>
      </c>
      <c r="K260" s="77" t="str">
        <f t="shared" ca="1" si="86"/>
        <v/>
      </c>
      <c r="L260" s="140" t="str">
        <f t="shared" ca="1" si="87"/>
        <v/>
      </c>
      <c r="M260" s="142" t="str">
        <f t="shared" ca="1" si="88"/>
        <v/>
      </c>
      <c r="N260" s="77" t="str">
        <f t="shared" ca="1" si="89"/>
        <v/>
      </c>
      <c r="O260" s="140" t="str">
        <f t="shared" ca="1" si="90"/>
        <v/>
      </c>
    </row>
    <row r="261" spans="1:15">
      <c r="A261" s="159">
        <v>17</v>
      </c>
      <c r="B261" s="159" t="str">
        <f>TEXT(투자전략!$G$1+16, "[$-ko-KR]yyyy.mm.dd")</f>
        <v>2021.05.17</v>
      </c>
      <c r="C261" s="138" t="str">
        <f t="shared" ca="1" si="78"/>
        <v/>
      </c>
      <c r="D261" s="142" t="str">
        <f t="shared" ca="1" si="79"/>
        <v/>
      </c>
      <c r="E261" s="77" t="str">
        <f t="shared" ca="1" si="80"/>
        <v/>
      </c>
      <c r="F261" s="140" t="str">
        <f t="shared" ca="1" si="81"/>
        <v/>
      </c>
      <c r="G261" s="142" t="str">
        <f t="shared" ca="1" si="82"/>
        <v/>
      </c>
      <c r="H261" s="77" t="str">
        <f t="shared" ca="1" si="83"/>
        <v/>
      </c>
      <c r="I261" s="140" t="str">
        <f t="shared" ca="1" si="84"/>
        <v/>
      </c>
      <c r="J261" s="142" t="str">
        <f t="shared" ca="1" si="85"/>
        <v/>
      </c>
      <c r="K261" s="77" t="str">
        <f t="shared" ca="1" si="86"/>
        <v/>
      </c>
      <c r="L261" s="140" t="str">
        <f t="shared" ca="1" si="87"/>
        <v/>
      </c>
      <c r="M261" s="142" t="str">
        <f t="shared" ca="1" si="88"/>
        <v/>
      </c>
      <c r="N261" s="77" t="str">
        <f t="shared" ca="1" si="89"/>
        <v/>
      </c>
      <c r="O261" s="140" t="str">
        <f t="shared" ca="1" si="90"/>
        <v/>
      </c>
    </row>
    <row r="262" spans="1:15">
      <c r="A262" s="159">
        <v>18</v>
      </c>
      <c r="B262" s="159" t="str">
        <f>TEXT(투자전략!$G$1+17, "[$-ko-KR]yyyy.mm.dd")</f>
        <v>2021.05.18</v>
      </c>
      <c r="C262" s="138" t="str">
        <f t="shared" ca="1" si="78"/>
        <v/>
      </c>
      <c r="D262" s="142" t="str">
        <f t="shared" ca="1" si="79"/>
        <v/>
      </c>
      <c r="E262" s="77" t="str">
        <f t="shared" ca="1" si="80"/>
        <v/>
      </c>
      <c r="F262" s="140" t="str">
        <f t="shared" ca="1" si="81"/>
        <v/>
      </c>
      <c r="G262" s="142" t="str">
        <f t="shared" ca="1" si="82"/>
        <v/>
      </c>
      <c r="H262" s="77" t="str">
        <f t="shared" ca="1" si="83"/>
        <v/>
      </c>
      <c r="I262" s="140" t="str">
        <f t="shared" ca="1" si="84"/>
        <v/>
      </c>
      <c r="J262" s="142" t="str">
        <f t="shared" ca="1" si="85"/>
        <v/>
      </c>
      <c r="K262" s="77" t="str">
        <f t="shared" ca="1" si="86"/>
        <v/>
      </c>
      <c r="L262" s="140" t="str">
        <f t="shared" ca="1" si="87"/>
        <v/>
      </c>
      <c r="M262" s="142" t="str">
        <f t="shared" ca="1" si="88"/>
        <v/>
      </c>
      <c r="N262" s="77" t="str">
        <f t="shared" ca="1" si="89"/>
        <v/>
      </c>
      <c r="O262" s="140" t="str">
        <f t="shared" ca="1" si="90"/>
        <v/>
      </c>
    </row>
    <row r="263" spans="1:15">
      <c r="A263" s="159">
        <v>19</v>
      </c>
      <c r="B263" s="159" t="str">
        <f>TEXT(투자전략!$G$1+18, "[$-ko-KR]yyyy.mm.dd")</f>
        <v>2021.05.19</v>
      </c>
      <c r="C263" s="138" t="str">
        <f t="shared" ca="1" si="78"/>
        <v/>
      </c>
      <c r="D263" s="142" t="str">
        <f t="shared" ca="1" si="79"/>
        <v/>
      </c>
      <c r="E263" s="77" t="str">
        <f t="shared" ca="1" si="80"/>
        <v/>
      </c>
      <c r="F263" s="140" t="str">
        <f t="shared" ca="1" si="81"/>
        <v/>
      </c>
      <c r="G263" s="142" t="str">
        <f t="shared" ca="1" si="82"/>
        <v/>
      </c>
      <c r="H263" s="77" t="str">
        <f t="shared" ca="1" si="83"/>
        <v/>
      </c>
      <c r="I263" s="140" t="str">
        <f t="shared" ca="1" si="84"/>
        <v/>
      </c>
      <c r="J263" s="142" t="str">
        <f t="shared" ca="1" si="85"/>
        <v/>
      </c>
      <c r="K263" s="77" t="str">
        <f t="shared" ca="1" si="86"/>
        <v/>
      </c>
      <c r="L263" s="140" t="str">
        <f t="shared" ca="1" si="87"/>
        <v/>
      </c>
      <c r="M263" s="142" t="str">
        <f t="shared" ca="1" si="88"/>
        <v/>
      </c>
      <c r="N263" s="77" t="str">
        <f t="shared" ca="1" si="89"/>
        <v/>
      </c>
      <c r="O263" s="140" t="str">
        <f t="shared" ca="1" si="90"/>
        <v/>
      </c>
    </row>
    <row r="264" spans="1:15">
      <c r="A264" s="159">
        <v>20</v>
      </c>
      <c r="B264" s="159" t="str">
        <f>TEXT(투자전략!$G$1+19, "[$-ko-KR]yyyy.mm.dd")</f>
        <v>2021.05.20</v>
      </c>
      <c r="C264" s="138" t="str">
        <f t="shared" ca="1" si="78"/>
        <v/>
      </c>
      <c r="D264" s="142" t="str">
        <f t="shared" ca="1" si="79"/>
        <v/>
      </c>
      <c r="E264" s="77" t="str">
        <f t="shared" ca="1" si="80"/>
        <v/>
      </c>
      <c r="F264" s="140" t="str">
        <f t="shared" ca="1" si="81"/>
        <v/>
      </c>
      <c r="G264" s="142" t="str">
        <f t="shared" ca="1" si="82"/>
        <v/>
      </c>
      <c r="H264" s="77" t="str">
        <f t="shared" ca="1" si="83"/>
        <v/>
      </c>
      <c r="I264" s="140" t="str">
        <f t="shared" ca="1" si="84"/>
        <v/>
      </c>
      <c r="J264" s="142" t="str">
        <f t="shared" ca="1" si="85"/>
        <v/>
      </c>
      <c r="K264" s="77" t="str">
        <f t="shared" ca="1" si="86"/>
        <v/>
      </c>
      <c r="L264" s="140" t="str">
        <f t="shared" ca="1" si="87"/>
        <v/>
      </c>
      <c r="M264" s="142" t="str">
        <f t="shared" ca="1" si="88"/>
        <v/>
      </c>
      <c r="N264" s="77" t="str">
        <f t="shared" ca="1" si="89"/>
        <v/>
      </c>
      <c r="O264" s="140" t="str">
        <f t="shared" ca="1" si="90"/>
        <v/>
      </c>
    </row>
    <row r="265" spans="1:15" ht="17.25" thickBot="1">
      <c r="A265" s="161">
        <v>21</v>
      </c>
      <c r="B265" s="161" t="str">
        <f>TEXT(투자전략!$G$1+20, "[$-ko-KR]yyyy.mm.dd")</f>
        <v>2021.05.21</v>
      </c>
      <c r="C265" s="138" t="str">
        <f t="shared" ca="1" si="78"/>
        <v/>
      </c>
      <c r="D265" s="142" t="str">
        <f t="shared" ca="1" si="79"/>
        <v/>
      </c>
      <c r="E265" s="77" t="str">
        <f t="shared" ca="1" si="80"/>
        <v/>
      </c>
      <c r="F265" s="140" t="str">
        <f t="shared" ca="1" si="81"/>
        <v/>
      </c>
      <c r="G265" s="142" t="str">
        <f t="shared" ca="1" si="82"/>
        <v/>
      </c>
      <c r="H265" s="77" t="str">
        <f t="shared" ca="1" si="83"/>
        <v/>
      </c>
      <c r="I265" s="140" t="str">
        <f t="shared" ca="1" si="84"/>
        <v/>
      </c>
      <c r="J265" s="142" t="str">
        <f t="shared" ca="1" si="85"/>
        <v/>
      </c>
      <c r="K265" s="77" t="str">
        <f t="shared" ca="1" si="86"/>
        <v/>
      </c>
      <c r="L265" s="140" t="str">
        <f t="shared" ca="1" si="87"/>
        <v/>
      </c>
      <c r="M265" s="142" t="str">
        <f t="shared" ca="1" si="88"/>
        <v/>
      </c>
      <c r="N265" s="77" t="str">
        <f t="shared" ca="1" si="89"/>
        <v/>
      </c>
      <c r="O265" s="140" t="str">
        <f t="shared" ca="1" si="90"/>
        <v/>
      </c>
    </row>
    <row r="266" spans="1:15">
      <c r="A266" s="160">
        <v>22</v>
      </c>
      <c r="B266" s="160" t="str">
        <f>TEXT(투자전략!$G$1+21, "[$-ko-KR]yyyy.mm.dd")</f>
        <v>2021.05.22</v>
      </c>
      <c r="C266" s="137" t="str">
        <f t="shared" ca="1" si="78"/>
        <v/>
      </c>
      <c r="D266" s="145" t="str">
        <f t="shared" ca="1" si="79"/>
        <v/>
      </c>
      <c r="E266" s="76" t="str">
        <f t="shared" ca="1" si="80"/>
        <v/>
      </c>
      <c r="F266" s="144" t="str">
        <f t="shared" ca="1" si="81"/>
        <v/>
      </c>
      <c r="G266" s="145" t="str">
        <f t="shared" ca="1" si="82"/>
        <v/>
      </c>
      <c r="H266" s="76" t="str">
        <f t="shared" ca="1" si="83"/>
        <v/>
      </c>
      <c r="I266" s="144" t="str">
        <f t="shared" ca="1" si="84"/>
        <v/>
      </c>
      <c r="J266" s="145" t="str">
        <f t="shared" ca="1" si="85"/>
        <v/>
      </c>
      <c r="K266" s="76" t="str">
        <f t="shared" ca="1" si="86"/>
        <v/>
      </c>
      <c r="L266" s="144" t="str">
        <f t="shared" ca="1" si="87"/>
        <v/>
      </c>
      <c r="M266" s="145" t="str">
        <f t="shared" ca="1" si="88"/>
        <v/>
      </c>
      <c r="N266" s="76" t="str">
        <f t="shared" ca="1" si="89"/>
        <v/>
      </c>
      <c r="O266" s="144" t="str">
        <f t="shared" ca="1" si="90"/>
        <v/>
      </c>
    </row>
    <row r="267" spans="1:15">
      <c r="A267" s="159">
        <v>23</v>
      </c>
      <c r="B267" s="159" t="str">
        <f>TEXT(투자전략!$G$1+22, "[$-ko-KR]yyyy.mm.dd")</f>
        <v>2021.05.23</v>
      </c>
      <c r="C267" s="138" t="str">
        <f t="shared" ca="1" si="78"/>
        <v/>
      </c>
      <c r="D267" s="142" t="str">
        <f t="shared" ca="1" si="79"/>
        <v/>
      </c>
      <c r="E267" s="77" t="str">
        <f t="shared" ca="1" si="80"/>
        <v/>
      </c>
      <c r="F267" s="140" t="str">
        <f t="shared" ca="1" si="81"/>
        <v/>
      </c>
      <c r="G267" s="142" t="str">
        <f t="shared" ca="1" si="82"/>
        <v/>
      </c>
      <c r="H267" s="77" t="str">
        <f t="shared" ca="1" si="83"/>
        <v/>
      </c>
      <c r="I267" s="140" t="str">
        <f t="shared" ca="1" si="84"/>
        <v/>
      </c>
      <c r="J267" s="142" t="str">
        <f t="shared" ca="1" si="85"/>
        <v/>
      </c>
      <c r="K267" s="77" t="str">
        <f t="shared" ca="1" si="86"/>
        <v/>
      </c>
      <c r="L267" s="140" t="str">
        <f t="shared" ca="1" si="87"/>
        <v/>
      </c>
      <c r="M267" s="142" t="str">
        <f t="shared" ca="1" si="88"/>
        <v/>
      </c>
      <c r="N267" s="77" t="str">
        <f t="shared" ca="1" si="89"/>
        <v/>
      </c>
      <c r="O267" s="140" t="str">
        <f t="shared" ca="1" si="90"/>
        <v/>
      </c>
    </row>
    <row r="268" spans="1:15">
      <c r="A268" s="159">
        <v>24</v>
      </c>
      <c r="B268" s="159" t="str">
        <f>TEXT(투자전략!$G$1+23, "[$-ko-KR]yyyy.mm.dd")</f>
        <v>2021.05.24</v>
      </c>
      <c r="C268" s="138" t="str">
        <f t="shared" ca="1" si="78"/>
        <v/>
      </c>
      <c r="D268" s="142" t="str">
        <f t="shared" ca="1" si="79"/>
        <v/>
      </c>
      <c r="E268" s="77" t="str">
        <f t="shared" ca="1" si="80"/>
        <v/>
      </c>
      <c r="F268" s="140" t="str">
        <f t="shared" ca="1" si="81"/>
        <v/>
      </c>
      <c r="G268" s="142" t="str">
        <f t="shared" ca="1" si="82"/>
        <v/>
      </c>
      <c r="H268" s="77" t="str">
        <f t="shared" ca="1" si="83"/>
        <v/>
      </c>
      <c r="I268" s="140" t="str">
        <f t="shared" ca="1" si="84"/>
        <v/>
      </c>
      <c r="J268" s="142" t="str">
        <f t="shared" ca="1" si="85"/>
        <v/>
      </c>
      <c r="K268" s="77" t="str">
        <f t="shared" ca="1" si="86"/>
        <v/>
      </c>
      <c r="L268" s="140" t="str">
        <f t="shared" ca="1" si="87"/>
        <v/>
      </c>
      <c r="M268" s="142" t="str">
        <f t="shared" ca="1" si="88"/>
        <v/>
      </c>
      <c r="N268" s="77" t="str">
        <f t="shared" ca="1" si="89"/>
        <v/>
      </c>
      <c r="O268" s="140" t="str">
        <f t="shared" ca="1" si="90"/>
        <v/>
      </c>
    </row>
    <row r="269" spans="1:15">
      <c r="A269" s="159">
        <v>25</v>
      </c>
      <c r="B269" s="159" t="str">
        <f>TEXT(투자전략!$G$1+24, "[$-ko-KR]yyyy.mm.dd")</f>
        <v>2021.05.25</v>
      </c>
      <c r="C269" s="138" t="str">
        <f t="shared" ca="1" si="78"/>
        <v/>
      </c>
      <c r="D269" s="142" t="str">
        <f t="shared" ca="1" si="79"/>
        <v/>
      </c>
      <c r="E269" s="77" t="str">
        <f t="shared" ca="1" si="80"/>
        <v/>
      </c>
      <c r="F269" s="140" t="str">
        <f t="shared" ca="1" si="81"/>
        <v/>
      </c>
      <c r="G269" s="142" t="str">
        <f t="shared" ca="1" si="82"/>
        <v/>
      </c>
      <c r="H269" s="77" t="str">
        <f t="shared" ca="1" si="83"/>
        <v/>
      </c>
      <c r="I269" s="140" t="str">
        <f t="shared" ca="1" si="84"/>
        <v/>
      </c>
      <c r="J269" s="142" t="str">
        <f t="shared" ca="1" si="85"/>
        <v/>
      </c>
      <c r="K269" s="77" t="str">
        <f t="shared" ca="1" si="86"/>
        <v/>
      </c>
      <c r="L269" s="140" t="str">
        <f t="shared" ca="1" si="87"/>
        <v/>
      </c>
      <c r="M269" s="142" t="str">
        <f t="shared" ca="1" si="88"/>
        <v/>
      </c>
      <c r="N269" s="77" t="str">
        <f t="shared" ca="1" si="89"/>
        <v/>
      </c>
      <c r="O269" s="140" t="str">
        <f t="shared" ca="1" si="90"/>
        <v/>
      </c>
    </row>
    <row r="270" spans="1:15">
      <c r="A270" s="159">
        <v>26</v>
      </c>
      <c r="B270" s="159" t="str">
        <f>TEXT(투자전략!$G$1+25, "[$-ko-KR]yyyy.mm.dd")</f>
        <v>2021.05.26</v>
      </c>
      <c r="C270" s="138" t="str">
        <f t="shared" ca="1" si="78"/>
        <v/>
      </c>
      <c r="D270" s="142" t="str">
        <f t="shared" ca="1" si="79"/>
        <v/>
      </c>
      <c r="E270" s="77" t="str">
        <f t="shared" ca="1" si="80"/>
        <v/>
      </c>
      <c r="F270" s="140" t="str">
        <f t="shared" ca="1" si="81"/>
        <v/>
      </c>
      <c r="G270" s="142" t="str">
        <f t="shared" ca="1" si="82"/>
        <v/>
      </c>
      <c r="H270" s="77" t="str">
        <f t="shared" ca="1" si="83"/>
        <v/>
      </c>
      <c r="I270" s="140" t="str">
        <f t="shared" ca="1" si="84"/>
        <v/>
      </c>
      <c r="J270" s="142" t="str">
        <f t="shared" ca="1" si="85"/>
        <v/>
      </c>
      <c r="K270" s="77" t="str">
        <f t="shared" ca="1" si="86"/>
        <v/>
      </c>
      <c r="L270" s="140" t="str">
        <f t="shared" ca="1" si="87"/>
        <v/>
      </c>
      <c r="M270" s="142" t="str">
        <f t="shared" ca="1" si="88"/>
        <v/>
      </c>
      <c r="N270" s="77" t="str">
        <f t="shared" ca="1" si="89"/>
        <v/>
      </c>
      <c r="O270" s="140" t="str">
        <f t="shared" ca="1" si="90"/>
        <v/>
      </c>
    </row>
    <row r="271" spans="1:15">
      <c r="A271" s="159">
        <v>27</v>
      </c>
      <c r="B271" s="159" t="str">
        <f>TEXT(투자전략!$G$1+26, "[$-ko-KR]yyyy.mm.dd")</f>
        <v>2021.05.27</v>
      </c>
      <c r="C271" s="138" t="str">
        <f t="shared" ca="1" si="78"/>
        <v/>
      </c>
      <c r="D271" s="142" t="str">
        <f t="shared" ca="1" si="79"/>
        <v/>
      </c>
      <c r="E271" s="77" t="str">
        <f t="shared" ca="1" si="80"/>
        <v/>
      </c>
      <c r="F271" s="140" t="str">
        <f t="shared" ca="1" si="81"/>
        <v/>
      </c>
      <c r="G271" s="142" t="str">
        <f t="shared" ca="1" si="82"/>
        <v/>
      </c>
      <c r="H271" s="77" t="str">
        <f t="shared" ca="1" si="83"/>
        <v/>
      </c>
      <c r="I271" s="140" t="str">
        <f t="shared" ca="1" si="84"/>
        <v/>
      </c>
      <c r="J271" s="142" t="str">
        <f t="shared" ca="1" si="85"/>
        <v/>
      </c>
      <c r="K271" s="77" t="str">
        <f t="shared" ca="1" si="86"/>
        <v/>
      </c>
      <c r="L271" s="140" t="str">
        <f t="shared" ca="1" si="87"/>
        <v/>
      </c>
      <c r="M271" s="142" t="str">
        <f t="shared" ca="1" si="88"/>
        <v/>
      </c>
      <c r="N271" s="77" t="str">
        <f t="shared" ca="1" si="89"/>
        <v/>
      </c>
      <c r="O271" s="140" t="str">
        <f t="shared" ca="1" si="90"/>
        <v/>
      </c>
    </row>
    <row r="272" spans="1:15" ht="17.25" thickBot="1">
      <c r="A272" s="161">
        <v>28</v>
      </c>
      <c r="B272" s="161" t="str">
        <f>TEXT(투자전략!$G$1+27, "[$-ko-KR]yyyy.mm.dd")</f>
        <v>2021.05.28</v>
      </c>
      <c r="C272" s="139" t="str">
        <f t="shared" ca="1" si="78"/>
        <v/>
      </c>
      <c r="D272" s="143" t="str">
        <f t="shared" ca="1" si="79"/>
        <v/>
      </c>
      <c r="E272" s="79" t="str">
        <f t="shared" ca="1" si="80"/>
        <v/>
      </c>
      <c r="F272" s="141" t="str">
        <f t="shared" ca="1" si="81"/>
        <v/>
      </c>
      <c r="G272" s="143" t="str">
        <f t="shared" ca="1" si="82"/>
        <v/>
      </c>
      <c r="H272" s="79" t="str">
        <f t="shared" ca="1" si="83"/>
        <v/>
      </c>
      <c r="I272" s="141" t="str">
        <f t="shared" ca="1" si="84"/>
        <v/>
      </c>
      <c r="J272" s="143" t="str">
        <f t="shared" ca="1" si="85"/>
        <v/>
      </c>
      <c r="K272" s="79" t="str">
        <f t="shared" ca="1" si="86"/>
        <v/>
      </c>
      <c r="L272" s="141" t="str">
        <f t="shared" ca="1" si="87"/>
        <v/>
      </c>
      <c r="M272" s="143" t="str">
        <f t="shared" ca="1" si="88"/>
        <v/>
      </c>
      <c r="N272" s="79" t="str">
        <f t="shared" ca="1" si="89"/>
        <v/>
      </c>
      <c r="O272" s="141" t="str">
        <f t="shared" ca="1" si="90"/>
        <v/>
      </c>
    </row>
    <row r="273" spans="1:15">
      <c r="A273" s="124">
        <v>29</v>
      </c>
      <c r="B273" s="160" t="str">
        <f>TEXT(투자전략!$G$1+28, "[$-ko-KR]yyyy.mm.dd")</f>
        <v>2021.05.29</v>
      </c>
      <c r="C273" s="138" t="str">
        <f t="shared" ca="1" si="78"/>
        <v/>
      </c>
      <c r="D273" s="142" t="str">
        <f t="shared" ca="1" si="79"/>
        <v/>
      </c>
      <c r="E273" s="77" t="str">
        <f t="shared" ca="1" si="80"/>
        <v/>
      </c>
      <c r="F273" s="140" t="str">
        <f t="shared" ca="1" si="81"/>
        <v/>
      </c>
      <c r="G273" s="142" t="str">
        <f t="shared" ca="1" si="82"/>
        <v/>
      </c>
      <c r="H273" s="77" t="str">
        <f t="shared" ca="1" si="83"/>
        <v/>
      </c>
      <c r="I273" s="140" t="str">
        <f t="shared" ca="1" si="84"/>
        <v/>
      </c>
      <c r="J273" s="142" t="str">
        <f t="shared" ca="1" si="85"/>
        <v/>
      </c>
      <c r="K273" s="77" t="str">
        <f t="shared" ca="1" si="86"/>
        <v/>
      </c>
      <c r="L273" s="140" t="str">
        <f t="shared" ca="1" si="87"/>
        <v/>
      </c>
      <c r="M273" s="142" t="str">
        <f t="shared" ca="1" si="88"/>
        <v/>
      </c>
      <c r="N273" s="77" t="str">
        <f t="shared" ca="1" si="89"/>
        <v/>
      </c>
      <c r="O273" s="140" t="str">
        <f t="shared" ca="1" si="90"/>
        <v/>
      </c>
    </row>
    <row r="274" spans="1:15">
      <c r="A274" s="124">
        <v>30</v>
      </c>
      <c r="B274" s="159" t="str">
        <f>TEXT(투자전략!$G$1+29, "[$-ko-KR]yyyy.mm.dd")</f>
        <v>2021.05.30</v>
      </c>
      <c r="C274" s="138" t="str">
        <f t="shared" ca="1" si="78"/>
        <v/>
      </c>
      <c r="D274" s="142" t="str">
        <f t="shared" ca="1" si="79"/>
        <v/>
      </c>
      <c r="E274" s="77" t="str">
        <f t="shared" ca="1" si="80"/>
        <v/>
      </c>
      <c r="F274" s="140" t="str">
        <f t="shared" ca="1" si="81"/>
        <v/>
      </c>
      <c r="G274" s="142" t="str">
        <f t="shared" ca="1" si="82"/>
        <v/>
      </c>
      <c r="H274" s="77" t="str">
        <f t="shared" ca="1" si="83"/>
        <v/>
      </c>
      <c r="I274" s="140" t="str">
        <f t="shared" ca="1" si="84"/>
        <v/>
      </c>
      <c r="J274" s="142" t="str">
        <f t="shared" ca="1" si="85"/>
        <v/>
      </c>
      <c r="K274" s="77" t="str">
        <f t="shared" ca="1" si="86"/>
        <v/>
      </c>
      <c r="L274" s="140" t="str">
        <f t="shared" ca="1" si="87"/>
        <v/>
      </c>
      <c r="M274" s="142" t="str">
        <f t="shared" ca="1" si="88"/>
        <v/>
      </c>
      <c r="N274" s="77" t="str">
        <f t="shared" ca="1" si="89"/>
        <v/>
      </c>
      <c r="O274" s="140" t="str">
        <f t="shared" ca="1" si="90"/>
        <v/>
      </c>
    </row>
    <row r="275" spans="1:15" ht="17.25" thickBot="1">
      <c r="A275" s="124">
        <v>31</v>
      </c>
      <c r="B275" s="159" t="str">
        <f>TEXT(투자전략!$G$1+30, "[$-ko-KR]yyyy.mm.dd")</f>
        <v>2021.05.31</v>
      </c>
      <c r="C275" s="139" t="str">
        <f t="shared" ca="1" si="78"/>
        <v/>
      </c>
      <c r="D275" s="143" t="str">
        <f t="shared" ca="1" si="79"/>
        <v/>
      </c>
      <c r="E275" s="79" t="str">
        <f t="shared" ca="1" si="80"/>
        <v/>
      </c>
      <c r="F275" s="141" t="str">
        <f t="shared" ca="1" si="81"/>
        <v/>
      </c>
      <c r="G275" s="143" t="str">
        <f t="shared" ca="1" si="82"/>
        <v/>
      </c>
      <c r="H275" s="79" t="str">
        <f t="shared" ca="1" si="83"/>
        <v/>
      </c>
      <c r="I275" s="141" t="str">
        <f t="shared" ca="1" si="84"/>
        <v/>
      </c>
      <c r="J275" s="143" t="str">
        <f t="shared" ca="1" si="85"/>
        <v/>
      </c>
      <c r="K275" s="79" t="str">
        <f t="shared" ca="1" si="86"/>
        <v/>
      </c>
      <c r="L275" s="141" t="str">
        <f t="shared" ca="1" si="87"/>
        <v/>
      </c>
      <c r="M275" s="143" t="str">
        <f t="shared" ca="1" si="88"/>
        <v/>
      </c>
      <c r="N275" s="79" t="str">
        <f t="shared" ca="1" si="89"/>
        <v/>
      </c>
      <c r="O275" s="141" t="str">
        <f t="shared" ca="1" si="90"/>
        <v/>
      </c>
    </row>
    <row r="276" spans="1:15" ht="17.25" thickBot="1">
      <c r="A276" s="213" t="s">
        <v>319</v>
      </c>
      <c r="B276" s="215"/>
      <c r="C276" s="135" t="s">
        <v>314</v>
      </c>
      <c r="D276" s="153" t="s">
        <v>315</v>
      </c>
      <c r="E276" s="154" t="s">
        <v>316</v>
      </c>
      <c r="F276" s="155" t="s">
        <v>317</v>
      </c>
      <c r="G276" s="153" t="s">
        <v>315</v>
      </c>
      <c r="H276" s="154" t="s">
        <v>316</v>
      </c>
      <c r="I276" s="155" t="s">
        <v>317</v>
      </c>
      <c r="J276" s="153" t="s">
        <v>315</v>
      </c>
      <c r="K276" s="154" t="s">
        <v>316</v>
      </c>
      <c r="L276" s="155" t="s">
        <v>317</v>
      </c>
      <c r="M276" s="153" t="s">
        <v>315</v>
      </c>
      <c r="N276" s="154" t="s">
        <v>316</v>
      </c>
      <c r="O276" s="155" t="s">
        <v>317</v>
      </c>
    </row>
    <row r="277" spans="1:15" ht="17.25" thickBot="1">
      <c r="A277" s="206"/>
      <c r="B277" s="208"/>
      <c r="C277" s="139">
        <f ca="1">SUM(C245:C275)</f>
        <v>27000000</v>
      </c>
      <c r="D277" s="143">
        <f ca="1">SUM(D245:D275)</f>
        <v>26676865.201423828</v>
      </c>
      <c r="E277" s="79">
        <f ca="1">IFERROR(F277 / (SUM($C245:$C275) / COUNT($C245:$C275)), 0)</f>
        <v>-5.9839777514106331E-2</v>
      </c>
      <c r="F277" s="141">
        <f ca="1">SUM(F245:F275)</f>
        <v>-323134.79857617419</v>
      </c>
      <c r="G277" s="143">
        <f ca="1">SUM(G245:G275)</f>
        <v>26847147.140570588</v>
      </c>
      <c r="H277" s="79">
        <f ca="1">IFERROR(I277 / (SUM($C245:$C275) / COUNT($C245:$C275)), 0)</f>
        <v>-2.8306085079520728E-2</v>
      </c>
      <c r="I277" s="141">
        <f ca="1">SUM(I245:I275)</f>
        <v>-152852.85942941194</v>
      </c>
      <c r="J277" s="143">
        <f ca="1">SUM(J245:J275)</f>
        <v>26860910.273386881</v>
      </c>
      <c r="K277" s="79">
        <f ca="1">IFERROR(L277 / (SUM($C245:$C275) / COUNT($C245:$C275)), 0)</f>
        <v>-2.5757356780208109E-2</v>
      </c>
      <c r="L277" s="141">
        <f ca="1">SUM(L245:L275)</f>
        <v>-139089.72661312378</v>
      </c>
      <c r="M277" s="143">
        <f ca="1">SUM(M245:M275)</f>
        <v>26784558.954403993</v>
      </c>
      <c r="N277" s="79">
        <f ca="1">IFERROR(O277 / (SUM($C245:$C275) / COUNT($C245:$C275)), 0)</f>
        <v>-3.9896489925185893E-2</v>
      </c>
      <c r="O277" s="141">
        <f ca="1">SUM(O245:O275)</f>
        <v>-215441.04559600382</v>
      </c>
    </row>
  </sheetData>
  <mergeCells count="89">
    <mergeCell ref="J15:L15"/>
    <mergeCell ref="G6:I6"/>
    <mergeCell ref="K4:O4"/>
    <mergeCell ref="K8:O8"/>
    <mergeCell ref="B5:F5"/>
    <mergeCell ref="G7:I7"/>
    <mergeCell ref="K5:O5"/>
    <mergeCell ref="B6:F6"/>
    <mergeCell ref="G8:I8"/>
    <mergeCell ref="K6:O6"/>
    <mergeCell ref="B7:F7"/>
    <mergeCell ref="K7:O7"/>
    <mergeCell ref="B8:F8"/>
    <mergeCell ref="G5:I5"/>
    <mergeCell ref="A1:F1"/>
    <mergeCell ref="G1:I1"/>
    <mergeCell ref="J1:O1"/>
    <mergeCell ref="B2:F2"/>
    <mergeCell ref="G4:I4"/>
    <mergeCell ref="K2:O2"/>
    <mergeCell ref="G2:I2"/>
    <mergeCell ref="B3:F3"/>
    <mergeCell ref="G3:I3"/>
    <mergeCell ref="K3:O3"/>
    <mergeCell ref="B4:F4"/>
    <mergeCell ref="A52:O52"/>
    <mergeCell ref="A53:A54"/>
    <mergeCell ref="B53:C53"/>
    <mergeCell ref="D53:F53"/>
    <mergeCell ref="G53:I53"/>
    <mergeCell ref="J53:L53"/>
    <mergeCell ref="M53:O53"/>
    <mergeCell ref="A48:B49"/>
    <mergeCell ref="A14:O14"/>
    <mergeCell ref="A15:A16"/>
    <mergeCell ref="B9:F9"/>
    <mergeCell ref="G11:I11"/>
    <mergeCell ref="K9:O9"/>
    <mergeCell ref="K11:O11"/>
    <mergeCell ref="M15:O15"/>
    <mergeCell ref="B15:C15"/>
    <mergeCell ref="K10:O10"/>
    <mergeCell ref="B11:F11"/>
    <mergeCell ref="G10:I10"/>
    <mergeCell ref="G9:I9"/>
    <mergeCell ref="B10:F10"/>
    <mergeCell ref="D15:F15"/>
    <mergeCell ref="G15:I15"/>
    <mergeCell ref="A86:B87"/>
    <mergeCell ref="A90:O90"/>
    <mergeCell ref="A91:A92"/>
    <mergeCell ref="B91:C91"/>
    <mergeCell ref="D91:F91"/>
    <mergeCell ref="G91:I91"/>
    <mergeCell ref="J91:L91"/>
    <mergeCell ref="M91:O91"/>
    <mergeCell ref="A124:B125"/>
    <mergeCell ref="A128:O128"/>
    <mergeCell ref="A129:A130"/>
    <mergeCell ref="B129:C129"/>
    <mergeCell ref="D129:F129"/>
    <mergeCell ref="G129:I129"/>
    <mergeCell ref="J129:L129"/>
    <mergeCell ref="M129:O129"/>
    <mergeCell ref="A162:B163"/>
    <mergeCell ref="A166:O166"/>
    <mergeCell ref="A167:A168"/>
    <mergeCell ref="B167:C167"/>
    <mergeCell ref="D167:F167"/>
    <mergeCell ref="G167:I167"/>
    <mergeCell ref="J167:L167"/>
    <mergeCell ref="M167:O167"/>
    <mergeCell ref="A200:B201"/>
    <mergeCell ref="A204:O204"/>
    <mergeCell ref="A205:A206"/>
    <mergeCell ref="B205:C205"/>
    <mergeCell ref="D205:F205"/>
    <mergeCell ref="G205:I205"/>
    <mergeCell ref="J205:L205"/>
    <mergeCell ref="M205:O205"/>
    <mergeCell ref="A276:B277"/>
    <mergeCell ref="A238:B239"/>
    <mergeCell ref="A242:O242"/>
    <mergeCell ref="A243:A244"/>
    <mergeCell ref="B243:C243"/>
    <mergeCell ref="D243:F243"/>
    <mergeCell ref="G243:I243"/>
    <mergeCell ref="J243:L243"/>
    <mergeCell ref="M243:O243"/>
  </mergeCells>
  <phoneticPr fontId="1" type="noConversion"/>
  <conditionalFormatting sqref="D15:F16 E49:F49">
    <cfRule type="expression" dxfId="1069" priority="178">
      <formula>$E$49 &gt; 0</formula>
    </cfRule>
    <cfRule type="expression" dxfId="1068" priority="179">
      <formula>$E$49 = 0</formula>
    </cfRule>
    <cfRule type="expression" dxfId="1067" priority="180">
      <formula>$E$49 &lt; 0</formula>
    </cfRule>
  </conditionalFormatting>
  <conditionalFormatting sqref="G15:I16 H49:I49">
    <cfRule type="expression" dxfId="1066" priority="175">
      <formula>$H$49 &gt; 0</formula>
    </cfRule>
    <cfRule type="expression" dxfId="1065" priority="176">
      <formula>$H$49 = 0</formula>
    </cfRule>
    <cfRule type="expression" dxfId="1064" priority="177">
      <formula>$H$49 &lt; 0</formula>
    </cfRule>
  </conditionalFormatting>
  <conditionalFormatting sqref="J15:L16 K49:L49">
    <cfRule type="expression" dxfId="1063" priority="172">
      <formula>$K$49 &gt; 0</formula>
    </cfRule>
    <cfRule type="expression" dxfId="1062" priority="173">
      <formula>$K$49 = 0</formula>
    </cfRule>
    <cfRule type="expression" dxfId="1061" priority="174">
      <formula>$K$49 &lt; 0</formula>
    </cfRule>
  </conditionalFormatting>
  <conditionalFormatting sqref="M15:O16 N49:O49">
    <cfRule type="expression" dxfId="1060" priority="169">
      <formula>$N$49 &gt; 0</formula>
    </cfRule>
    <cfRule type="expression" dxfId="1059" priority="170">
      <formula>$N$49 = 0</formula>
    </cfRule>
    <cfRule type="expression" dxfId="1058" priority="171">
      <formula>$N$49 &lt; 0</formula>
    </cfRule>
  </conditionalFormatting>
  <conditionalFormatting sqref="G4:I5">
    <cfRule type="expression" dxfId="1057" priority="166">
      <formula>$F$49 &gt; 0</formula>
    </cfRule>
    <cfRule type="expression" dxfId="1056" priority="167">
      <formula>$F$49 = 0</formula>
    </cfRule>
    <cfRule type="expression" dxfId="1055" priority="168">
      <formula>$F$49 &lt; 0</formula>
    </cfRule>
  </conditionalFormatting>
  <conditionalFormatting sqref="G6:I7">
    <cfRule type="expression" dxfId="1054" priority="163">
      <formula>$I$49 &gt; 0</formula>
    </cfRule>
    <cfRule type="expression" dxfId="1053" priority="164">
      <formula>$I$49 = 0</formula>
    </cfRule>
    <cfRule type="expression" dxfId="1052" priority="165">
      <formula>$I$49 &lt; 0</formula>
    </cfRule>
  </conditionalFormatting>
  <conditionalFormatting sqref="G8:I9">
    <cfRule type="expression" dxfId="1051" priority="160">
      <formula>$L$49 &gt; 0</formula>
    </cfRule>
    <cfRule type="expression" dxfId="1050" priority="161">
      <formula>$L$49 = 0</formula>
    </cfRule>
    <cfRule type="expression" dxfId="1049" priority="162">
      <formula>$L$49 &lt; 0</formula>
    </cfRule>
  </conditionalFormatting>
  <conditionalFormatting sqref="G10:I11">
    <cfRule type="expression" dxfId="1048" priority="157">
      <formula>$O$49 &gt; 0</formula>
    </cfRule>
    <cfRule type="expression" dxfId="1047" priority="158">
      <formula>$O$49 = 0</formula>
    </cfRule>
    <cfRule type="expression" dxfId="1046" priority="159">
      <formula>$O$49 &lt; 0</formula>
    </cfRule>
  </conditionalFormatting>
  <conditionalFormatting sqref="D17:F47">
    <cfRule type="expression" dxfId="1045" priority="154">
      <formula>AND($E17 &gt; 0, ISNUMBER($E17))</formula>
    </cfRule>
    <cfRule type="expression" dxfId="1044" priority="155">
      <formula>AND($E17 = 0, ISNUMBER($E17))</formula>
    </cfRule>
    <cfRule type="expression" dxfId="1043" priority="156">
      <formula>AND($E17 &lt; 0, ISNUMBER($E17))</formula>
    </cfRule>
  </conditionalFormatting>
  <conditionalFormatting sqref="G17:I47">
    <cfRule type="expression" dxfId="1042" priority="151">
      <formula>AND($H17 &gt; 0, ISNUMBER($H17))</formula>
    </cfRule>
    <cfRule type="expression" dxfId="1041" priority="152">
      <formula>AND($H17 = 0, ISNUMBER($H17))</formula>
    </cfRule>
    <cfRule type="expression" dxfId="1040" priority="153">
      <formula>AND($H17 &lt; 0, ISNUMBER($H17))</formula>
    </cfRule>
  </conditionalFormatting>
  <conditionalFormatting sqref="J17:L47">
    <cfRule type="expression" dxfId="1039" priority="148">
      <formula>AND($K17 &gt; 0, ISNUMBER($K17))</formula>
    </cfRule>
    <cfRule type="expression" dxfId="1038" priority="149">
      <formula>AND($K17 = 0, ISNUMBER($K17))</formula>
    </cfRule>
    <cfRule type="expression" dxfId="1037" priority="150">
      <formula>AND($K17 &lt; 0, ISNUMBER($K17))</formula>
    </cfRule>
  </conditionalFormatting>
  <conditionalFormatting sqref="M17:O47">
    <cfRule type="expression" dxfId="1036" priority="145">
      <formula>AND($N17 &gt; 0, ISNUMBER($N17))</formula>
    </cfRule>
    <cfRule type="expression" dxfId="1035" priority="146">
      <formula>AND($N17 = 0, ISNUMBER($N17))</formula>
    </cfRule>
    <cfRule type="expression" dxfId="1034" priority="147">
      <formula>AND($N17 &lt; 0, ISNUMBER($N17))</formula>
    </cfRule>
  </conditionalFormatting>
  <conditionalFormatting sqref="D53:F54 E87:F87">
    <cfRule type="expression" dxfId="1033" priority="142">
      <formula>$E$87 &gt; 0</formula>
    </cfRule>
    <cfRule type="expression" dxfId="1032" priority="143">
      <formula>$E$87 = 0</formula>
    </cfRule>
    <cfRule type="expression" dxfId="1031" priority="144">
      <formula>$E$87 &lt; 0</formula>
    </cfRule>
  </conditionalFormatting>
  <conditionalFormatting sqref="G53:I54 H87:I87">
    <cfRule type="expression" dxfId="1030" priority="139">
      <formula>$H$87 &gt; 0</formula>
    </cfRule>
    <cfRule type="expression" dxfId="1029" priority="140">
      <formula>$H$87 = 0</formula>
    </cfRule>
    <cfRule type="expression" dxfId="1028" priority="141">
      <formula>$H$87 &lt; 0</formula>
    </cfRule>
  </conditionalFormatting>
  <conditionalFormatting sqref="J53:L54 K87:L87">
    <cfRule type="expression" dxfId="1027" priority="136">
      <formula>$K$87 &gt; 0</formula>
    </cfRule>
    <cfRule type="expression" dxfId="1026" priority="137">
      <formula>$K$87 = 0</formula>
    </cfRule>
    <cfRule type="expression" dxfId="1025" priority="138">
      <formula>$K$87 &lt; 0</formula>
    </cfRule>
  </conditionalFormatting>
  <conditionalFormatting sqref="M53:O54 N87:O87">
    <cfRule type="expression" dxfId="1024" priority="133">
      <formula>$N$87 &gt; 0</formula>
    </cfRule>
    <cfRule type="expression" dxfId="1023" priority="134">
      <formula>$N$87 = 0</formula>
    </cfRule>
    <cfRule type="expression" dxfId="1022" priority="135">
      <formula>$N$87 &lt; 0</formula>
    </cfRule>
  </conditionalFormatting>
  <conditionalFormatting sqref="D55:F85">
    <cfRule type="expression" dxfId="1021" priority="130">
      <formula>AND($E55 &gt; 0, ISNUMBER($E55))</formula>
    </cfRule>
    <cfRule type="expression" dxfId="1020" priority="131">
      <formula>AND($E55 = 0, ISNUMBER($E55))</formula>
    </cfRule>
    <cfRule type="expression" dxfId="1019" priority="132">
      <formula>AND($E55 &lt; 0, ISNUMBER($E55))</formula>
    </cfRule>
  </conditionalFormatting>
  <conditionalFormatting sqref="G55:I85">
    <cfRule type="expression" dxfId="1018" priority="127">
      <formula>AND($H55 &gt; 0, ISNUMBER($H55))</formula>
    </cfRule>
    <cfRule type="expression" dxfId="1017" priority="128">
      <formula>AND($H55 = 0, ISNUMBER($H55))</formula>
    </cfRule>
    <cfRule type="expression" dxfId="1016" priority="129">
      <formula>AND($H55 &lt; 0, ISNUMBER($H55))</formula>
    </cfRule>
  </conditionalFormatting>
  <conditionalFormatting sqref="J55:L85">
    <cfRule type="expression" dxfId="1015" priority="124">
      <formula>AND($K55 &gt; 0, ISNUMBER($K55))</formula>
    </cfRule>
    <cfRule type="expression" dxfId="1014" priority="125">
      <formula>AND($K55 = 0, ISNUMBER($K55))</formula>
    </cfRule>
    <cfRule type="expression" dxfId="1013" priority="126">
      <formula>AND($K55 &lt; 0, ISNUMBER($K55))</formula>
    </cfRule>
  </conditionalFormatting>
  <conditionalFormatting sqref="M55:O85">
    <cfRule type="expression" dxfId="1012" priority="121">
      <formula>AND($N55 &gt; 0, ISNUMBER($N55))</formula>
    </cfRule>
    <cfRule type="expression" dxfId="1011" priority="122">
      <formula>AND($N55 = 0, ISNUMBER($N55))</formula>
    </cfRule>
    <cfRule type="expression" dxfId="1010" priority="123">
      <formula>AND($N55 &lt; 0, ISNUMBER($N55))</formula>
    </cfRule>
  </conditionalFormatting>
  <conditionalFormatting sqref="D91:F92 E125:F125">
    <cfRule type="expression" dxfId="1009" priority="118">
      <formula>$E$125 &gt; 0</formula>
    </cfRule>
    <cfRule type="expression" dxfId="1008" priority="119">
      <formula>$E$125 = 0</formula>
    </cfRule>
    <cfRule type="expression" dxfId="1007" priority="120">
      <formula>$E$125 &lt; 0</formula>
    </cfRule>
  </conditionalFormatting>
  <conditionalFormatting sqref="G91:I92 H125:I125">
    <cfRule type="expression" dxfId="1006" priority="115">
      <formula>$H$125 &gt; 0</formula>
    </cfRule>
    <cfRule type="expression" dxfId="1005" priority="116">
      <formula>$H$125 = 0</formula>
    </cfRule>
    <cfRule type="expression" dxfId="1004" priority="117">
      <formula>$H$125 &lt; 0</formula>
    </cfRule>
  </conditionalFormatting>
  <conditionalFormatting sqref="J91:L92 K125:L125">
    <cfRule type="expression" dxfId="1003" priority="112">
      <formula>$K$125 &gt; 0</formula>
    </cfRule>
    <cfRule type="expression" dxfId="1002" priority="113">
      <formula>$K$125 = 0</formula>
    </cfRule>
    <cfRule type="expression" dxfId="1001" priority="114">
      <formula>$K$125 &lt; 0</formula>
    </cfRule>
  </conditionalFormatting>
  <conditionalFormatting sqref="M91:O92 N125:O125">
    <cfRule type="expression" dxfId="1000" priority="109">
      <formula>$N$125 &gt; 0</formula>
    </cfRule>
    <cfRule type="expression" dxfId="999" priority="110">
      <formula>$N$125 = 0</formula>
    </cfRule>
    <cfRule type="expression" dxfId="998" priority="111">
      <formula>$N$125 &lt; 0</formula>
    </cfRule>
  </conditionalFormatting>
  <conditionalFormatting sqref="D93:F123">
    <cfRule type="expression" dxfId="997" priority="106">
      <formula>AND($E93 &gt; 0, ISNUMBER($E93))</formula>
    </cfRule>
    <cfRule type="expression" dxfId="996" priority="107">
      <formula>AND($E93 = 0, ISNUMBER($E93))</formula>
    </cfRule>
    <cfRule type="expression" dxfId="995" priority="108">
      <formula>AND($E93 &lt; 0, ISNUMBER($E93))</formula>
    </cfRule>
  </conditionalFormatting>
  <conditionalFormatting sqref="G93:I123">
    <cfRule type="expression" dxfId="994" priority="103">
      <formula>AND($H93 &gt; 0, ISNUMBER($H93))</formula>
    </cfRule>
    <cfRule type="expression" dxfId="993" priority="104">
      <formula>AND($H93 = 0, ISNUMBER($H93))</formula>
    </cfRule>
    <cfRule type="expression" dxfId="992" priority="105">
      <formula>AND($H93 &lt; 0, ISNUMBER($H93))</formula>
    </cfRule>
  </conditionalFormatting>
  <conditionalFormatting sqref="J93:L123">
    <cfRule type="expression" dxfId="991" priority="100">
      <formula>AND($K93 &gt; 0, ISNUMBER($K93))</formula>
    </cfRule>
    <cfRule type="expression" dxfId="990" priority="101">
      <formula>AND($K93 = 0, ISNUMBER($K93))</formula>
    </cfRule>
    <cfRule type="expression" dxfId="989" priority="102">
      <formula>AND($K93 &lt; 0, ISNUMBER($K93))</formula>
    </cfRule>
  </conditionalFormatting>
  <conditionalFormatting sqref="M93:O123">
    <cfRule type="expression" dxfId="988" priority="97">
      <formula>AND($N93 &gt; 0, ISNUMBER($N93))</formula>
    </cfRule>
    <cfRule type="expression" dxfId="987" priority="98">
      <formula>AND($N93 = 0, ISNUMBER($N93))</formula>
    </cfRule>
    <cfRule type="expression" dxfId="986" priority="99">
      <formula>AND($N93 &lt; 0, ISNUMBER($N93))</formula>
    </cfRule>
  </conditionalFormatting>
  <conditionalFormatting sqref="D129:F130 E163:F163">
    <cfRule type="expression" dxfId="985" priority="94">
      <formula>$E$163 &gt; 0</formula>
    </cfRule>
    <cfRule type="expression" dxfId="984" priority="95">
      <formula>$E$163 = 0</formula>
    </cfRule>
    <cfRule type="expression" dxfId="983" priority="96">
      <formula>$E$163 &lt; 0</formula>
    </cfRule>
  </conditionalFormatting>
  <conditionalFormatting sqref="G129:I130 H163:I163">
    <cfRule type="expression" dxfId="982" priority="91">
      <formula>$H$163 &gt; 0</formula>
    </cfRule>
    <cfRule type="expression" dxfId="981" priority="92">
      <formula>$H$163 = 0</formula>
    </cfRule>
    <cfRule type="expression" dxfId="980" priority="93">
      <formula>$H$163 &lt; 0</formula>
    </cfRule>
  </conditionalFormatting>
  <conditionalFormatting sqref="J129:L130 K163:L163">
    <cfRule type="expression" dxfId="979" priority="88">
      <formula>$K$163 &gt; 0</formula>
    </cfRule>
    <cfRule type="expression" dxfId="978" priority="89">
      <formula>$K$163 = 0</formula>
    </cfRule>
    <cfRule type="expression" dxfId="977" priority="90">
      <formula>$K$163 &lt; 0</formula>
    </cfRule>
  </conditionalFormatting>
  <conditionalFormatting sqref="M129:O130 N163:O163">
    <cfRule type="expression" dxfId="976" priority="85">
      <formula>$N$163 &gt; 0</formula>
    </cfRule>
    <cfRule type="expression" dxfId="975" priority="86">
      <formula>$N$163 = 0</formula>
    </cfRule>
    <cfRule type="expression" dxfId="974" priority="87">
      <formula>$N$163 &lt; 0</formula>
    </cfRule>
  </conditionalFormatting>
  <conditionalFormatting sqref="D131:F161">
    <cfRule type="expression" dxfId="973" priority="82">
      <formula>AND($E131 &gt; 0, ISNUMBER($E131))</formula>
    </cfRule>
    <cfRule type="expression" dxfId="972" priority="83">
      <formula>AND($E131 = 0, ISNUMBER($E131))</formula>
    </cfRule>
    <cfRule type="expression" dxfId="971" priority="84">
      <formula>AND($E131 &lt; 0, ISNUMBER($E131))</formula>
    </cfRule>
  </conditionalFormatting>
  <conditionalFormatting sqref="G131:I161">
    <cfRule type="expression" dxfId="970" priority="79">
      <formula>AND($H131 &gt; 0, ISNUMBER($H131))</formula>
    </cfRule>
    <cfRule type="expression" dxfId="969" priority="80">
      <formula>AND($H131 = 0, ISNUMBER($H131))</formula>
    </cfRule>
    <cfRule type="expression" dxfId="968" priority="81">
      <formula>AND($H131 &lt; 0, ISNUMBER($H131))</formula>
    </cfRule>
  </conditionalFormatting>
  <conditionalFormatting sqref="J131:L161">
    <cfRule type="expression" dxfId="967" priority="76">
      <formula>AND($K131 &gt; 0, ISNUMBER($K131))</formula>
    </cfRule>
    <cfRule type="expression" dxfId="966" priority="77">
      <formula>AND($K131 = 0, ISNUMBER($K131))</formula>
    </cfRule>
    <cfRule type="expression" dxfId="965" priority="78">
      <formula>AND($K131 &lt; 0, ISNUMBER($K131))</formula>
    </cfRule>
  </conditionalFormatting>
  <conditionalFormatting sqref="M131:O161">
    <cfRule type="expression" dxfId="964" priority="73">
      <formula>AND($N131 &gt; 0, ISNUMBER($N131))</formula>
    </cfRule>
    <cfRule type="expression" dxfId="963" priority="74">
      <formula>AND($N131 = 0, ISNUMBER($N131))</formula>
    </cfRule>
    <cfRule type="expression" dxfId="962" priority="75">
      <formula>AND($N131 &lt; 0, ISNUMBER($N131))</formula>
    </cfRule>
  </conditionalFormatting>
  <conditionalFormatting sqref="D167:F168 E201:F201">
    <cfRule type="expression" dxfId="961" priority="70">
      <formula>$E$201 &gt; 0</formula>
    </cfRule>
    <cfRule type="expression" dxfId="960" priority="71">
      <formula>$E$201 = 0</formula>
    </cfRule>
    <cfRule type="expression" dxfId="959" priority="72">
      <formula>$E$201 &lt; 0</formula>
    </cfRule>
  </conditionalFormatting>
  <conditionalFormatting sqref="G167:I168 H201:I201">
    <cfRule type="expression" dxfId="958" priority="67">
      <formula>$H$201 &gt; 0</formula>
    </cfRule>
    <cfRule type="expression" dxfId="957" priority="68">
      <formula>$H$201 = 0</formula>
    </cfRule>
    <cfRule type="expression" dxfId="956" priority="69">
      <formula>$H$201 &lt; 0</formula>
    </cfRule>
  </conditionalFormatting>
  <conditionalFormatting sqref="J167:L168 K201:L201">
    <cfRule type="expression" dxfId="955" priority="64">
      <formula>$K$201 &gt; 0</formula>
    </cfRule>
    <cfRule type="expression" dxfId="954" priority="65">
      <formula>$K$201 = 0</formula>
    </cfRule>
    <cfRule type="expression" dxfId="953" priority="66">
      <formula>$K$201 &lt; 0</formula>
    </cfRule>
  </conditionalFormatting>
  <conditionalFormatting sqref="M167:O168 N201:O201">
    <cfRule type="expression" dxfId="952" priority="61">
      <formula>$N$201 &gt; 0</formula>
    </cfRule>
    <cfRule type="expression" dxfId="951" priority="62">
      <formula>$N$201 = 0</formula>
    </cfRule>
    <cfRule type="expression" dxfId="950" priority="63">
      <formula>$N$201 &lt; 0</formula>
    </cfRule>
  </conditionalFormatting>
  <conditionalFormatting sqref="D169:F199">
    <cfRule type="expression" dxfId="949" priority="58">
      <formula>AND($E169 &gt; 0, ISNUMBER($E169))</formula>
    </cfRule>
    <cfRule type="expression" dxfId="948" priority="59">
      <formula>AND($E169 = 0, ISNUMBER($E169))</formula>
    </cfRule>
    <cfRule type="expression" dxfId="947" priority="60">
      <formula>AND($E169 &lt; 0, ISNUMBER($E169))</formula>
    </cfRule>
  </conditionalFormatting>
  <conditionalFormatting sqref="G169:I199">
    <cfRule type="expression" dxfId="946" priority="55">
      <formula>AND($H169 &gt; 0, ISNUMBER($H169))</formula>
    </cfRule>
    <cfRule type="expression" dxfId="945" priority="56">
      <formula>AND($H169 = 0, ISNUMBER($H169))</formula>
    </cfRule>
    <cfRule type="expression" dxfId="944" priority="57">
      <formula>AND($H169 &lt; 0, ISNUMBER($H169))</formula>
    </cfRule>
  </conditionalFormatting>
  <conditionalFormatting sqref="J169:L199">
    <cfRule type="expression" dxfId="943" priority="52">
      <formula>AND($K169 &gt; 0, ISNUMBER($K169))</formula>
    </cfRule>
    <cfRule type="expression" dxfId="942" priority="53">
      <formula>AND($K169 = 0, ISNUMBER($K169))</formula>
    </cfRule>
    <cfRule type="expression" dxfId="941" priority="54">
      <formula>AND($K169 &lt; 0, ISNUMBER($K169))</formula>
    </cfRule>
  </conditionalFormatting>
  <conditionalFormatting sqref="M169:O199">
    <cfRule type="expression" dxfId="940" priority="49">
      <formula>AND($N169 &gt; 0, ISNUMBER($N169))</formula>
    </cfRule>
    <cfRule type="expression" dxfId="939" priority="50">
      <formula>AND($N169 = 0, ISNUMBER($N169))</formula>
    </cfRule>
    <cfRule type="expression" dxfId="938" priority="51">
      <formula>AND($N169 &lt; 0, ISNUMBER($N169))</formula>
    </cfRule>
  </conditionalFormatting>
  <conditionalFormatting sqref="D205:F206 E239:F239">
    <cfRule type="expression" dxfId="937" priority="46">
      <formula>$E$239 &gt; 0</formula>
    </cfRule>
    <cfRule type="expression" dxfId="936" priority="47">
      <formula>$E$239 = 0</formula>
    </cfRule>
    <cfRule type="expression" dxfId="935" priority="48">
      <formula>$E$239 &lt; 0</formula>
    </cfRule>
  </conditionalFormatting>
  <conditionalFormatting sqref="G205:I206 H239:I239">
    <cfRule type="expression" dxfId="934" priority="43">
      <formula>$H$239 &gt; 0</formula>
    </cfRule>
    <cfRule type="expression" dxfId="933" priority="44">
      <formula>$H$239 = 0</formula>
    </cfRule>
    <cfRule type="expression" dxfId="932" priority="45">
      <formula>$H$239 &lt; 0</formula>
    </cfRule>
  </conditionalFormatting>
  <conditionalFormatting sqref="J205:L206 K239:L239">
    <cfRule type="expression" dxfId="931" priority="40">
      <formula>$K$239 &gt; 0</formula>
    </cfRule>
    <cfRule type="expression" dxfId="930" priority="41">
      <formula>$K$239 = 0</formula>
    </cfRule>
    <cfRule type="expression" dxfId="929" priority="42">
      <formula>$K$239 &lt; 0</formula>
    </cfRule>
  </conditionalFormatting>
  <conditionalFormatting sqref="M205:O206 N239:O239">
    <cfRule type="expression" dxfId="928" priority="37">
      <formula>$N$239 &gt; 0</formula>
    </cfRule>
    <cfRule type="expression" dxfId="927" priority="38">
      <formula>$N$239 = 0</formula>
    </cfRule>
    <cfRule type="expression" dxfId="926" priority="39">
      <formula>$N$239 &lt; 0</formula>
    </cfRule>
  </conditionalFormatting>
  <conditionalFormatting sqref="D207:F237">
    <cfRule type="expression" dxfId="925" priority="34">
      <formula>AND($E207 &gt; 0, ISNUMBER($E207))</formula>
    </cfRule>
    <cfRule type="expression" dxfId="924" priority="35">
      <formula>AND($E207 = 0, ISNUMBER($E207))</formula>
    </cfRule>
    <cfRule type="expression" dxfId="923" priority="36">
      <formula>AND($E207 &lt; 0, ISNUMBER($E207))</formula>
    </cfRule>
  </conditionalFormatting>
  <conditionalFormatting sqref="G207:I237">
    <cfRule type="expression" dxfId="922" priority="31">
      <formula>AND($H207 &gt; 0, ISNUMBER($H207))</formula>
    </cfRule>
    <cfRule type="expression" dxfId="921" priority="32">
      <formula>AND($H207 = 0, ISNUMBER($H207))</formula>
    </cfRule>
    <cfRule type="expression" dxfId="920" priority="33">
      <formula>AND($H207 &lt; 0, ISNUMBER($H207))</formula>
    </cfRule>
  </conditionalFormatting>
  <conditionalFormatting sqref="J207:L237">
    <cfRule type="expression" dxfId="919" priority="28">
      <formula>AND($K207 &gt; 0, ISNUMBER($K207))</formula>
    </cfRule>
    <cfRule type="expression" dxfId="918" priority="29">
      <formula>AND($K207 = 0, ISNUMBER($K207))</formula>
    </cfRule>
    <cfRule type="expression" dxfId="917" priority="30">
      <formula>AND($K207 &lt; 0, ISNUMBER($K207))</formula>
    </cfRule>
  </conditionalFormatting>
  <conditionalFormatting sqref="M207:O237">
    <cfRule type="expression" dxfId="916" priority="25">
      <formula>AND($N207 &gt; 0, ISNUMBER($N207))</formula>
    </cfRule>
    <cfRule type="expression" dxfId="915" priority="26">
      <formula>AND($N207 = 0, ISNUMBER($N207))</formula>
    </cfRule>
    <cfRule type="expression" dxfId="914" priority="27">
      <formula>AND($N207 &lt; 0, ISNUMBER($N207))</formula>
    </cfRule>
  </conditionalFormatting>
  <conditionalFormatting sqref="D243:F244 E277:F277">
    <cfRule type="expression" dxfId="913" priority="22">
      <formula>$E$277 &gt; 0</formula>
    </cfRule>
    <cfRule type="expression" dxfId="912" priority="23">
      <formula>$E$277 = 0</formula>
    </cfRule>
    <cfRule type="expression" dxfId="911" priority="24">
      <formula>$E$277 &lt; 0</formula>
    </cfRule>
  </conditionalFormatting>
  <conditionalFormatting sqref="G243:I244 H277:I277">
    <cfRule type="expression" dxfId="910" priority="19">
      <formula>$H$277 &gt; 0</formula>
    </cfRule>
    <cfRule type="expression" dxfId="909" priority="20">
      <formula>$H$277 = 0</formula>
    </cfRule>
    <cfRule type="expression" dxfId="908" priority="21">
      <formula>$H$277 &lt; 0</formula>
    </cfRule>
  </conditionalFormatting>
  <conditionalFormatting sqref="J243:L244 K277:L277">
    <cfRule type="expression" dxfId="907" priority="16">
      <formula>$K$277 &gt; 0</formula>
    </cfRule>
    <cfRule type="expression" dxfId="906" priority="17">
      <formula>$K$277 = 0</formula>
    </cfRule>
    <cfRule type="expression" dxfId="905" priority="18">
      <formula>$K$277 &lt; 0</formula>
    </cfRule>
  </conditionalFormatting>
  <conditionalFormatting sqref="M243:O244 N277:O277">
    <cfRule type="expression" dxfId="904" priority="13">
      <formula>$N$277 &gt; 0</formula>
    </cfRule>
    <cfRule type="expression" dxfId="903" priority="14">
      <formula>$N$277 = 0</formula>
    </cfRule>
    <cfRule type="expression" dxfId="902" priority="15">
      <formula>$N$277 &lt; 0</formula>
    </cfRule>
  </conditionalFormatting>
  <conditionalFormatting sqref="D245:F275">
    <cfRule type="expression" dxfId="901" priority="10">
      <formula>AND($E245 &gt; 0, ISNUMBER($E245))</formula>
    </cfRule>
    <cfRule type="expression" dxfId="900" priority="11">
      <formula>AND($E245 = 0, ISNUMBER($E245))</formula>
    </cfRule>
    <cfRule type="expression" dxfId="899" priority="12">
      <formula>AND($E245 &lt; 0, ISNUMBER($E245))</formula>
    </cfRule>
  </conditionalFormatting>
  <conditionalFormatting sqref="G245:I275">
    <cfRule type="expression" dxfId="898" priority="7">
      <formula>AND($H245 &gt; 0, ISNUMBER($H245))</formula>
    </cfRule>
    <cfRule type="expression" dxfId="897" priority="8">
      <formula>AND($H245 = 0, ISNUMBER($H245))</formula>
    </cfRule>
    <cfRule type="expression" dxfId="896" priority="9">
      <formula>AND($H245 &lt; 0, ISNUMBER($H245))</formula>
    </cfRule>
  </conditionalFormatting>
  <conditionalFormatting sqref="J245:L275">
    <cfRule type="expression" dxfId="895" priority="4">
      <formula>AND($K245 &gt; 0, ISNUMBER($K245))</formula>
    </cfRule>
    <cfRule type="expression" dxfId="894" priority="5">
      <formula>AND($K245 = 0, ISNUMBER($K245))</formula>
    </cfRule>
    <cfRule type="expression" dxfId="893" priority="6">
      <formula>AND($K245 &lt; 0, ISNUMBER($K245))</formula>
    </cfRule>
  </conditionalFormatting>
  <conditionalFormatting sqref="M245:O275">
    <cfRule type="expression" dxfId="892" priority="1">
      <formula>AND($N245 &gt; 0, ISNUMBER($N245))</formula>
    </cfRule>
    <cfRule type="expression" dxfId="891" priority="2">
      <formula>AND($N245 = 0, ISNUMBER($N245))</formula>
    </cfRule>
    <cfRule type="expression" dxfId="890" priority="3">
      <formula>AND($N245 &lt; 0, ISNUMBER($N245))</formula>
    </cfRule>
  </conditionalFormatting>
  <pageMargins left="0.7" right="0.7" top="0.75" bottom="0.75" header="0.3" footer="0.3"/>
  <pageSetup paperSize="9" orientation="portrait" r:id="rId1"/>
  <ignoredErrors>
    <ignoredError sqref="A1:XFD13 A15:XFD1048576 B14:XFD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20</xdr:col>
                    <xdr:colOff>28575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16</xdr:row>
                    <xdr:rowOff>0</xdr:rowOff>
                  </from>
                  <to>
                    <xdr:col>17</xdr:col>
                    <xdr:colOff>238125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238125</xdr:colOff>
                    <xdr:row>16</xdr:row>
                    <xdr:rowOff>0</xdr:rowOff>
                  </from>
                  <to>
                    <xdr:col>18</xdr:col>
                    <xdr:colOff>476250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19</xdr:row>
                    <xdr:rowOff>28575</xdr:rowOff>
                  </from>
                  <to>
                    <xdr:col>17</xdr:col>
                    <xdr:colOff>238125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238125</xdr:colOff>
                    <xdr:row>19</xdr:row>
                    <xdr:rowOff>28575</xdr:rowOff>
                  </from>
                  <to>
                    <xdr:col>18</xdr:col>
                    <xdr:colOff>476250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476250</xdr:colOff>
                    <xdr:row>16</xdr:row>
                    <xdr:rowOff>0</xdr:rowOff>
                  </from>
                  <to>
                    <xdr:col>20</xdr:col>
                    <xdr:colOff>28575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476250</xdr:colOff>
                    <xdr:row>19</xdr:row>
                    <xdr:rowOff>28575</xdr:rowOff>
                  </from>
                  <to>
                    <xdr:col>20</xdr:col>
                    <xdr:colOff>28575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</xdr:row>
                    <xdr:rowOff>57150</xdr:rowOff>
                  </from>
                  <to>
                    <xdr:col>20</xdr:col>
                    <xdr:colOff>28575</xdr:colOff>
                    <xdr:row>25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20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33</xdr:row>
                    <xdr:rowOff>19050</xdr:rowOff>
                  </from>
                  <to>
                    <xdr:col>20</xdr:col>
                    <xdr:colOff>0</xdr:colOff>
                    <xdr:row>36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36</xdr:row>
                    <xdr:rowOff>38100</xdr:rowOff>
                  </from>
                  <to>
                    <xdr:col>20</xdr:col>
                    <xdr:colOff>0</xdr:colOff>
                    <xdr:row>39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39</xdr:row>
                    <xdr:rowOff>47625</xdr:rowOff>
                  </from>
                  <to>
                    <xdr:col>20</xdr:col>
                    <xdr:colOff>0</xdr:colOff>
                    <xdr:row>42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4259-1B44-4FAC-B87B-908E77930A2D}">
  <sheetPr codeName="Sheet9"/>
  <dimension ref="A1:S199"/>
  <sheetViews>
    <sheetView zoomScaleNormal="100" workbookViewId="0">
      <selection activeCell="G206" sqref="G206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44317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67,393 KRW (1.12%)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91,895 KRW (1.61%)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147,439 KRW (2.46%)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31,272 KRW (0.52%)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25,525 KRW (1.70%)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2021-05-01(토) 오전 00:00</v>
      </c>
      <c r="C15" s="202"/>
      <c r="D15" s="198" t="str">
        <f>TEXT($G$1, "[$-ko-KR]yyyy-mm-dd(ddd) ") &amp; "오후 14:00"</f>
        <v>2021-05-01(토) 오후 14:00</v>
      </c>
      <c r="E15" s="199"/>
      <c r="F15" s="200"/>
      <c r="G15" s="198" t="str">
        <f>TEXT($G$1, "[$-ko-KR]yyyy-mm-dd(ddd) ") &amp; "오후 19:00"</f>
        <v>2021-05-01(토) 오후 19:00</v>
      </c>
      <c r="H15" s="199"/>
      <c r="I15" s="200"/>
      <c r="J15" s="198" t="str">
        <f>TEXT($G$1, "[$-ko-KR]yyyy-mm-dd(ddd) ") &amp; "오후 21:00"</f>
        <v>2021-05-01(토) 오후 21:00</v>
      </c>
      <c r="K15" s="199"/>
      <c r="L15" s="200"/>
      <c r="M15" s="198" t="str">
        <f>TEXT($G$1+1, "[$-ko-KR]yyyy-mm-dd(ddd) ") &amp; "오전 00:00"</f>
        <v>2021-05-02(일)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57</v>
      </c>
      <c r="B17" s="13">
        <f>IF(NOT(ISBLANK(_xlfn.IFNA(VLOOKUP($A17, $A$40:$O$199, 2, FALSE), ))), _xlfn.IFNA(VLOOKUP($A17, $A$40:$O$199, 2, FALSE), ), "")</f>
        <v>411</v>
      </c>
      <c r="C17" s="14">
        <f>IF(NOT(ISBLANK(_xlfn.IFNA(VLOOKUP($A17, $A$40:$O$199, 3, FALSE), ))), _xlfn.IFNA(VLOOKUP($A17, $A$40:$O$199, 3, FALSE), ), "")</f>
        <v>2.75E-2</v>
      </c>
      <c r="D17" s="13">
        <f>IF(NOT(ISBLANK(_xlfn.IFNA(VLOOKUP($A17, $A$40:$O$199, 4, FALSE), ))), _xlfn.IFNA(VLOOKUP($A17, $A$40:$O$199, 4, FALSE), ), "")</f>
        <v>413</v>
      </c>
      <c r="E17" s="14">
        <f>IF(NOT(ISBLANK(_xlfn.IFNA(VLOOKUP($A17, $A$40:$O$199, 5, FALSE), ))), _xlfn.IFNA(VLOOKUP($A17, $A$40:$O$199, 5, FALSE), ), "")</f>
        <v>4.8661800486618006E-3</v>
      </c>
      <c r="F17" s="16">
        <f>IF(NOT(ISBLANK(_xlfn.IFNA(VLOOKUP($A17, $A$40:$O$199, 6, FALSE), ))), _xlfn.IFNA(VLOOKUP($A17, $A$40:$O$199, 6, FALSE), ), "")</f>
        <v>1459.8540145985403</v>
      </c>
      <c r="G17" s="29">
        <f>IF(NOT(ISBLANK(_xlfn.IFNA(VLOOKUP($A17, $A$40:$O$199, 7, FALSE), ))), _xlfn.IFNA(VLOOKUP($A17, $A$40:$O$199, 7, FALSE), ), "")</f>
        <v>407</v>
      </c>
      <c r="H17" s="14">
        <f>IF(NOT(ISBLANK(_xlfn.IFNA(VLOOKUP($A17, $A$40:$O$199, 8, FALSE), ))), _xlfn.IFNA(VLOOKUP($A17, $A$40:$O$199, 8, FALSE), ), "")</f>
        <v>-9.7323600973236012E-3</v>
      </c>
      <c r="I17" s="100">
        <f>IF(NOT(ISBLANK(_xlfn.IFNA(VLOOKUP($A17, $A$40:$O$199, 9, FALSE), ))), _xlfn.IFNA(VLOOKUP($A17, $A$40:$O$199, 9, FALSE), ), "")</f>
        <v>-2919.7080291970806</v>
      </c>
      <c r="J17" s="13">
        <f>IF(NOT(ISBLANK(_xlfn.IFNA(VLOOKUP($A17, $A$40:$O$199, 10, FALSE), ))), _xlfn.IFNA(VLOOKUP($A17, $A$40:$O$199, 10, FALSE), ), "")</f>
        <v>412</v>
      </c>
      <c r="K17" s="14">
        <f>IF(NOT(ISBLANK(_xlfn.IFNA(VLOOKUP($A17, $A$40:$O$199, 11, FALSE), ))), _xlfn.IFNA(VLOOKUP($A17, $A$40:$O$199, 11, FALSE), ), "")</f>
        <v>2.4330900243309003E-3</v>
      </c>
      <c r="L17" s="16">
        <f>IF(NOT(ISBLANK(_xlfn.IFNA(VLOOKUP($A17, $A$40:$O$199, 12, FALSE), ))), _xlfn.IFNA(VLOOKUP($A17, $A$40:$O$199, 12, FALSE), ), "")</f>
        <v>729.92700729927014</v>
      </c>
      <c r="M17" s="29">
        <f>IF(NOT(ISBLANK(_xlfn.IFNA(VLOOKUP($A17, $A$40:$O$199, 13, FALSE), ))), _xlfn.IFNA(VLOOKUP($A17, $A$40:$O$199, 13, FALSE), ), "")</f>
        <v>411</v>
      </c>
      <c r="N17" s="14">
        <f>IF(NOT(ISBLANK(_xlfn.IFNA(VLOOKUP($A17, $A$40:$O$199, 14, FALSE), ))), _xlfn.IFNA(VLOOKUP($A17, $A$40:$O$199, 14, FALSE), ), "")</f>
        <v>0</v>
      </c>
      <c r="O17" s="16">
        <f>IF(NOT(ISBLANK(_xlfn.IFNA(VLOOKUP($A17, $A$40:$O$199, 15, FALSE), ))), _xlfn.IFNA(VLOOKUP($A17, $A$40:$O$199, 15, FALSE), ), "")</f>
        <v>0</v>
      </c>
      <c r="Q17" s="184"/>
      <c r="R17" s="184"/>
      <c r="S17" s="184"/>
    </row>
    <row r="18" spans="1:19" ht="17.25" customHeight="1" thickBot="1">
      <c r="A18" s="17" t="s">
        <v>278</v>
      </c>
      <c r="B18" s="15">
        <f t="shared" ref="B18:B36" si="0">IF(NOT(ISBLANK(_xlfn.IFNA(VLOOKUP($A18, $A$40:$O$199, 2, FALSE), ))), _xlfn.IFNA(VLOOKUP($A18, $A$40:$O$199, 2, FALSE), ), "")</f>
        <v>150</v>
      </c>
      <c r="C18" s="32">
        <f t="shared" ref="C18:C36" si="1">IF(NOT(ISBLANK(_xlfn.IFNA(VLOOKUP($A18, $A$40:$O$199, 3, FALSE), ))), _xlfn.IFNA(VLOOKUP($A18, $A$40:$O$199, 3, FALSE), ), "")</f>
        <v>2.73972603E-2</v>
      </c>
      <c r="D18" s="15">
        <f t="shared" ref="D18:D36" si="2">IF(NOT(ISBLANK(_xlfn.IFNA(VLOOKUP($A18, $A$40:$O$199, 4, FALSE), ))), _xlfn.IFNA(VLOOKUP($A18, $A$40:$O$199, 4, FALSE), ), "")</f>
        <v>155</v>
      </c>
      <c r="E18" s="32">
        <f t="shared" ref="E18:E36" si="3">IF(NOT(ISBLANK(_xlfn.IFNA(VLOOKUP($A18, $A$40:$O$199, 5, FALSE), ))), _xlfn.IFNA(VLOOKUP($A18, $A$40:$O$199, 5, FALSE), ), "")</f>
        <v>3.3333333333333333E-2</v>
      </c>
      <c r="F18" s="18">
        <f t="shared" ref="F18:F36" si="4">IF(NOT(ISBLANK(_xlfn.IFNA(VLOOKUP($A18, $A$40:$O$199, 6, FALSE), ))), _xlfn.IFNA(VLOOKUP($A18, $A$40:$O$199, 6, FALSE), ), "")</f>
        <v>10000</v>
      </c>
      <c r="G18" s="31">
        <f t="shared" ref="G18:G36" si="5">IF(NOT(ISBLANK(_xlfn.IFNA(VLOOKUP($A18, $A$40:$O$199, 7, FALSE), ))), _xlfn.IFNA(VLOOKUP($A18, $A$40:$O$199, 7, FALSE), ), "")</f>
        <v>154</v>
      </c>
      <c r="H18" s="32">
        <f t="shared" ref="H18:H36" si="6">IF(NOT(ISBLANK(_xlfn.IFNA(VLOOKUP($A18, $A$40:$O$199, 8, FALSE), ))), _xlfn.IFNA(VLOOKUP($A18, $A$40:$O$199, 8, FALSE), ), "")</f>
        <v>2.6666666666666668E-2</v>
      </c>
      <c r="I18" s="101">
        <f t="shared" ref="I18:I36" si="7">IF(NOT(ISBLANK(_xlfn.IFNA(VLOOKUP($A18, $A$40:$O$199, 9, FALSE), ))), _xlfn.IFNA(VLOOKUP($A18, $A$40:$O$199, 9, FALSE), ), "")</f>
        <v>8000.0000000000009</v>
      </c>
      <c r="J18" s="15">
        <f t="shared" ref="J18:J36" si="8">IF(NOT(ISBLANK(_xlfn.IFNA(VLOOKUP($A18, $A$40:$O$199, 10, FALSE), ))), _xlfn.IFNA(VLOOKUP($A18, $A$40:$O$199, 10, FALSE), ), "")</f>
        <v>157</v>
      </c>
      <c r="K18" s="32">
        <f t="shared" ref="K18:K36" si="9">IF(NOT(ISBLANK(_xlfn.IFNA(VLOOKUP($A18, $A$40:$O$199, 11, FALSE), ))), _xlfn.IFNA(VLOOKUP($A18, $A$40:$O$199, 11, FALSE), ), "")</f>
        <v>4.6666666666666669E-2</v>
      </c>
      <c r="L18" s="18">
        <f t="shared" ref="L18:L36" si="10">IF(NOT(ISBLANK(_xlfn.IFNA(VLOOKUP($A18, $A$40:$O$199, 12, FALSE), ))), _xlfn.IFNA(VLOOKUP($A18, $A$40:$O$199, 12, FALSE), ), "")</f>
        <v>14000</v>
      </c>
      <c r="M18" s="31">
        <f t="shared" ref="M18:M36" si="11">IF(NOT(ISBLANK(_xlfn.IFNA(VLOOKUP($A18, $A$40:$O$199, 13, FALSE), ))), _xlfn.IFNA(VLOOKUP($A18, $A$40:$O$199, 13, FALSE), ), "")</f>
        <v>154</v>
      </c>
      <c r="N18" s="32">
        <f t="shared" ref="N18:N36" si="12">IF(NOT(ISBLANK(_xlfn.IFNA(VLOOKUP($A18, $A$40:$O$199, 14, FALSE), ))), _xlfn.IFNA(VLOOKUP($A18, $A$40:$O$199, 14, FALSE), ), "")</f>
        <v>2.6666666666666668E-2</v>
      </c>
      <c r="O18" s="18">
        <f t="shared" ref="O18:O36" si="13">IF(NOT(ISBLANK(_xlfn.IFNA(VLOOKUP($A18, $A$40:$O$199, 15, FALSE), ))), _xlfn.IFNA(VLOOKUP($A18, $A$40:$O$199, 15, FALSE), ), "")</f>
        <v>8000.0000000000009</v>
      </c>
      <c r="Q18" s="184"/>
      <c r="R18" s="184"/>
      <c r="S18" s="184"/>
    </row>
    <row r="19" spans="1:19" ht="17.25" customHeight="1" thickBot="1">
      <c r="A19" s="17" t="s">
        <v>134</v>
      </c>
      <c r="B19" s="15">
        <f t="shared" si="0"/>
        <v>156</v>
      </c>
      <c r="C19" s="32">
        <f t="shared" si="1"/>
        <v>2.6315789499999999E-2</v>
      </c>
      <c r="D19" s="15">
        <f t="shared" si="2"/>
        <v>157</v>
      </c>
      <c r="E19" s="32">
        <f t="shared" si="3"/>
        <v>6.41025641025641E-3</v>
      </c>
      <c r="F19" s="18">
        <f t="shared" si="4"/>
        <v>1923.0769230769231</v>
      </c>
      <c r="G19" s="31">
        <f t="shared" si="5"/>
        <v>157</v>
      </c>
      <c r="H19" s="32">
        <f t="shared" si="6"/>
        <v>6.41025641025641E-3</v>
      </c>
      <c r="I19" s="101">
        <f t="shared" si="7"/>
        <v>1923.0769230769231</v>
      </c>
      <c r="J19" s="15">
        <f t="shared" si="8"/>
        <v>158</v>
      </c>
      <c r="K19" s="32">
        <f t="shared" si="9"/>
        <v>1.282051282051282E-2</v>
      </c>
      <c r="L19" s="18">
        <f t="shared" si="10"/>
        <v>3846.1538461538462</v>
      </c>
      <c r="M19" s="31">
        <f t="shared" si="11"/>
        <v>158</v>
      </c>
      <c r="N19" s="32">
        <f t="shared" si="12"/>
        <v>1.282051282051282E-2</v>
      </c>
      <c r="O19" s="18">
        <f t="shared" si="13"/>
        <v>3846.1538461538462</v>
      </c>
      <c r="Q19" s="174"/>
      <c r="R19" s="174"/>
      <c r="S19" s="174"/>
    </row>
    <row r="20" spans="1:19" ht="17.25" customHeight="1" thickBot="1">
      <c r="A20" s="17" t="s">
        <v>132</v>
      </c>
      <c r="B20" s="15">
        <f t="shared" si="0"/>
        <v>234</v>
      </c>
      <c r="C20" s="32">
        <f t="shared" si="1"/>
        <v>2.6315789499999999E-2</v>
      </c>
      <c r="D20" s="15">
        <f t="shared" si="2"/>
        <v>239</v>
      </c>
      <c r="E20" s="32">
        <f t="shared" si="3"/>
        <v>2.1367521367521368E-2</v>
      </c>
      <c r="F20" s="18">
        <f t="shared" si="4"/>
        <v>6410.2564102564102</v>
      </c>
      <c r="G20" s="31">
        <f t="shared" si="5"/>
        <v>234</v>
      </c>
      <c r="H20" s="32">
        <f t="shared" si="6"/>
        <v>0</v>
      </c>
      <c r="I20" s="101">
        <f t="shared" si="7"/>
        <v>0</v>
      </c>
      <c r="J20" s="15">
        <f t="shared" si="8"/>
        <v>238</v>
      </c>
      <c r="K20" s="32">
        <f t="shared" si="9"/>
        <v>1.7094017094017096E-2</v>
      </c>
      <c r="L20" s="18">
        <f t="shared" si="10"/>
        <v>5128.2051282051289</v>
      </c>
      <c r="M20" s="31">
        <f t="shared" si="11"/>
        <v>235</v>
      </c>
      <c r="N20" s="32">
        <f t="shared" si="12"/>
        <v>4.2735042735042739E-3</v>
      </c>
      <c r="O20" s="18">
        <f t="shared" si="13"/>
        <v>1282.0512820512822</v>
      </c>
      <c r="Q20" s="174"/>
      <c r="R20" s="174"/>
      <c r="S20" s="174"/>
    </row>
    <row r="21" spans="1:19" ht="17.25" customHeight="1" thickBot="1">
      <c r="A21" s="19" t="s">
        <v>122</v>
      </c>
      <c r="B21" s="20">
        <f t="shared" si="0"/>
        <v>121</v>
      </c>
      <c r="C21" s="21">
        <f t="shared" si="1"/>
        <v>2.54237288E-2</v>
      </c>
      <c r="D21" s="20">
        <f t="shared" si="2"/>
        <v>128</v>
      </c>
      <c r="E21" s="21">
        <f t="shared" si="3"/>
        <v>5.7851239669421489E-2</v>
      </c>
      <c r="F21" s="22">
        <f t="shared" si="4"/>
        <v>17355.371900826445</v>
      </c>
      <c r="G21" s="30">
        <f t="shared" si="5"/>
        <v>128</v>
      </c>
      <c r="H21" s="21">
        <f t="shared" si="6"/>
        <v>5.7851239669421489E-2</v>
      </c>
      <c r="I21" s="105">
        <f t="shared" si="7"/>
        <v>17355.371900826445</v>
      </c>
      <c r="J21" s="20">
        <f t="shared" si="8"/>
        <v>128</v>
      </c>
      <c r="K21" s="21">
        <f t="shared" si="9"/>
        <v>5.7851239669421489E-2</v>
      </c>
      <c r="L21" s="22">
        <f t="shared" si="10"/>
        <v>17355.371900826445</v>
      </c>
      <c r="M21" s="30">
        <f t="shared" si="11"/>
        <v>126</v>
      </c>
      <c r="N21" s="21">
        <f t="shared" si="12"/>
        <v>4.1322314049586778E-2</v>
      </c>
      <c r="O21" s="22">
        <f t="shared" si="13"/>
        <v>12396.694214876034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2.4765706165838879E-2</v>
      </c>
      <c r="F37" s="28">
        <f>SUM(F17:F26)</f>
        <v>37148.55924875832</v>
      </c>
      <c r="G37" s="26" t="s">
        <v>43</v>
      </c>
      <c r="H37" s="27">
        <f>IF(COUNT(H17:H26), SUM(H17:H26) / COUNT(H17:H26), 0)</f>
        <v>1.6239160529804193E-2</v>
      </c>
      <c r="I37" s="28">
        <f>SUM(I17:I26)</f>
        <v>24358.740794706289</v>
      </c>
      <c r="J37" s="26" t="s">
        <v>43</v>
      </c>
      <c r="K37" s="27">
        <f>IF(COUNT(K17:K26), SUM(K17:K26) / COUNT(K17:K26), 0)</f>
        <v>2.7373105254989795E-2</v>
      </c>
      <c r="L37" s="28">
        <f>SUM(L17:L26)</f>
        <v>41059.657882484695</v>
      </c>
      <c r="M37" s="26" t="s">
        <v>43</v>
      </c>
      <c r="N37" s="27">
        <f>IF(COUNT(N17:N26), SUM(N17:N26) / COUNT(N17:N26), 0)</f>
        <v>1.7016599562054108E-2</v>
      </c>
      <c r="O37" s="28">
        <f>SUM(O17:O26)</f>
        <v>25524.899343081161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2021-05-01(토) 오전 00:00</v>
      </c>
      <c r="C42" s="197"/>
      <c r="D42" s="198" t="str">
        <f>TEXT($G$1, "[$-ko-KR]yyyy-mm-dd(ddd) ") &amp; "오후 14:00"</f>
        <v>2021-05-01(토) 오후 14:00</v>
      </c>
      <c r="E42" s="199"/>
      <c r="F42" s="200"/>
      <c r="G42" s="198" t="str">
        <f>TEXT($G$1, "[$-ko-KR]yyyy-mm-dd(ddd) ") &amp; "오후 19:00"</f>
        <v>2021-05-01(토) 오후 19:00</v>
      </c>
      <c r="H42" s="199"/>
      <c r="I42" s="200"/>
      <c r="J42" s="198" t="str">
        <f>TEXT($G$1, "[$-ko-KR]yyyy-mm-dd(ddd) ") &amp; "오후 21:00"</f>
        <v>2021-05-01(토) 오후 21:00</v>
      </c>
      <c r="K42" s="199"/>
      <c r="L42" s="200"/>
      <c r="M42" s="198" t="str">
        <f>TEXT($G$1+1, "[$-ko-KR]yyyy-mm-dd(ddd) ") &amp; "오전 00:00"</f>
        <v>2021-05-02(일)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196</v>
      </c>
      <c r="B44" s="13">
        <v>22.1</v>
      </c>
      <c r="C44" s="14">
        <v>5.23809524E-2</v>
      </c>
      <c r="D44" s="13">
        <v>22</v>
      </c>
      <c r="E44" s="14">
        <f>IF(ISNUMBER(D44), (D44 - $B44) / $B44, "")</f>
        <v>-4.524886877828118E-3</v>
      </c>
      <c r="F44" s="16">
        <f>IF(ISNUMBER(D44), $B64 * E44, "")</f>
        <v>-1357.4660633484355</v>
      </c>
      <c r="G44" s="29">
        <v>22</v>
      </c>
      <c r="H44" s="14">
        <f>IF(ISNUMBER(G44), (G44 - $B44) / $B44, "")</f>
        <v>-4.524886877828118E-3</v>
      </c>
      <c r="I44" s="100">
        <f>IF(ISNUMBER(G44), $B64 * H44, "")</f>
        <v>-1357.4660633484355</v>
      </c>
      <c r="J44" s="13">
        <v>21.9</v>
      </c>
      <c r="K44" s="14">
        <f>IF(ISNUMBER(J44), (J44 - $B44) / $B44, "")</f>
        <v>-9.049773755656236E-3</v>
      </c>
      <c r="L44" s="16">
        <f>IF(ISNUMBER(J44), $B64 * K44, "")</f>
        <v>-2714.9321266968709</v>
      </c>
      <c r="M44" s="29">
        <v>21.9</v>
      </c>
      <c r="N44" s="14">
        <f>IF(ISNUMBER(M44), (M44 - $B44) / $B44, "")</f>
        <v>-9.049773755656236E-3</v>
      </c>
      <c r="O44" s="16">
        <f>IF(ISNUMBER(M44), $B64 * N44, "")</f>
        <v>-2714.9321266968709</v>
      </c>
      <c r="Q44" s="184"/>
      <c r="R44" s="184"/>
      <c r="S44" s="184"/>
    </row>
    <row r="45" spans="1:19" ht="17.25" customHeight="1" thickBot="1">
      <c r="A45" s="17" t="s">
        <v>65</v>
      </c>
      <c r="B45" s="15">
        <v>76</v>
      </c>
      <c r="C45" s="32">
        <v>4.8275862099999997E-2</v>
      </c>
      <c r="D45" s="15">
        <v>78.5</v>
      </c>
      <c r="E45" s="32">
        <f t="shared" ref="E45:E48" si="14">IF(ISNUMBER(D45), (D45 - $B45) / $B45, "")</f>
        <v>3.2894736842105261E-2</v>
      </c>
      <c r="F45" s="18">
        <f>IF(ISNUMBER(D45), $B64 * E45, "")</f>
        <v>9868.4210526315783</v>
      </c>
      <c r="G45" s="31">
        <v>77.7</v>
      </c>
      <c r="H45" s="32">
        <f t="shared" ref="H45:H48" si="15">IF(ISNUMBER(G45), (G45 - $B45) / $B45, "")</f>
        <v>2.2368421052631617E-2</v>
      </c>
      <c r="I45" s="101">
        <f>IF(ISNUMBER(G45), $B64 * H45, "")</f>
        <v>6710.5263157894851</v>
      </c>
      <c r="J45" s="15">
        <v>78.2</v>
      </c>
      <c r="K45" s="32">
        <f t="shared" ref="K45:K48" si="16">IF(ISNUMBER(J45), (J45 - $B45) / $B45, "")</f>
        <v>2.894736842105267E-2</v>
      </c>
      <c r="L45" s="18">
        <f>IF(ISNUMBER(J45), $B64 * K45, "")</f>
        <v>8684.210526315801</v>
      </c>
      <c r="M45" s="31">
        <v>77.5</v>
      </c>
      <c r="N45" s="32">
        <f t="shared" ref="N45:N48" si="17">IF(ISNUMBER(M45), (M45 - $B45) / $B45, "")</f>
        <v>1.9736842105263157E-2</v>
      </c>
      <c r="O45" s="18">
        <f>IF(ISNUMBER(M45), $B64 * N45, "")</f>
        <v>5921.0526315789466</v>
      </c>
      <c r="Q45" s="184"/>
      <c r="R45" s="184"/>
      <c r="S45" s="184"/>
    </row>
    <row r="46" spans="1:19" ht="17.25" customHeight="1" thickBot="1">
      <c r="A46" s="17" t="s">
        <v>152</v>
      </c>
      <c r="B46" s="15">
        <v>46.3</v>
      </c>
      <c r="C46" s="32">
        <v>2.88888889E-2</v>
      </c>
      <c r="D46" s="15">
        <v>47.6</v>
      </c>
      <c r="E46" s="32">
        <f t="shared" si="14"/>
        <v>2.8077753779697717E-2</v>
      </c>
      <c r="F46" s="18">
        <f>IF(ISNUMBER(D46), $B64 * E46, "")</f>
        <v>8423.3261339093151</v>
      </c>
      <c r="G46" s="31">
        <v>46.8</v>
      </c>
      <c r="H46" s="32">
        <f t="shared" si="15"/>
        <v>1.0799136069114472E-2</v>
      </c>
      <c r="I46" s="101">
        <f>IF(ISNUMBER(G46), $B64 * H46, "")</f>
        <v>3239.7408207343415</v>
      </c>
      <c r="J46" s="15">
        <v>47.5</v>
      </c>
      <c r="K46" s="32">
        <f t="shared" si="16"/>
        <v>2.5917926565874792E-2</v>
      </c>
      <c r="L46" s="18">
        <f>IF(ISNUMBER(J46), $B64 * K46, "")</f>
        <v>7775.3779697624377</v>
      </c>
      <c r="M46" s="31">
        <v>46.9</v>
      </c>
      <c r="N46" s="32">
        <f t="shared" si="17"/>
        <v>1.2958963282937396E-2</v>
      </c>
      <c r="O46" s="18">
        <f>IF(ISNUMBER(M46), $B64 * N46, "")</f>
        <v>3887.6889848812189</v>
      </c>
      <c r="Q46" s="174"/>
      <c r="R46" s="174"/>
      <c r="S46" s="174"/>
    </row>
    <row r="47" spans="1:19" ht="17.25" customHeight="1" thickBot="1">
      <c r="A47" s="17" t="s">
        <v>100</v>
      </c>
      <c r="B47" s="15">
        <v>8.44</v>
      </c>
      <c r="C47" s="32">
        <v>2.80146163E-2</v>
      </c>
      <c r="D47" s="15">
        <v>8.56</v>
      </c>
      <c r="E47" s="32">
        <f t="shared" si="14"/>
        <v>1.4218009478673105E-2</v>
      </c>
      <c r="F47" s="18">
        <f>IF(ISNUMBER(D47), $B64 * E47, "")</f>
        <v>4265.4028436019316</v>
      </c>
      <c r="G47" s="31">
        <v>8.56</v>
      </c>
      <c r="H47" s="32">
        <f t="shared" si="15"/>
        <v>1.4218009478673105E-2</v>
      </c>
      <c r="I47" s="101">
        <f>IF(ISNUMBER(G47), $B64 * H47, "")</f>
        <v>4265.4028436019316</v>
      </c>
      <c r="J47" s="15">
        <v>8.6</v>
      </c>
      <c r="K47" s="32">
        <f t="shared" si="16"/>
        <v>1.8957345971564E-2</v>
      </c>
      <c r="L47" s="18">
        <f>IF(ISNUMBER(J47), $B64 * K47, "")</f>
        <v>5687.2037914692</v>
      </c>
      <c r="M47" s="31">
        <v>8.5500000000000007</v>
      </c>
      <c r="N47" s="32">
        <f t="shared" si="17"/>
        <v>1.303317535545038E-2</v>
      </c>
      <c r="O47" s="18">
        <f>IF(ISNUMBER(M47), $B64 * N47, "")</f>
        <v>3909.9526066351141</v>
      </c>
      <c r="Q47" s="174"/>
      <c r="R47" s="174"/>
      <c r="S47" s="174"/>
    </row>
    <row r="48" spans="1:19" ht="17.25" customHeight="1" thickBot="1">
      <c r="A48" s="19" t="s">
        <v>220</v>
      </c>
      <c r="B48" s="20">
        <v>20</v>
      </c>
      <c r="C48" s="21">
        <v>2.5641025599999999E-2</v>
      </c>
      <c r="D48" s="20">
        <v>20.100000000000001</v>
      </c>
      <c r="E48" s="21">
        <f t="shared" si="14"/>
        <v>5.0000000000000712E-3</v>
      </c>
      <c r="F48" s="22">
        <f>IF(ISNUMBER(D48), $B64 * E48, "")</f>
        <v>1500.0000000000214</v>
      </c>
      <c r="G48" s="30">
        <v>20</v>
      </c>
      <c r="H48" s="21">
        <f t="shared" si="15"/>
        <v>0</v>
      </c>
      <c r="I48" s="105">
        <f>IF(ISNUMBER(G48), $B64 * H48, "")</f>
        <v>0</v>
      </c>
      <c r="J48" s="20">
        <v>20.100000000000001</v>
      </c>
      <c r="K48" s="21">
        <f t="shared" si="16"/>
        <v>5.0000000000000712E-3</v>
      </c>
      <c r="L48" s="22">
        <f>IF(ISNUMBER(J48), $B64 * K48, "")</f>
        <v>1500.0000000000214</v>
      </c>
      <c r="M48" s="30">
        <v>20.2</v>
      </c>
      <c r="N48" s="21">
        <f t="shared" si="17"/>
        <v>9.9999999999999638E-3</v>
      </c>
      <c r="O48" s="22">
        <f>IF(ISNUMBER(M48), $B64 * N48, "")</f>
        <v>2999.9999999999891</v>
      </c>
      <c r="Q48" s="174"/>
      <c r="R48" s="174"/>
      <c r="S48" s="174"/>
    </row>
    <row r="49" spans="1:19" ht="17.25" customHeight="1" thickBot="1">
      <c r="A49" s="17" t="s">
        <v>72</v>
      </c>
      <c r="B49" s="106">
        <v>35.4</v>
      </c>
      <c r="C49" s="107">
        <v>2.3121387300000001E-2</v>
      </c>
      <c r="D49" s="106">
        <v>37.200000000000003</v>
      </c>
      <c r="E49" s="107">
        <f>IF(ISNUMBER(D49), (D49 - $B49) / $B49, "")</f>
        <v>5.0847457627118765E-2</v>
      </c>
      <c r="F49" s="108">
        <f>IF(ISNUMBER(D49), $B64 * E49, "")</f>
        <v>15254.23728813563</v>
      </c>
      <c r="G49" s="109">
        <v>36.6</v>
      </c>
      <c r="H49" s="107">
        <f>IF(ISNUMBER(G49), (G49 - $B49) / $B49, "")</f>
        <v>3.3898305084745846E-2</v>
      </c>
      <c r="I49" s="110">
        <f>IF(ISNUMBER(G49), $B64 * H49, "")</f>
        <v>10169.491525423753</v>
      </c>
      <c r="J49" s="106">
        <v>36.9</v>
      </c>
      <c r="K49" s="107">
        <f>IF(ISNUMBER(J49), (J49 - $B49) / $B49, "")</f>
        <v>4.2372881355932208E-2</v>
      </c>
      <c r="L49" s="108">
        <f>IF(ISNUMBER(J49), $B64 * K49, "")</f>
        <v>12711.864406779663</v>
      </c>
      <c r="M49" s="109">
        <v>37.4</v>
      </c>
      <c r="N49" s="107">
        <f>IF(ISNUMBER(M49), (M49 - $B49) / $B49, "")</f>
        <v>5.6497175141242938E-2</v>
      </c>
      <c r="O49" s="108">
        <f>IF(ISNUMBER(M49), $B64 * N49, "")</f>
        <v>16949.152542372882</v>
      </c>
      <c r="Q49" s="174"/>
      <c r="R49" s="174"/>
      <c r="S49" s="174"/>
    </row>
    <row r="50" spans="1:19" ht="17.25" customHeight="1" thickBot="1">
      <c r="A50" s="17" t="s">
        <v>236</v>
      </c>
      <c r="B50" s="15">
        <v>76.900000000000006</v>
      </c>
      <c r="C50" s="32">
        <v>1.8543046399999999E-2</v>
      </c>
      <c r="D50" s="15">
        <v>77.099999999999994</v>
      </c>
      <c r="E50" s="32">
        <f t="shared" ref="E50:E53" si="18">IF(ISNUMBER(D50), (D50 - $B50) / $B50, "")</f>
        <v>2.6007802340700732E-3</v>
      </c>
      <c r="F50" s="18">
        <f>IF(ISNUMBER(D50), $B64 * E50, "")</f>
        <v>780.23407022102197</v>
      </c>
      <c r="G50" s="31">
        <v>76.900000000000006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77</v>
      </c>
      <c r="K50" s="32">
        <f t="shared" ref="K50:K53" si="20">IF(ISNUMBER(J50), (J50 - $B50) / $B50, "")</f>
        <v>1.3003901170350366E-3</v>
      </c>
      <c r="L50" s="18">
        <f>IF(ISNUMBER(J50), $B64 * K50, "")</f>
        <v>390.11703511051098</v>
      </c>
      <c r="M50" s="31">
        <v>77.3</v>
      </c>
      <c r="N50" s="32">
        <f t="shared" ref="N50:N53" si="21">IF(ISNUMBER(M50), (M50 - $B50) / $B50, "")</f>
        <v>5.2015604681403312E-3</v>
      </c>
      <c r="O50" s="18">
        <f>IF(ISNUMBER(M50), $B64 * N50, "")</f>
        <v>1560.4681404420994</v>
      </c>
      <c r="Q50" s="174"/>
      <c r="R50" s="174"/>
      <c r="S50" s="174"/>
    </row>
    <row r="51" spans="1:19" ht="17.25" customHeight="1" thickBot="1">
      <c r="A51" s="17" t="s">
        <v>228</v>
      </c>
      <c r="B51" s="15">
        <v>19.8</v>
      </c>
      <c r="C51" s="32">
        <v>1.02040816E-2</v>
      </c>
      <c r="D51" s="15">
        <v>19.899999999999999</v>
      </c>
      <c r="E51" s="32">
        <f t="shared" si="18"/>
        <v>5.0505050505049425E-3</v>
      </c>
      <c r="F51" s="18">
        <f>IF(ISNUMBER(D51), $B64 * E51, "")</f>
        <v>1515.1515151514827</v>
      </c>
      <c r="G51" s="31">
        <v>19.8</v>
      </c>
      <c r="H51" s="32">
        <f t="shared" si="19"/>
        <v>0</v>
      </c>
      <c r="I51" s="101">
        <f>IF(ISNUMBER(G51), $B64 * H51, "")</f>
        <v>0</v>
      </c>
      <c r="J51" s="15">
        <v>19.899999999999999</v>
      </c>
      <c r="K51" s="32">
        <f t="shared" si="20"/>
        <v>5.0505050505049425E-3</v>
      </c>
      <c r="L51" s="18">
        <f>IF(ISNUMBER(J51), $B64 * K51, "")</f>
        <v>1515.1515151514827</v>
      </c>
      <c r="M51" s="31">
        <v>19.899999999999999</v>
      </c>
      <c r="N51" s="32">
        <f t="shared" si="21"/>
        <v>5.0505050505049425E-3</v>
      </c>
      <c r="O51" s="18">
        <f>IF(ISNUMBER(M51), $B64 * N51, "")</f>
        <v>1515.1515151514827</v>
      </c>
      <c r="Q51" s="174"/>
      <c r="R51" s="174"/>
      <c r="S51" s="174"/>
    </row>
    <row r="52" spans="1:19" ht="17.25" customHeight="1" thickBot="1">
      <c r="A52" s="17" t="s">
        <v>266</v>
      </c>
      <c r="B52" s="15">
        <v>94.2</v>
      </c>
      <c r="C52" s="32">
        <v>5.3361792999999996E-3</v>
      </c>
      <c r="D52" s="15">
        <v>93.5</v>
      </c>
      <c r="E52" s="32">
        <f t="shared" si="18"/>
        <v>-7.430997876857779E-3</v>
      </c>
      <c r="F52" s="18">
        <f>IF(ISNUMBER(D52), $B64 * E52, "")</f>
        <v>-2229.2993630573337</v>
      </c>
      <c r="G52" s="31">
        <v>93.4</v>
      </c>
      <c r="H52" s="32">
        <f t="shared" si="19"/>
        <v>-8.4925690021231126E-3</v>
      </c>
      <c r="I52" s="101">
        <f>IF(ISNUMBER(G52), $B64 * H52, "")</f>
        <v>-2547.7707006369337</v>
      </c>
      <c r="J52" s="15">
        <v>93.6</v>
      </c>
      <c r="K52" s="32">
        <f t="shared" si="20"/>
        <v>-6.3694267515924472E-3</v>
      </c>
      <c r="L52" s="18">
        <f>IF(ISNUMBER(J52), $B64 * K52, "")</f>
        <v>-1910.8280254777342</v>
      </c>
      <c r="M52" s="31">
        <v>93.6</v>
      </c>
      <c r="N52" s="32">
        <f t="shared" si="21"/>
        <v>-6.3694267515924472E-3</v>
      </c>
      <c r="O52" s="18">
        <f>IF(ISNUMBER(M52), $B64 * N52, "")</f>
        <v>-1910.8280254777342</v>
      </c>
      <c r="Q52" s="33"/>
      <c r="R52" s="33"/>
    </row>
    <row r="53" spans="1:19" ht="17.25" customHeight="1" thickBot="1">
      <c r="A53" s="23" t="s">
        <v>222</v>
      </c>
      <c r="B53" s="24">
        <v>20.100000000000001</v>
      </c>
      <c r="C53" s="25">
        <v>5.0000000000000001E-3</v>
      </c>
      <c r="D53" s="24">
        <v>20.100000000000001</v>
      </c>
      <c r="E53" s="25">
        <f t="shared" si="18"/>
        <v>0</v>
      </c>
      <c r="F53" s="104">
        <f>IF(ISNUMBER(D53), $B64 * E53, "")</f>
        <v>0</v>
      </c>
      <c r="G53" s="102">
        <v>19.899999999999999</v>
      </c>
      <c r="H53" s="25">
        <f t="shared" si="19"/>
        <v>-9.9502487562190458E-3</v>
      </c>
      <c r="I53" s="103">
        <f>IF(ISNUMBER(G53), $B64 * H53, "")</f>
        <v>-2985.0746268657135</v>
      </c>
      <c r="J53" s="24">
        <v>20.100000000000001</v>
      </c>
      <c r="K53" s="25">
        <f t="shared" si="20"/>
        <v>0</v>
      </c>
      <c r="L53" s="104">
        <f>IF(ISNUMBER(J53), $B64 * K53, "")</f>
        <v>0</v>
      </c>
      <c r="M53" s="102">
        <v>20.100000000000001</v>
      </c>
      <c r="N53" s="25">
        <f t="shared" si="21"/>
        <v>0</v>
      </c>
      <c r="O53" s="104">
        <f>IF(ISNUMBER(M53), $B64 * N53, "")</f>
        <v>0</v>
      </c>
      <c r="Q53" s="175"/>
      <c r="R53" s="176"/>
      <c r="S53" s="177"/>
    </row>
    <row r="54" spans="1:19" ht="17.25" customHeight="1">
      <c r="A54" s="12" t="s">
        <v>214</v>
      </c>
      <c r="B54" s="13">
        <v>24.3</v>
      </c>
      <c r="C54" s="14">
        <v>4.1322314000000002E-3</v>
      </c>
      <c r="D54" s="13">
        <v>24.2</v>
      </c>
      <c r="E54" s="14">
        <f>IF(ISNUMBER(D54), (D54 - $B54) / $B54, "")</f>
        <v>-4.1152263374486181E-3</v>
      </c>
      <c r="F54" s="16">
        <f>IF(ISNUMBER(D54), $B64 * E54, "")</f>
        <v>-1234.5679012345854</v>
      </c>
      <c r="G54" s="29">
        <v>24.2</v>
      </c>
      <c r="H54" s="14">
        <f>IF(ISNUMBER(G54), (G54 - $B54) / $B54, "")</f>
        <v>-4.1152263374486181E-3</v>
      </c>
      <c r="I54" s="100">
        <f>IF(ISNUMBER(G54), $B64 * H54, "")</f>
        <v>-1234.5679012345854</v>
      </c>
      <c r="J54" s="13">
        <v>24.2</v>
      </c>
      <c r="K54" s="14">
        <f>IF(ISNUMBER(J54), (J54 - $B54) / $B54, "")</f>
        <v>-4.1152263374486181E-3</v>
      </c>
      <c r="L54" s="16">
        <f>IF(ISNUMBER(J54), $B64 * K54, "")</f>
        <v>-1234.5679012345854</v>
      </c>
      <c r="M54" s="29">
        <v>24.2</v>
      </c>
      <c r="N54" s="14">
        <f>IF(ISNUMBER(M54), (M54 - $B54) / $B54, "")</f>
        <v>-4.1152263374486181E-3</v>
      </c>
      <c r="O54" s="16">
        <f>IF(ISNUMBER(M54), $B64 * N54, "")</f>
        <v>-1234.5679012345854</v>
      </c>
      <c r="Q54" s="178"/>
      <c r="R54" s="179"/>
      <c r="S54" s="180"/>
    </row>
    <row r="55" spans="1:19" ht="17.25" customHeight="1" thickBot="1">
      <c r="A55" s="17" t="s">
        <v>126</v>
      </c>
      <c r="B55" s="15">
        <v>60.4</v>
      </c>
      <c r="C55" s="32">
        <v>3.3222591000000002E-3</v>
      </c>
      <c r="D55" s="15">
        <v>69.599999999999994</v>
      </c>
      <c r="E55" s="32">
        <f t="shared" ref="E55:E58" si="22">IF(ISNUMBER(D55), (D55 - $B55) / $B55, "")</f>
        <v>0.15231788079470193</v>
      </c>
      <c r="F55" s="18">
        <f>IF(ISNUMBER(D55), $B64 * E55, "")</f>
        <v>45695.364238410577</v>
      </c>
      <c r="G55" s="31">
        <v>70.3</v>
      </c>
      <c r="H55" s="32">
        <f t="shared" ref="H55:H58" si="23">IF(ISNUMBER(G55), (G55 - $B55) / $B55, "")</f>
        <v>0.1639072847682119</v>
      </c>
      <c r="I55" s="101">
        <f>IF(ISNUMBER(G55), $B64 * H55, "")</f>
        <v>49172.185430463571</v>
      </c>
      <c r="J55" s="15">
        <v>71.2</v>
      </c>
      <c r="K55" s="32">
        <f t="shared" ref="K55:K58" si="24">IF(ISNUMBER(J55), (J55 - $B55) / $B55, "")</f>
        <v>0.17880794701986763</v>
      </c>
      <c r="L55" s="18">
        <f>IF(ISNUMBER(J55), $B64 * K55, "")</f>
        <v>53642.384105960286</v>
      </c>
      <c r="M55" s="31">
        <v>70.7</v>
      </c>
      <c r="N55" s="32">
        <f t="shared" ref="N55:N58" si="25">IF(ISNUMBER(M55), (M55 - $B55) / $B55, "")</f>
        <v>0.17052980132450338</v>
      </c>
      <c r="O55" s="18">
        <f>IF(ISNUMBER(M55), $B64 * N55, "")</f>
        <v>51158.940397351013</v>
      </c>
      <c r="Q55" s="181"/>
      <c r="R55" s="182"/>
      <c r="S55" s="183"/>
    </row>
    <row r="56" spans="1:19" ht="17.25" customHeight="1" thickBot="1">
      <c r="A56" s="17" t="s">
        <v>198</v>
      </c>
      <c r="B56" s="15">
        <v>31.2</v>
      </c>
      <c r="C56" s="32">
        <v>3.2154341000000001E-3</v>
      </c>
      <c r="D56" s="15">
        <v>31.5</v>
      </c>
      <c r="E56" s="32">
        <f t="shared" si="22"/>
        <v>9.6153846153846385E-3</v>
      </c>
      <c r="F56" s="18">
        <f>IF(ISNUMBER(D56), $B64 * E56, "")</f>
        <v>2884.6153846153916</v>
      </c>
      <c r="G56" s="31">
        <v>31.3</v>
      </c>
      <c r="H56" s="32">
        <f t="shared" si="23"/>
        <v>3.2051282051282506E-3</v>
      </c>
      <c r="I56" s="101">
        <f>IF(ISNUMBER(G56), $B64 * H56, "")</f>
        <v>961.53846153847519</v>
      </c>
      <c r="J56" s="15">
        <v>31.5</v>
      </c>
      <c r="K56" s="32">
        <f t="shared" si="24"/>
        <v>9.6153846153846385E-3</v>
      </c>
      <c r="L56" s="18">
        <f>IF(ISNUMBER(J56), $B64 * K56, "")</f>
        <v>2884.6153846153916</v>
      </c>
      <c r="M56" s="31">
        <v>31.7</v>
      </c>
      <c r="N56" s="32">
        <f t="shared" si="25"/>
        <v>1.6025641025641028E-2</v>
      </c>
      <c r="O56" s="18">
        <f>IF(ISNUMBER(M56), $B64 * N56, "")</f>
        <v>4807.6923076923085</v>
      </c>
      <c r="Q56" s="174"/>
      <c r="R56" s="174"/>
      <c r="S56" s="174"/>
    </row>
    <row r="57" spans="1:19" ht="17.25" customHeight="1" thickBot="1">
      <c r="A57" s="17" t="s">
        <v>154</v>
      </c>
      <c r="B57" s="15">
        <v>22.1</v>
      </c>
      <c r="C57" s="32">
        <v>0</v>
      </c>
      <c r="D57" s="15">
        <v>22.2</v>
      </c>
      <c r="E57" s="32">
        <f t="shared" si="22"/>
        <v>4.5248868778279576E-3</v>
      </c>
      <c r="F57" s="18">
        <f>IF(ISNUMBER(D57), $B64 * E57, "")</f>
        <v>1357.4660633483873</v>
      </c>
      <c r="G57" s="31">
        <v>21.9</v>
      </c>
      <c r="H57" s="32">
        <f t="shared" si="23"/>
        <v>-9.049773755656236E-3</v>
      </c>
      <c r="I57" s="101">
        <f>IF(ISNUMBER(G57), $B64 * H57, "")</f>
        <v>-2714.9321266968709</v>
      </c>
      <c r="J57" s="15">
        <v>22.1</v>
      </c>
      <c r="K57" s="32">
        <f t="shared" si="24"/>
        <v>0</v>
      </c>
      <c r="L57" s="18">
        <f>IF(ISNUMBER(J57), $B64 * K57, "")</f>
        <v>0</v>
      </c>
      <c r="M57" s="31">
        <v>22.2</v>
      </c>
      <c r="N57" s="32">
        <f t="shared" si="25"/>
        <v>4.5248868778279576E-3</v>
      </c>
      <c r="O57" s="18">
        <f>IF(ISNUMBER(M57), $B64 * N57, "")</f>
        <v>1357.4660633483873</v>
      </c>
      <c r="Q57" s="184"/>
      <c r="R57" s="184"/>
      <c r="S57" s="184"/>
    </row>
    <row r="58" spans="1:19" ht="17.25" customHeight="1" thickBot="1">
      <c r="A58" s="19" t="s">
        <v>268</v>
      </c>
      <c r="B58" s="20">
        <v>96.5</v>
      </c>
      <c r="C58" s="21">
        <v>-1.0351967E-3</v>
      </c>
      <c r="D58" s="20">
        <v>98</v>
      </c>
      <c r="E58" s="21">
        <f t="shared" si="22"/>
        <v>1.5544041450777202E-2</v>
      </c>
      <c r="F58" s="22">
        <f>IF(ISNUMBER(D58), $B64 * E58, "")</f>
        <v>4663.2124352331602</v>
      </c>
      <c r="G58" s="30">
        <v>97.1</v>
      </c>
      <c r="H58" s="21">
        <f t="shared" si="23"/>
        <v>6.2176165803108216E-3</v>
      </c>
      <c r="I58" s="105">
        <f>IF(ISNUMBER(G58), $B64 * H58, "")</f>
        <v>1865.2849740932465</v>
      </c>
      <c r="J58" s="20">
        <v>97.1</v>
      </c>
      <c r="K58" s="21">
        <f t="shared" si="24"/>
        <v>6.2176165803108216E-3</v>
      </c>
      <c r="L58" s="22">
        <f>IF(ISNUMBER(J58), $B64 * K58, "")</f>
        <v>1865.2849740932465</v>
      </c>
      <c r="M58" s="30">
        <v>97</v>
      </c>
      <c r="N58" s="21">
        <f t="shared" si="25"/>
        <v>5.1813471502590676E-3</v>
      </c>
      <c r="O58" s="22">
        <f>IF(ISNUMBER(M58), $B64 * N58, "")</f>
        <v>1554.4041450777202</v>
      </c>
      <c r="Q58" s="184"/>
      <c r="R58" s="184"/>
      <c r="S58" s="184"/>
    </row>
    <row r="59" spans="1:19" ht="17.25" customHeight="1" thickBot="1">
      <c r="A59" s="17" t="s">
        <v>186</v>
      </c>
      <c r="B59" s="106">
        <v>26.1</v>
      </c>
      <c r="C59" s="107">
        <v>-3.8167939000000001E-3</v>
      </c>
      <c r="D59" s="106">
        <v>26.6</v>
      </c>
      <c r="E59" s="107">
        <f>IF(ISNUMBER(D59), (D59 - $B59) / $B59, "")</f>
        <v>1.9157088122605363E-2</v>
      </c>
      <c r="F59" s="108">
        <f>IF(ISNUMBER(D59), $B64 * E59, "")</f>
        <v>5747.1264367816084</v>
      </c>
      <c r="G59" s="109">
        <v>26.2</v>
      </c>
      <c r="H59" s="107">
        <f>IF(ISNUMBER(G59), (G59 - $B59) / $B59, "")</f>
        <v>3.8314176245209911E-3</v>
      </c>
      <c r="I59" s="110">
        <f>IF(ISNUMBER(G59), $B64 * H59, "")</f>
        <v>1149.4252873562973</v>
      </c>
      <c r="J59" s="106">
        <v>26.5</v>
      </c>
      <c r="K59" s="107">
        <f>IF(ISNUMBER(J59), (J59 - $B59) / $B59, "")</f>
        <v>1.5325670498084237E-2</v>
      </c>
      <c r="L59" s="108">
        <f>IF(ISNUMBER(J59), $B64 * K59, "")</f>
        <v>4597.7011494252711</v>
      </c>
      <c r="M59" s="109">
        <v>26.3</v>
      </c>
      <c r="N59" s="107">
        <f>IF(ISNUMBER(M59), (M59 - $B59) / $B59, "")</f>
        <v>7.6628352490421183E-3</v>
      </c>
      <c r="O59" s="108">
        <f>IF(ISNUMBER(M59), $B64 * N59, "")</f>
        <v>2298.8505747126355</v>
      </c>
      <c r="Q59" s="174"/>
      <c r="R59" s="174"/>
      <c r="S59" s="174"/>
    </row>
    <row r="60" spans="1:19" ht="17.25" customHeight="1" thickBot="1">
      <c r="A60" s="17" t="s">
        <v>218</v>
      </c>
      <c r="B60" s="15">
        <v>31.8</v>
      </c>
      <c r="C60" s="32">
        <v>-6.2500000000000003E-3</v>
      </c>
      <c r="D60" s="15">
        <v>32.1</v>
      </c>
      <c r="E60" s="32">
        <f t="shared" ref="E60:E63" si="26">IF(ISNUMBER(D60), (D60 - $B60) / $B60, "")</f>
        <v>9.4339622641509656E-3</v>
      </c>
      <c r="F60" s="18">
        <f>IF(ISNUMBER(D60), $B64 * E60, "")</f>
        <v>2830.1886792452897</v>
      </c>
      <c r="G60" s="31">
        <v>32</v>
      </c>
      <c r="H60" s="32">
        <f t="shared" ref="H60:H63" si="27">IF(ISNUMBER(G60), (G60 - $B60) / $B60, "")</f>
        <v>6.2893081761006067E-3</v>
      </c>
      <c r="I60" s="101">
        <f>IF(ISNUMBER(G60), $B64 * H60, "")</f>
        <v>1886.7924528301821</v>
      </c>
      <c r="J60" s="15">
        <v>32.1</v>
      </c>
      <c r="K60" s="32">
        <f t="shared" ref="K60:K63" si="28">IF(ISNUMBER(J60), (J60 - $B60) / $B60, "")</f>
        <v>9.4339622641509656E-3</v>
      </c>
      <c r="L60" s="18">
        <f>IF(ISNUMBER(J60), $B64 * K60, "")</f>
        <v>2830.1886792452897</v>
      </c>
      <c r="M60" s="31">
        <v>32.1</v>
      </c>
      <c r="N60" s="32">
        <f t="shared" ref="N60:N63" si="29">IF(ISNUMBER(M60), (M60 - $B60) / $B60, "")</f>
        <v>9.4339622641509656E-3</v>
      </c>
      <c r="O60" s="18">
        <f>IF(ISNUMBER(M60), $B64 * N60, "")</f>
        <v>2830.1886792452897</v>
      </c>
      <c r="Q60" s="174"/>
      <c r="R60" s="174"/>
      <c r="S60" s="174"/>
    </row>
    <row r="61" spans="1:19" ht="17.25" customHeight="1" thickBot="1">
      <c r="A61" s="17" t="s">
        <v>172</v>
      </c>
      <c r="B61" s="15">
        <v>28.3</v>
      </c>
      <c r="C61" s="32">
        <v>-1.04895105E-2</v>
      </c>
      <c r="D61" s="15">
        <v>28.2</v>
      </c>
      <c r="E61" s="32">
        <f t="shared" si="26"/>
        <v>-3.5335689045936898E-3</v>
      </c>
      <c r="F61" s="18">
        <f>IF(ISNUMBER(D61), $B64 * E61, "")</f>
        <v>-1060.0706713781069</v>
      </c>
      <c r="G61" s="31">
        <v>28</v>
      </c>
      <c r="H61" s="32">
        <f t="shared" si="27"/>
        <v>-1.0600706713780944E-2</v>
      </c>
      <c r="I61" s="101">
        <f>IF(ISNUMBER(G61), $B64 * H61, "")</f>
        <v>-3180.212014134283</v>
      </c>
      <c r="J61" s="15">
        <v>28.1</v>
      </c>
      <c r="K61" s="32">
        <f t="shared" si="28"/>
        <v>-7.0671378091872539E-3</v>
      </c>
      <c r="L61" s="18">
        <f>IF(ISNUMBER(J61), $B64 * K61, "")</f>
        <v>-2120.1413427561761</v>
      </c>
      <c r="M61" s="31">
        <v>28.2</v>
      </c>
      <c r="N61" s="32">
        <f t="shared" si="29"/>
        <v>-3.5335689045936898E-3</v>
      </c>
      <c r="O61" s="18">
        <f>IF(ISNUMBER(M61), $B64 * N61, "")</f>
        <v>-1060.0706713781069</v>
      </c>
      <c r="Q61" s="174"/>
      <c r="R61" s="174"/>
      <c r="S61" s="174"/>
    </row>
    <row r="62" spans="1:19" ht="17.25" customHeight="1">
      <c r="A62" s="17" t="s">
        <v>254</v>
      </c>
      <c r="B62" s="15">
        <v>93</v>
      </c>
      <c r="C62" s="32">
        <v>-1.4830508500000001E-2</v>
      </c>
      <c r="D62" s="15">
        <v>92.4</v>
      </c>
      <c r="E62" s="32">
        <f t="shared" si="26"/>
        <v>-6.4516129032257457E-3</v>
      </c>
      <c r="F62" s="18">
        <f>IF(ISNUMBER(D62), $B64 * E62, "")</f>
        <v>-1935.4838709677238</v>
      </c>
      <c r="G62" s="31">
        <v>92.1</v>
      </c>
      <c r="H62" s="32">
        <f t="shared" si="27"/>
        <v>-9.6774193548387708E-3</v>
      </c>
      <c r="I62" s="101">
        <f>IF(ISNUMBER(G62), $B64 * H62, "")</f>
        <v>-2903.2258064516313</v>
      </c>
      <c r="J62" s="15">
        <v>92.4</v>
      </c>
      <c r="K62" s="32">
        <f t="shared" si="28"/>
        <v>-6.4516129032257457E-3</v>
      </c>
      <c r="L62" s="18">
        <f>IF(ISNUMBER(J62), $B64 * K62, "")</f>
        <v>-1935.4838709677238</v>
      </c>
      <c r="M62" s="31">
        <v>92.4</v>
      </c>
      <c r="N62" s="32">
        <f t="shared" si="29"/>
        <v>-6.4516129032257457E-3</v>
      </c>
      <c r="O62" s="18">
        <f>IF(ISNUMBER(M62), $B64 * N62, "")</f>
        <v>-1935.4838709677238</v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1.7011904959877054E-2</v>
      </c>
      <c r="F64" s="28">
        <f>SUM(F44:F63)</f>
        <v>96967.858271299192</v>
      </c>
      <c r="G64" s="26" t="s">
        <v>302</v>
      </c>
      <c r="H64" s="27">
        <f>IF(COUNT(H44:H63), SUM(H44:H63) / COUNT(H44:H63), 0)</f>
        <v>1.0964410328502251E-2</v>
      </c>
      <c r="I64" s="28">
        <f>SUM(I44:I63)</f>
        <v>62497.138872462834</v>
      </c>
      <c r="J64" s="26" t="s">
        <v>302</v>
      </c>
      <c r="K64" s="27">
        <f>IF(COUNT(K44:K63), SUM(K44:K63) / COUNT(K44:K63), 0)</f>
        <v>1.6520727415929037E-2</v>
      </c>
      <c r="L64" s="28">
        <f>SUM(L44:L63)</f>
        <v>94168.146270795492</v>
      </c>
      <c r="M64" s="26" t="s">
        <v>302</v>
      </c>
      <c r="N64" s="27">
        <f>IF(COUNT(N44:N63), SUM(N44:N63) / COUNT(N44:N63), 0)</f>
        <v>1.6121951928549837E-2</v>
      </c>
      <c r="O64" s="28">
        <f>SUM(O44:O63)</f>
        <v>91895.125992734043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2021-05-01(토) 오전 00:00</v>
      </c>
      <c r="C69" s="197"/>
      <c r="D69" s="198" t="str">
        <f>TEXT($G$1, "[$-ko-KR]yyyy-mm-dd(ddd) ") &amp; "오후 14:00"</f>
        <v>2021-05-01(토) 오후 14:00</v>
      </c>
      <c r="E69" s="199"/>
      <c r="F69" s="200"/>
      <c r="G69" s="198" t="str">
        <f>TEXT($G$1, "[$-ko-KR]yyyy-mm-dd(ddd) ") &amp; "오후 19:00"</f>
        <v>2021-05-01(토) 오후 19:00</v>
      </c>
      <c r="H69" s="199"/>
      <c r="I69" s="200"/>
      <c r="J69" s="198" t="str">
        <f>TEXT($G$1, "[$-ko-KR]yyyy-mm-dd(ddd) ") &amp; "오후 21:00"</f>
        <v>2021-05-01(토) 오후 21:00</v>
      </c>
      <c r="K69" s="199"/>
      <c r="L69" s="200"/>
      <c r="M69" s="198" t="str">
        <f>TEXT($G$1+1, "[$-ko-KR]yyyy-mm-dd(ddd) ") &amp; "오전 00:00"</f>
        <v>2021-05-02(일)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116</v>
      </c>
      <c r="B71" s="13">
        <v>741</v>
      </c>
      <c r="C71" s="14">
        <v>0.1010401189</v>
      </c>
      <c r="D71" s="13">
        <v>731</v>
      </c>
      <c r="E71" s="14">
        <f>IF(ISNUMBER(D71), (D71 - $B71) / $B71, "")</f>
        <v>-1.3495276653171391E-2</v>
      </c>
      <c r="F71" s="16">
        <f>IF(ISNUMBER(D71), $B91 * E71, "")</f>
        <v>-4048.5829959514172</v>
      </c>
      <c r="G71" s="29">
        <v>717</v>
      </c>
      <c r="H71" s="14">
        <f>IF(ISNUMBER(G71), (G71 - $B71) / $B71, "")</f>
        <v>-3.2388663967611336E-2</v>
      </c>
      <c r="I71" s="100">
        <f>IF(ISNUMBER(G71), $B91 * H71, "")</f>
        <v>-9716.5991902834012</v>
      </c>
      <c r="J71" s="13">
        <v>728</v>
      </c>
      <c r="K71" s="14">
        <f>IF(ISNUMBER(J71), (J71 - $B71) / $B71, "")</f>
        <v>-1.7543859649122806E-2</v>
      </c>
      <c r="L71" s="16">
        <f>IF(ISNUMBER(J71), $B91 * K71, "")</f>
        <v>-5263.1578947368416</v>
      </c>
      <c r="M71" s="29">
        <v>715</v>
      </c>
      <c r="N71" s="14">
        <f>IF(ISNUMBER(M71), (M71 - $B71) / $B71, "")</f>
        <v>-3.5087719298245612E-2</v>
      </c>
      <c r="O71" s="16">
        <f>IF(ISNUMBER(M71), $B91 * N71, "")</f>
        <v>-10526.315789473683</v>
      </c>
      <c r="Q71" s="184"/>
      <c r="R71" s="184"/>
      <c r="S71" s="184"/>
    </row>
    <row r="72" spans="1:19" ht="17.25" thickBot="1">
      <c r="A72" s="17" t="s">
        <v>168</v>
      </c>
      <c r="B72" s="15">
        <v>205</v>
      </c>
      <c r="C72" s="32">
        <v>7.3298429299999995E-2</v>
      </c>
      <c r="D72" s="15">
        <v>206</v>
      </c>
      <c r="E72" s="32">
        <f t="shared" ref="E72:E75" si="30">IF(ISNUMBER(D72), (D72 - $B72) / $B72, "")</f>
        <v>4.8780487804878049E-3</v>
      </c>
      <c r="F72" s="18">
        <f>IF(ISNUMBER(D72), $B91 * E72, "")</f>
        <v>1463.4146341463415</v>
      </c>
      <c r="G72" s="31">
        <v>204</v>
      </c>
      <c r="H72" s="32">
        <f t="shared" ref="H72:H75" si="31">IF(ISNUMBER(G72), (G72 - $B72) / $B72, "")</f>
        <v>-4.8780487804878049E-3</v>
      </c>
      <c r="I72" s="101">
        <f>IF(ISNUMBER(G72), $B91 * H72, "")</f>
        <v>-1463.4146341463415</v>
      </c>
      <c r="J72" s="15">
        <v>206</v>
      </c>
      <c r="K72" s="32">
        <f t="shared" ref="K72:K75" si="32">IF(ISNUMBER(J72), (J72 - $B72) / $B72, "")</f>
        <v>4.8780487804878049E-3</v>
      </c>
      <c r="L72" s="18">
        <f>IF(ISNUMBER(J72), $B91 * K72, "")</f>
        <v>1463.4146341463415</v>
      </c>
      <c r="M72" s="31">
        <v>205</v>
      </c>
      <c r="N72" s="32">
        <f t="shared" ref="N72:N75" si="33">IF(ISNUMBER(M72), (M72 - $B72) / $B72, "")</f>
        <v>0</v>
      </c>
      <c r="O72" s="18">
        <f>IF(ISNUMBER(M72), $B91 * N72, "")</f>
        <v>0</v>
      </c>
      <c r="Q72" s="184"/>
      <c r="R72" s="184"/>
      <c r="S72" s="184"/>
    </row>
    <row r="73" spans="1:19" ht="17.25" thickBot="1">
      <c r="A73" s="17" t="s">
        <v>51</v>
      </c>
      <c r="B73" s="15">
        <v>626</v>
      </c>
      <c r="C73" s="32">
        <v>6.8259385699999994E-2</v>
      </c>
      <c r="D73" s="15">
        <v>627</v>
      </c>
      <c r="E73" s="32">
        <f t="shared" si="30"/>
        <v>1.5974440894568689E-3</v>
      </c>
      <c r="F73" s="18">
        <f>IF(ISNUMBER(D73), $B91 * E73, "")</f>
        <v>479.23322683706067</v>
      </c>
      <c r="G73" s="31">
        <v>619</v>
      </c>
      <c r="H73" s="32">
        <f t="shared" si="31"/>
        <v>-1.1182108626198083E-2</v>
      </c>
      <c r="I73" s="101">
        <f>IF(ISNUMBER(G73), $B91 * H73, "")</f>
        <v>-3354.6325878594248</v>
      </c>
      <c r="J73" s="15">
        <v>626</v>
      </c>
      <c r="K73" s="32">
        <f t="shared" si="32"/>
        <v>0</v>
      </c>
      <c r="L73" s="18">
        <f>IF(ISNUMBER(J73), $B91 * K73, "")</f>
        <v>0</v>
      </c>
      <c r="M73" s="31">
        <v>620</v>
      </c>
      <c r="N73" s="32">
        <f t="shared" si="33"/>
        <v>-9.5846645367412137E-3</v>
      </c>
      <c r="O73" s="18">
        <f>IF(ISNUMBER(M73), $B91 * N73, "")</f>
        <v>-2875.3993610223642</v>
      </c>
      <c r="Q73" s="174"/>
      <c r="R73" s="174"/>
      <c r="S73" s="174"/>
    </row>
    <row r="74" spans="1:19" ht="17.25" thickBot="1">
      <c r="A74" s="17" t="s">
        <v>136</v>
      </c>
      <c r="B74" s="15">
        <v>244</v>
      </c>
      <c r="C74" s="32">
        <v>6.5502183399999997E-2</v>
      </c>
      <c r="D74" s="15">
        <v>247</v>
      </c>
      <c r="E74" s="32">
        <f t="shared" si="30"/>
        <v>1.2295081967213115E-2</v>
      </c>
      <c r="F74" s="18">
        <f>IF(ISNUMBER(D74), $B91 * E74, "")</f>
        <v>3688.5245901639341</v>
      </c>
      <c r="G74" s="31">
        <v>245</v>
      </c>
      <c r="H74" s="32">
        <f t="shared" si="31"/>
        <v>4.0983606557377051E-3</v>
      </c>
      <c r="I74" s="101">
        <f>IF(ISNUMBER(G74), $B91 * H74, "")</f>
        <v>1229.5081967213116</v>
      </c>
      <c r="J74" s="15">
        <v>254</v>
      </c>
      <c r="K74" s="32">
        <f t="shared" si="32"/>
        <v>4.0983606557377046E-2</v>
      </c>
      <c r="L74" s="18">
        <f>IF(ISNUMBER(J74), $B91 * K74, "")</f>
        <v>12295.081967213115</v>
      </c>
      <c r="M74" s="31">
        <v>250</v>
      </c>
      <c r="N74" s="32">
        <f t="shared" si="33"/>
        <v>2.4590163934426229E-2</v>
      </c>
      <c r="O74" s="18">
        <f>IF(ISNUMBER(M74), $B91 * N74, "")</f>
        <v>7377.0491803278683</v>
      </c>
      <c r="Q74" s="174"/>
      <c r="R74" s="174"/>
      <c r="S74" s="174"/>
    </row>
    <row r="75" spans="1:19" ht="17.25" thickBot="1">
      <c r="A75" s="19" t="s">
        <v>210</v>
      </c>
      <c r="B75" s="20">
        <v>217</v>
      </c>
      <c r="C75" s="21">
        <v>5.85365854E-2</v>
      </c>
      <c r="D75" s="20">
        <v>217</v>
      </c>
      <c r="E75" s="21">
        <f t="shared" si="30"/>
        <v>0</v>
      </c>
      <c r="F75" s="22">
        <f>IF(ISNUMBER(D75), $B91 * E75, "")</f>
        <v>0</v>
      </c>
      <c r="G75" s="30">
        <v>213</v>
      </c>
      <c r="H75" s="21">
        <f t="shared" si="31"/>
        <v>-1.8433179723502304E-2</v>
      </c>
      <c r="I75" s="105">
        <f>IF(ISNUMBER(G75), $B91 * H75, "")</f>
        <v>-5529.9539170506914</v>
      </c>
      <c r="J75" s="20">
        <v>215</v>
      </c>
      <c r="K75" s="21">
        <f t="shared" si="32"/>
        <v>-9.2165898617511521E-3</v>
      </c>
      <c r="L75" s="22">
        <f>IF(ISNUMBER(J75), $B91 * K75, "")</f>
        <v>-2764.9769585253457</v>
      </c>
      <c r="M75" s="30">
        <v>214</v>
      </c>
      <c r="N75" s="21">
        <f t="shared" si="33"/>
        <v>-1.3824884792626729E-2</v>
      </c>
      <c r="O75" s="22">
        <f>IF(ISNUMBER(M75), $B91 * N75, "")</f>
        <v>-4147.4654377880188</v>
      </c>
      <c r="Q75" s="174"/>
      <c r="R75" s="174"/>
      <c r="S75" s="174"/>
    </row>
    <row r="76" spans="1:19" ht="17.25" thickBot="1">
      <c r="A76" s="17" t="s">
        <v>156</v>
      </c>
      <c r="B76" s="106">
        <v>151</v>
      </c>
      <c r="C76" s="107">
        <v>4.13793103E-2</v>
      </c>
      <c r="D76" s="106">
        <v>156</v>
      </c>
      <c r="E76" s="107">
        <f>IF(ISNUMBER(D76), (D76 - $B76) / $B76, "")</f>
        <v>3.3112582781456956E-2</v>
      </c>
      <c r="F76" s="108">
        <f>IF(ISNUMBER(D76), $B91 * E76, "")</f>
        <v>9933.7748344370866</v>
      </c>
      <c r="G76" s="109">
        <v>155</v>
      </c>
      <c r="H76" s="107">
        <f>IF(ISNUMBER(G76), (G76 - $B76) / $B76, "")</f>
        <v>2.6490066225165563E-2</v>
      </c>
      <c r="I76" s="110">
        <f>IF(ISNUMBER(G76), $B91 * H76, "")</f>
        <v>7947.0198675496686</v>
      </c>
      <c r="J76" s="106">
        <v>156</v>
      </c>
      <c r="K76" s="107">
        <f>IF(ISNUMBER(J76), (J76 - $B76) / $B76, "")</f>
        <v>3.3112582781456956E-2</v>
      </c>
      <c r="L76" s="108">
        <f>IF(ISNUMBER(J76), $B91 * K76, "")</f>
        <v>9933.7748344370866</v>
      </c>
      <c r="M76" s="109">
        <v>153</v>
      </c>
      <c r="N76" s="107">
        <f>IF(ISNUMBER(M76), (M76 - $B76) / $B76, "")</f>
        <v>1.3245033112582781E-2</v>
      </c>
      <c r="O76" s="108">
        <f>IF(ISNUMBER(M76), $B91 * N76, "")</f>
        <v>3973.5099337748343</v>
      </c>
      <c r="Q76" s="174"/>
      <c r="R76" s="174"/>
      <c r="S76" s="174"/>
    </row>
    <row r="77" spans="1:19" ht="17.25" thickBot="1">
      <c r="A77" s="17" t="s">
        <v>120</v>
      </c>
      <c r="B77" s="15">
        <v>228</v>
      </c>
      <c r="C77" s="32">
        <v>3.6363636400000003E-2</v>
      </c>
      <c r="D77" s="15">
        <v>231</v>
      </c>
      <c r="E77" s="32">
        <f t="shared" ref="E77:E80" si="34">IF(ISNUMBER(D77), (D77 - $B77) / $B77, "")</f>
        <v>1.3157894736842105E-2</v>
      </c>
      <c r="F77" s="18">
        <f>IF(ISNUMBER(D77), $B91 * E77, "")</f>
        <v>3947.3684210526312</v>
      </c>
      <c r="G77" s="31">
        <v>229</v>
      </c>
      <c r="H77" s="32">
        <f t="shared" ref="H77:H80" si="35">IF(ISNUMBER(G77), (G77 - $B77) / $B77, "")</f>
        <v>4.3859649122807015E-3</v>
      </c>
      <c r="I77" s="101">
        <f>IF(ISNUMBER(G77), $B91 * H77, "")</f>
        <v>1315.7894736842104</v>
      </c>
      <c r="J77" s="15">
        <v>231</v>
      </c>
      <c r="K77" s="32">
        <f t="shared" ref="K77:K80" si="36">IF(ISNUMBER(J77), (J77 - $B77) / $B77, "")</f>
        <v>1.3157894736842105E-2</v>
      </c>
      <c r="L77" s="18">
        <f>IF(ISNUMBER(J77), $B91 * K77, "")</f>
        <v>3947.3684210526312</v>
      </c>
      <c r="M77" s="31">
        <v>230</v>
      </c>
      <c r="N77" s="32">
        <f t="shared" ref="N77:N80" si="37">IF(ISNUMBER(M77), (M77 - $B77) / $B77, "")</f>
        <v>8.771929824561403E-3</v>
      </c>
      <c r="O77" s="18">
        <f>IF(ISNUMBER(M77), $B91 * N77, "")</f>
        <v>2631.5789473684208</v>
      </c>
      <c r="Q77" s="174"/>
      <c r="R77" s="174"/>
      <c r="S77" s="174"/>
    </row>
    <row r="78" spans="1:19" ht="17.25" thickBot="1">
      <c r="A78" s="17" t="s">
        <v>296</v>
      </c>
      <c r="B78" s="15">
        <v>374</v>
      </c>
      <c r="C78" s="32">
        <v>3.0303030299999999E-2</v>
      </c>
      <c r="D78" s="15">
        <v>432</v>
      </c>
      <c r="E78" s="32">
        <f t="shared" si="34"/>
        <v>0.15508021390374332</v>
      </c>
      <c r="F78" s="18">
        <f>IF(ISNUMBER(D78), $B91 * E78, "")</f>
        <v>46524.064171122998</v>
      </c>
      <c r="G78" s="31">
        <v>423</v>
      </c>
      <c r="H78" s="32">
        <f t="shared" si="35"/>
        <v>0.13101604278074866</v>
      </c>
      <c r="I78" s="101">
        <f>IF(ISNUMBER(G78), $B91 * H78, "")</f>
        <v>39304.812834224598</v>
      </c>
      <c r="J78" s="15">
        <v>428</v>
      </c>
      <c r="K78" s="32">
        <f t="shared" si="36"/>
        <v>0.14438502673796791</v>
      </c>
      <c r="L78" s="18">
        <f>IF(ISNUMBER(J78), $B91 * K78, "")</f>
        <v>43315.508021390371</v>
      </c>
      <c r="M78" s="31">
        <v>427</v>
      </c>
      <c r="N78" s="32">
        <f t="shared" si="37"/>
        <v>0.14171122994652408</v>
      </c>
      <c r="O78" s="18">
        <f>IF(ISNUMBER(M78), $B91 * N78, "")</f>
        <v>42513.368983957225</v>
      </c>
      <c r="Q78" s="174"/>
      <c r="R78" s="174"/>
      <c r="S78" s="174"/>
    </row>
    <row r="79" spans="1:19" ht="17.25" thickBot="1">
      <c r="A79" s="17" t="s">
        <v>54</v>
      </c>
      <c r="B79" s="15">
        <v>351</v>
      </c>
      <c r="C79" s="32">
        <v>2.93255132E-2</v>
      </c>
      <c r="D79" s="15">
        <v>351</v>
      </c>
      <c r="E79" s="32">
        <f t="shared" si="34"/>
        <v>0</v>
      </c>
      <c r="F79" s="18">
        <f>IF(ISNUMBER(D79), $B91 * E79, "")</f>
        <v>0</v>
      </c>
      <c r="G79" s="31">
        <v>348</v>
      </c>
      <c r="H79" s="32">
        <f t="shared" si="35"/>
        <v>-8.5470085470085479E-3</v>
      </c>
      <c r="I79" s="101">
        <f>IF(ISNUMBER(G79), $B91 * H79, "")</f>
        <v>-2564.1025641025644</v>
      </c>
      <c r="J79" s="15">
        <v>355</v>
      </c>
      <c r="K79" s="32">
        <f t="shared" si="36"/>
        <v>1.1396011396011397E-2</v>
      </c>
      <c r="L79" s="18">
        <f>IF(ISNUMBER(J79), $B91 * K79, "")</f>
        <v>3418.8034188034189</v>
      </c>
      <c r="M79" s="31">
        <v>369</v>
      </c>
      <c r="N79" s="32">
        <f t="shared" si="37"/>
        <v>5.128205128205128E-2</v>
      </c>
      <c r="O79" s="18">
        <f>IF(ISNUMBER(M79), $B91 * N79, "")</f>
        <v>15384.615384615385</v>
      </c>
      <c r="Q79" s="33"/>
      <c r="R79" s="33"/>
    </row>
    <row r="80" spans="1:19" ht="17.25" thickBot="1">
      <c r="A80" s="23" t="s">
        <v>232</v>
      </c>
      <c r="B80" s="24">
        <v>184</v>
      </c>
      <c r="C80" s="25">
        <v>2.7932960900000001E-2</v>
      </c>
      <c r="D80" s="24">
        <v>201</v>
      </c>
      <c r="E80" s="25">
        <f t="shared" si="34"/>
        <v>9.2391304347826081E-2</v>
      </c>
      <c r="F80" s="104">
        <f>IF(ISNUMBER(D80), $B91 * E80, "")</f>
        <v>27717.391304347824</v>
      </c>
      <c r="G80" s="102">
        <v>200</v>
      </c>
      <c r="H80" s="25">
        <f t="shared" si="35"/>
        <v>8.6956521739130432E-2</v>
      </c>
      <c r="I80" s="103">
        <f>IF(ISNUMBER(G80), $B91 * H80, "")</f>
        <v>26086.956521739128</v>
      </c>
      <c r="J80" s="24">
        <v>203</v>
      </c>
      <c r="K80" s="25">
        <f t="shared" si="36"/>
        <v>0.10326086956521739</v>
      </c>
      <c r="L80" s="104">
        <f>IF(ISNUMBER(J80), $B91 * K80, "")</f>
        <v>30978.260869565216</v>
      </c>
      <c r="M80" s="102">
        <v>202</v>
      </c>
      <c r="N80" s="25">
        <f t="shared" si="37"/>
        <v>9.7826086956521743E-2</v>
      </c>
      <c r="O80" s="104">
        <f>IF(ISNUMBER(M80), $B91 * N80, "")</f>
        <v>29347.826086956524</v>
      </c>
      <c r="Q80" s="175"/>
      <c r="R80" s="176"/>
      <c r="S80" s="177"/>
    </row>
    <row r="81" spans="1:19">
      <c r="A81" s="12" t="s">
        <v>57</v>
      </c>
      <c r="B81" s="13">
        <v>411</v>
      </c>
      <c r="C81" s="14">
        <v>2.75E-2</v>
      </c>
      <c r="D81" s="13">
        <v>413</v>
      </c>
      <c r="E81" s="14">
        <f>IF(ISNUMBER(D81), (D81 - $B81) / $B81, "")</f>
        <v>4.8661800486618006E-3</v>
      </c>
      <c r="F81" s="16">
        <f>IF(ISNUMBER(D81), $B91 * E81, "")</f>
        <v>1459.8540145985403</v>
      </c>
      <c r="G81" s="29">
        <v>407</v>
      </c>
      <c r="H81" s="14">
        <f>IF(ISNUMBER(G81), (G81 - $B81) / $B81, "")</f>
        <v>-9.7323600973236012E-3</v>
      </c>
      <c r="I81" s="100">
        <f>IF(ISNUMBER(G81), $B91 * H81, "")</f>
        <v>-2919.7080291970806</v>
      </c>
      <c r="J81" s="13">
        <v>412</v>
      </c>
      <c r="K81" s="14">
        <f>IF(ISNUMBER(J81), (J81 - $B81) / $B81, "")</f>
        <v>2.4330900243309003E-3</v>
      </c>
      <c r="L81" s="16">
        <f>IF(ISNUMBER(J81), $B91 * K81, "")</f>
        <v>729.92700729927014</v>
      </c>
      <c r="M81" s="29">
        <v>411</v>
      </c>
      <c r="N81" s="14">
        <f>IF(ISNUMBER(M81), (M81 - $B81) / $B81, "")</f>
        <v>0</v>
      </c>
      <c r="O81" s="16">
        <f>IF(ISNUMBER(M81), $B91 * N81, "")</f>
        <v>0</v>
      </c>
      <c r="Q81" s="178"/>
      <c r="R81" s="179"/>
      <c r="S81" s="180"/>
    </row>
    <row r="82" spans="1:19" ht="17.25" thickBot="1">
      <c r="A82" s="17" t="s">
        <v>278</v>
      </c>
      <c r="B82" s="15">
        <v>150</v>
      </c>
      <c r="C82" s="32">
        <v>2.73972603E-2</v>
      </c>
      <c r="D82" s="15">
        <v>155</v>
      </c>
      <c r="E82" s="32">
        <f t="shared" ref="E82:E85" si="38">IF(ISNUMBER(D82), (D82 - $B82) / $B82, "")</f>
        <v>3.3333333333333333E-2</v>
      </c>
      <c r="F82" s="18">
        <f>IF(ISNUMBER(D82), $B91 * E82, "")</f>
        <v>10000</v>
      </c>
      <c r="G82" s="31">
        <v>154</v>
      </c>
      <c r="H82" s="32">
        <f t="shared" ref="H82:H85" si="39">IF(ISNUMBER(G82), (G82 - $B82) / $B82, "")</f>
        <v>2.6666666666666668E-2</v>
      </c>
      <c r="I82" s="101">
        <f>IF(ISNUMBER(G82), $B91 * H82, "")</f>
        <v>8000.0000000000009</v>
      </c>
      <c r="J82" s="15">
        <v>157</v>
      </c>
      <c r="K82" s="32">
        <f t="shared" ref="K82:K85" si="40">IF(ISNUMBER(J82), (J82 - $B82) / $B82, "")</f>
        <v>4.6666666666666669E-2</v>
      </c>
      <c r="L82" s="18">
        <f>IF(ISNUMBER(J82), $B91 * K82, "")</f>
        <v>14000</v>
      </c>
      <c r="M82" s="31">
        <v>154</v>
      </c>
      <c r="N82" s="32">
        <f t="shared" ref="N82:N85" si="41">IF(ISNUMBER(M82), (M82 - $B82) / $B82, "")</f>
        <v>2.6666666666666668E-2</v>
      </c>
      <c r="O82" s="18">
        <f>IF(ISNUMBER(M82), $B91 * N82, "")</f>
        <v>8000.0000000000009</v>
      </c>
      <c r="Q82" s="181"/>
      <c r="R82" s="182"/>
      <c r="S82" s="183"/>
    </row>
    <row r="83" spans="1:19" ht="17.25" thickBot="1">
      <c r="A83" s="17" t="s">
        <v>134</v>
      </c>
      <c r="B83" s="15">
        <v>156</v>
      </c>
      <c r="C83" s="32">
        <v>2.6315789499999999E-2</v>
      </c>
      <c r="D83" s="15">
        <v>157</v>
      </c>
      <c r="E83" s="32">
        <f t="shared" si="38"/>
        <v>6.41025641025641E-3</v>
      </c>
      <c r="F83" s="18">
        <f>IF(ISNUMBER(D83), $B91 * E83, "")</f>
        <v>1923.0769230769231</v>
      </c>
      <c r="G83" s="31">
        <v>157</v>
      </c>
      <c r="H83" s="32">
        <f t="shared" si="39"/>
        <v>6.41025641025641E-3</v>
      </c>
      <c r="I83" s="101">
        <f>IF(ISNUMBER(G83), $B91 * H83, "")</f>
        <v>1923.0769230769231</v>
      </c>
      <c r="J83" s="15">
        <v>158</v>
      </c>
      <c r="K83" s="32">
        <f t="shared" si="40"/>
        <v>1.282051282051282E-2</v>
      </c>
      <c r="L83" s="18">
        <f>IF(ISNUMBER(J83), $B91 * K83, "")</f>
        <v>3846.1538461538462</v>
      </c>
      <c r="M83" s="31">
        <v>158</v>
      </c>
      <c r="N83" s="32">
        <f t="shared" si="41"/>
        <v>1.282051282051282E-2</v>
      </c>
      <c r="O83" s="18">
        <f>IF(ISNUMBER(M83), $B91 * N83, "")</f>
        <v>3846.1538461538462</v>
      </c>
      <c r="Q83" s="174"/>
      <c r="R83" s="174"/>
      <c r="S83" s="174"/>
    </row>
    <row r="84" spans="1:19" ht="17.25" thickBot="1">
      <c r="A84" s="17" t="s">
        <v>132</v>
      </c>
      <c r="B84" s="15">
        <v>234</v>
      </c>
      <c r="C84" s="32">
        <v>2.6315789499999999E-2</v>
      </c>
      <c r="D84" s="15">
        <v>239</v>
      </c>
      <c r="E84" s="32">
        <f t="shared" si="38"/>
        <v>2.1367521367521368E-2</v>
      </c>
      <c r="F84" s="18">
        <f>IF(ISNUMBER(D84), $B91 * E84, "")</f>
        <v>6410.2564102564102</v>
      </c>
      <c r="G84" s="31">
        <v>234</v>
      </c>
      <c r="H84" s="32">
        <f t="shared" si="39"/>
        <v>0</v>
      </c>
      <c r="I84" s="101">
        <f>IF(ISNUMBER(G84), $B91 * H84, "")</f>
        <v>0</v>
      </c>
      <c r="J84" s="15">
        <v>238</v>
      </c>
      <c r="K84" s="32">
        <f t="shared" si="40"/>
        <v>1.7094017094017096E-2</v>
      </c>
      <c r="L84" s="18">
        <f>IF(ISNUMBER(J84), $B91 * K84, "")</f>
        <v>5128.2051282051289</v>
      </c>
      <c r="M84" s="31">
        <v>235</v>
      </c>
      <c r="N84" s="32">
        <f t="shared" si="41"/>
        <v>4.2735042735042739E-3</v>
      </c>
      <c r="O84" s="18">
        <f>IF(ISNUMBER(M84), $B91 * N84, "")</f>
        <v>1282.0512820512822</v>
      </c>
      <c r="Q84" s="184"/>
      <c r="R84" s="184"/>
      <c r="S84" s="184"/>
    </row>
    <row r="85" spans="1:19" ht="17.25" thickBot="1">
      <c r="A85" s="19" t="s">
        <v>122</v>
      </c>
      <c r="B85" s="20">
        <v>121</v>
      </c>
      <c r="C85" s="21">
        <v>2.54237288E-2</v>
      </c>
      <c r="D85" s="20">
        <v>128</v>
      </c>
      <c r="E85" s="21">
        <f t="shared" si="38"/>
        <v>5.7851239669421489E-2</v>
      </c>
      <c r="F85" s="22">
        <f>IF(ISNUMBER(D85), $B91 * E85, "")</f>
        <v>17355.371900826445</v>
      </c>
      <c r="G85" s="30">
        <v>128</v>
      </c>
      <c r="H85" s="21">
        <f t="shared" si="39"/>
        <v>5.7851239669421489E-2</v>
      </c>
      <c r="I85" s="105">
        <f>IF(ISNUMBER(G85), $B91 * H85, "")</f>
        <v>17355.371900826445</v>
      </c>
      <c r="J85" s="20">
        <v>128</v>
      </c>
      <c r="K85" s="21">
        <f t="shared" si="40"/>
        <v>5.7851239669421489E-2</v>
      </c>
      <c r="L85" s="22">
        <f>IF(ISNUMBER(J85), $B91 * K85, "")</f>
        <v>17355.371900826445</v>
      </c>
      <c r="M85" s="30">
        <v>126</v>
      </c>
      <c r="N85" s="21">
        <f t="shared" si="41"/>
        <v>4.1322314049586778E-2</v>
      </c>
      <c r="O85" s="22">
        <f>IF(ISNUMBER(M85), $B91 * N85, "")</f>
        <v>12396.694214876034</v>
      </c>
      <c r="Q85" s="184"/>
      <c r="R85" s="184"/>
      <c r="S85" s="184"/>
    </row>
    <row r="86" spans="1:19" ht="17.25" thickBot="1">
      <c r="A86" s="17" t="s">
        <v>142</v>
      </c>
      <c r="B86" s="106">
        <v>410</v>
      </c>
      <c r="C86" s="107">
        <v>2.2443890300000002E-2</v>
      </c>
      <c r="D86" s="106">
        <v>441</v>
      </c>
      <c r="E86" s="107">
        <f>IF(ISNUMBER(D86), (D86 - $B86) / $B86, "")</f>
        <v>7.5609756097560973E-2</v>
      </c>
      <c r="F86" s="108">
        <f>IF(ISNUMBER(D86), $B91 * E86, "")</f>
        <v>22682.926829268294</v>
      </c>
      <c r="G86" s="109">
        <v>428</v>
      </c>
      <c r="H86" s="107">
        <f>IF(ISNUMBER(G86), (G86 - $B86) / $B86, "")</f>
        <v>4.3902439024390241E-2</v>
      </c>
      <c r="I86" s="110">
        <f>IF(ISNUMBER(G86), $B91 * H86, "")</f>
        <v>13170.731707317073</v>
      </c>
      <c r="J86" s="106">
        <v>430</v>
      </c>
      <c r="K86" s="107">
        <f>IF(ISNUMBER(J86), (J86 - $B86) / $B86, "")</f>
        <v>4.878048780487805E-2</v>
      </c>
      <c r="L86" s="108">
        <f>IF(ISNUMBER(J86), $B91 * K86, "")</f>
        <v>14634.146341463415</v>
      </c>
      <c r="M86" s="109">
        <v>428</v>
      </c>
      <c r="N86" s="107">
        <f>IF(ISNUMBER(M86), (M86 - $B86) / $B86, "")</f>
        <v>4.3902439024390241E-2</v>
      </c>
      <c r="O86" s="108">
        <f>IF(ISNUMBER(M86), $B91 * N86, "")</f>
        <v>13170.731707317073</v>
      </c>
      <c r="Q86" s="174"/>
      <c r="R86" s="174"/>
      <c r="S86" s="174"/>
    </row>
    <row r="87" spans="1:19" ht="17.25" thickBot="1">
      <c r="A87" s="17" t="s">
        <v>208</v>
      </c>
      <c r="B87" s="15">
        <v>523</v>
      </c>
      <c r="C87" s="32">
        <v>2.1484375E-2</v>
      </c>
      <c r="D87" s="15">
        <v>522</v>
      </c>
      <c r="E87" s="32">
        <f t="shared" ref="E87:E90" si="42">IF(ISNUMBER(D87), (D87 - $B87) / $B87, "")</f>
        <v>-1.9120458891013384E-3</v>
      </c>
      <c r="F87" s="18">
        <f>IF(ISNUMBER(D87), $B91 * E87, "")</f>
        <v>-573.61376673040149</v>
      </c>
      <c r="G87" s="31">
        <v>521</v>
      </c>
      <c r="H87" s="32">
        <f t="shared" ref="H87:H90" si="43">IF(ISNUMBER(G87), (G87 - $B87) / $B87, "")</f>
        <v>-3.8240917782026767E-3</v>
      </c>
      <c r="I87" s="101">
        <f>IF(ISNUMBER(G87), $B91 * H87, "")</f>
        <v>-1147.227533460803</v>
      </c>
      <c r="J87" s="15">
        <v>530</v>
      </c>
      <c r="K87" s="32">
        <f t="shared" ref="K87:K90" si="44">IF(ISNUMBER(J87), (J87 - $B87) / $B87, "")</f>
        <v>1.338432122370937E-2</v>
      </c>
      <c r="L87" s="18">
        <f>IF(ISNUMBER(J87), $B91 * K87, "")</f>
        <v>4015.2963671128109</v>
      </c>
      <c r="M87" s="31">
        <v>525</v>
      </c>
      <c r="N87" s="32">
        <f t="shared" ref="N87:N90" si="45">IF(ISNUMBER(M87), (M87 - $B87) / $B87, "")</f>
        <v>3.8240917782026767E-3</v>
      </c>
      <c r="O87" s="18">
        <f>IF(ISNUMBER(M87), $B91 * N87, "")</f>
        <v>1147.227533460803</v>
      </c>
      <c r="Q87" s="174"/>
      <c r="R87" s="174"/>
      <c r="S87" s="174"/>
    </row>
    <row r="88" spans="1:19" ht="17.25" thickBot="1">
      <c r="A88" s="17" t="s">
        <v>148</v>
      </c>
      <c r="B88" s="15">
        <v>198</v>
      </c>
      <c r="C88" s="32">
        <v>1.5384615399999999E-2</v>
      </c>
      <c r="D88" s="15">
        <v>214</v>
      </c>
      <c r="E88" s="32">
        <f t="shared" si="42"/>
        <v>8.0808080808080815E-2</v>
      </c>
      <c r="F88" s="18">
        <f>IF(ISNUMBER(D88), $B91 * E88, "")</f>
        <v>24242.424242424244</v>
      </c>
      <c r="G88" s="31">
        <v>213</v>
      </c>
      <c r="H88" s="32">
        <f t="shared" si="43"/>
        <v>7.575757575757576E-2</v>
      </c>
      <c r="I88" s="101">
        <f>IF(ISNUMBER(G88), $B91 * H88, "")</f>
        <v>22727.272727272728</v>
      </c>
      <c r="J88" s="15">
        <v>216</v>
      </c>
      <c r="K88" s="32">
        <f t="shared" si="44"/>
        <v>9.0909090909090912E-2</v>
      </c>
      <c r="L88" s="18">
        <f>IF(ISNUMBER(J88), $B91 * K88, "")</f>
        <v>27272.727272727272</v>
      </c>
      <c r="M88" s="31">
        <v>209</v>
      </c>
      <c r="N88" s="32">
        <f t="shared" si="45"/>
        <v>5.5555555555555552E-2</v>
      </c>
      <c r="O88" s="18">
        <f>IF(ISNUMBER(M88), $B91 * N88, "")</f>
        <v>16666.666666666664</v>
      </c>
      <c r="Q88" s="174"/>
      <c r="R88" s="174"/>
      <c r="S88" s="174"/>
    </row>
    <row r="89" spans="1:19">
      <c r="A89" s="17" t="s">
        <v>182</v>
      </c>
      <c r="B89" s="15">
        <v>487</v>
      </c>
      <c r="C89" s="32">
        <v>1.4583333299999999E-2</v>
      </c>
      <c r="D89" s="15">
        <v>500</v>
      </c>
      <c r="E89" s="32">
        <f t="shared" si="42"/>
        <v>2.6694045174537988E-2</v>
      </c>
      <c r="F89" s="18">
        <f>IF(ISNUMBER(D89), $B91 * E89, "")</f>
        <v>8008.2135523613961</v>
      </c>
      <c r="G89" s="31">
        <v>493</v>
      </c>
      <c r="H89" s="32">
        <f t="shared" si="43"/>
        <v>1.2320328542094456E-2</v>
      </c>
      <c r="I89" s="101">
        <f>IF(ISNUMBER(G89), $B91 * H89, "")</f>
        <v>3696.0985626283368</v>
      </c>
      <c r="J89" s="15">
        <v>499</v>
      </c>
      <c r="K89" s="32">
        <f t="shared" si="44"/>
        <v>2.4640657084188913E-2</v>
      </c>
      <c r="L89" s="18">
        <f>IF(ISNUMBER(J89), $B91 * K89, "")</f>
        <v>7392.1971252566736</v>
      </c>
      <c r="M89" s="31">
        <v>497</v>
      </c>
      <c r="N89" s="32">
        <f t="shared" si="45"/>
        <v>2.0533880903490759E-2</v>
      </c>
      <c r="O89" s="18">
        <f>IF(ISNUMBER(M89), $B91 * N89, "")</f>
        <v>6160.1642710472279</v>
      </c>
      <c r="Q89" s="163"/>
      <c r="R89" s="164"/>
      <c r="S89" s="165"/>
    </row>
    <row r="90" spans="1:19" ht="17.25" thickBot="1">
      <c r="A90" s="23" t="s">
        <v>112</v>
      </c>
      <c r="B90" s="24">
        <v>275</v>
      </c>
      <c r="C90" s="25">
        <v>1.10294118E-2</v>
      </c>
      <c r="D90" s="24">
        <v>278</v>
      </c>
      <c r="E90" s="25">
        <f t="shared" si="42"/>
        <v>1.090909090909091E-2</v>
      </c>
      <c r="F90" s="104">
        <f>IF(ISNUMBER(D90), $B91 * E90, "")</f>
        <v>3272.727272727273</v>
      </c>
      <c r="G90" s="102">
        <v>274</v>
      </c>
      <c r="H90" s="25">
        <f t="shared" si="43"/>
        <v>-3.6363636363636364E-3</v>
      </c>
      <c r="I90" s="103">
        <f>IF(ISNUMBER(G90), $B91 * H90, "")</f>
        <v>-1090.909090909091</v>
      </c>
      <c r="J90" s="24">
        <v>278</v>
      </c>
      <c r="K90" s="25">
        <f t="shared" si="44"/>
        <v>1.090909090909091E-2</v>
      </c>
      <c r="L90" s="104">
        <f>IF(ISNUMBER(J90), $B91 * K90, "")</f>
        <v>3272.727272727273</v>
      </c>
      <c r="M90" s="102">
        <v>276</v>
      </c>
      <c r="N90" s="25">
        <f t="shared" si="45"/>
        <v>3.6363636363636364E-3</v>
      </c>
      <c r="O90" s="104">
        <f>IF(ISNUMBER(M90), $B91 * N90, "")</f>
        <v>1090.909090909091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3.0747737594160929E-2</v>
      </c>
      <c r="F91" s="28">
        <f>SUM(F71:F90)</f>
        <v>184486.42556496555</v>
      </c>
      <c r="G91" s="26" t="s">
        <v>302</v>
      </c>
      <c r="H91" s="27">
        <f>IF(COUNT(H71:H90), SUM(H71:H90) / COUNT(H71:H90), 0)</f>
        <v>1.9161681861338504E-2</v>
      </c>
      <c r="I91" s="28">
        <f>SUM(I71:I90)</f>
        <v>114970.09116803102</v>
      </c>
      <c r="J91" s="26" t="s">
        <v>302</v>
      </c>
      <c r="K91" s="27">
        <f>IF(COUNT(K71:K90), SUM(K71:K90) / COUNT(K71:K90), 0)</f>
        <v>3.2495138262519693E-2</v>
      </c>
      <c r="L91" s="28">
        <f>SUM(L71:L90)</f>
        <v>194970.82957511808</v>
      </c>
      <c r="M91" s="26" t="s">
        <v>302</v>
      </c>
      <c r="N91" s="27">
        <f>IF(COUNT(N71:N90), SUM(N71:N90) / COUNT(N71:N90), 0)</f>
        <v>2.4573227756866368E-2</v>
      </c>
      <c r="O91" s="28">
        <f>SUM(O71:O90)</f>
        <v>147439.36654119819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2021-05-01(토) 오전 00:00</v>
      </c>
      <c r="C96" s="197"/>
      <c r="D96" s="198" t="str">
        <f>TEXT($G$1, "[$-ko-KR]yyyy-mm-dd(ddd) ") &amp; "오후 14:00"</f>
        <v>2021-05-01(토) 오후 14:00</v>
      </c>
      <c r="E96" s="199"/>
      <c r="F96" s="200"/>
      <c r="G96" s="198" t="str">
        <f>TEXT($G$1, "[$-ko-KR]yyyy-mm-dd(ddd) ") &amp; "오후 19:00"</f>
        <v>2021-05-01(토) 오후 19:00</v>
      </c>
      <c r="H96" s="199"/>
      <c r="I96" s="200"/>
      <c r="J96" s="198" t="str">
        <f>TEXT($G$1, "[$-ko-KR]yyyy-mm-dd(ddd) ") &amp; "오후 21:00"</f>
        <v>2021-05-01(토) 오후 21:00</v>
      </c>
      <c r="K96" s="199"/>
      <c r="L96" s="200"/>
      <c r="M96" s="198" t="str">
        <f>TEXT($G$1+1, "[$-ko-KR]yyyy-mm-dd(ddd) ") &amp; "오전 00:00"</f>
        <v>2021-05-02(일)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92</v>
      </c>
      <c r="B98" s="13">
        <v>1845</v>
      </c>
      <c r="C98" s="14">
        <v>0.1114457831</v>
      </c>
      <c r="D98" s="13">
        <v>1885</v>
      </c>
      <c r="E98" s="14">
        <f>IF(ISNUMBER(D98), (D98 - $B98) / $B98, "")</f>
        <v>2.1680216802168022E-2</v>
      </c>
      <c r="F98" s="16">
        <f>IF(ISNUMBER(D98), $B118 * E98, "")</f>
        <v>6504.0650406504064</v>
      </c>
      <c r="G98" s="29">
        <v>1850</v>
      </c>
      <c r="H98" s="14">
        <f>IF(ISNUMBER(G98), (G98 - $B98) / $B98, "")</f>
        <v>2.7100271002710027E-3</v>
      </c>
      <c r="I98" s="100">
        <f>IF(ISNUMBER(G98), $B118 * H98, "")</f>
        <v>813.00813008130081</v>
      </c>
      <c r="J98" s="13">
        <v>1885</v>
      </c>
      <c r="K98" s="14">
        <f>IF(ISNUMBER(J98), (J98 - $B98) / $B98, "")</f>
        <v>2.1680216802168022E-2</v>
      </c>
      <c r="L98" s="16">
        <f>IF(ISNUMBER(J98), $B118 * K98, "")</f>
        <v>6504.0650406504064</v>
      </c>
      <c r="M98" s="29">
        <v>1855</v>
      </c>
      <c r="N98" s="14">
        <f>IF(ISNUMBER(M98), (M98 - $B98) / $B98, "")</f>
        <v>5.4200542005420054E-3</v>
      </c>
      <c r="O98" s="16">
        <f>IF(ISNUMBER(M98), $B118 * N98, "")</f>
        <v>1626.0162601626016</v>
      </c>
      <c r="Q98" s="184"/>
      <c r="R98" s="184"/>
      <c r="S98" s="184"/>
    </row>
    <row r="99" spans="1:19" ht="17.25" thickBot="1">
      <c r="A99" s="17" t="s">
        <v>116</v>
      </c>
      <c r="B99" s="15">
        <v>741</v>
      </c>
      <c r="C99" s="32">
        <v>0.1010401189</v>
      </c>
      <c r="D99" s="15">
        <v>731</v>
      </c>
      <c r="E99" s="32">
        <f t="shared" ref="E99:E102" si="46">IF(ISNUMBER(D99), (D99 - $B99) / $B99, "")</f>
        <v>-1.3495276653171391E-2</v>
      </c>
      <c r="F99" s="18">
        <f>IF(ISNUMBER(D99), $B118 * E99, "")</f>
        <v>-4048.5829959514172</v>
      </c>
      <c r="G99" s="31">
        <v>717</v>
      </c>
      <c r="H99" s="32">
        <f t="shared" ref="H99:H102" si="47">IF(ISNUMBER(G99), (G99 - $B99) / $B99, "")</f>
        <v>-3.2388663967611336E-2</v>
      </c>
      <c r="I99" s="101">
        <f>IF(ISNUMBER(G99), $B118 * H99, "")</f>
        <v>-9716.5991902834012</v>
      </c>
      <c r="J99" s="15">
        <v>728</v>
      </c>
      <c r="K99" s="32">
        <f t="shared" ref="K99:K102" si="48">IF(ISNUMBER(J99), (J99 - $B99) / $B99, "")</f>
        <v>-1.7543859649122806E-2</v>
      </c>
      <c r="L99" s="18">
        <f>IF(ISNUMBER(J99), $B118 * K99, "")</f>
        <v>-5263.1578947368416</v>
      </c>
      <c r="M99" s="31">
        <v>715</v>
      </c>
      <c r="N99" s="32">
        <f t="shared" ref="N99:N102" si="49">IF(ISNUMBER(M99), (M99 - $B99) / $B99, "")</f>
        <v>-3.5087719298245612E-2</v>
      </c>
      <c r="O99" s="18">
        <f>IF(ISNUMBER(M99), $B118 * N99, "")</f>
        <v>-10526.315789473683</v>
      </c>
      <c r="Q99" s="184"/>
      <c r="R99" s="184"/>
      <c r="S99" s="184"/>
    </row>
    <row r="100" spans="1:19" ht="17.25" thickBot="1">
      <c r="A100" s="17" t="s">
        <v>110</v>
      </c>
      <c r="B100" s="15">
        <v>3090</v>
      </c>
      <c r="C100" s="32">
        <v>9.7690941399999995E-2</v>
      </c>
      <c r="D100" s="15">
        <v>3100</v>
      </c>
      <c r="E100" s="32">
        <f t="shared" si="46"/>
        <v>3.2362459546925568E-3</v>
      </c>
      <c r="F100" s="18">
        <f>IF(ISNUMBER(D100), $B118 * E100, "")</f>
        <v>970.87378640776706</v>
      </c>
      <c r="G100" s="31">
        <v>3135</v>
      </c>
      <c r="H100" s="32">
        <f t="shared" si="47"/>
        <v>1.4563106796116505E-2</v>
      </c>
      <c r="I100" s="101">
        <f>IF(ISNUMBER(G100), $B118 * H100, "")</f>
        <v>4368.9320388349515</v>
      </c>
      <c r="J100" s="15">
        <v>3190</v>
      </c>
      <c r="K100" s="32">
        <f t="shared" si="48"/>
        <v>3.2362459546925564E-2</v>
      </c>
      <c r="L100" s="18">
        <f>IF(ISNUMBER(J100), $B118 * K100, "")</f>
        <v>9708.7378640776697</v>
      </c>
      <c r="M100" s="31">
        <v>3140</v>
      </c>
      <c r="N100" s="32">
        <f t="shared" si="49"/>
        <v>1.6181229773462782E-2</v>
      </c>
      <c r="O100" s="18">
        <f>IF(ISNUMBER(M100), $B118 * N100, "")</f>
        <v>4854.3689320388348</v>
      </c>
      <c r="Q100" s="174"/>
      <c r="R100" s="174"/>
      <c r="S100" s="174"/>
    </row>
    <row r="101" spans="1:19" ht="17.25" thickBot="1">
      <c r="A101" s="17" t="s">
        <v>78</v>
      </c>
      <c r="B101" s="15">
        <v>1134500</v>
      </c>
      <c r="C101" s="32">
        <v>8.3572110800000002E-2</v>
      </c>
      <c r="D101" s="15">
        <v>1200500</v>
      </c>
      <c r="E101" s="32">
        <f t="shared" si="46"/>
        <v>5.8175407668576463E-2</v>
      </c>
      <c r="F101" s="18">
        <f>IF(ISNUMBER(D101), $B118 * E101, "")</f>
        <v>17452.622300572941</v>
      </c>
      <c r="G101" s="31">
        <v>1185000</v>
      </c>
      <c r="H101" s="32">
        <f t="shared" si="47"/>
        <v>4.4513001322168358E-2</v>
      </c>
      <c r="I101" s="101">
        <f>IF(ISNUMBER(G101), $B118 * H101, "")</f>
        <v>13353.900396650508</v>
      </c>
      <c r="J101" s="15">
        <v>1197000</v>
      </c>
      <c r="K101" s="32">
        <f t="shared" si="48"/>
        <v>5.509034817100044E-2</v>
      </c>
      <c r="L101" s="18">
        <f>IF(ISNUMBER(J101), $B118 * K101, "")</f>
        <v>16527.104451300132</v>
      </c>
      <c r="M101" s="31">
        <v>1179500</v>
      </c>
      <c r="N101" s="32">
        <f t="shared" si="49"/>
        <v>3.9665050683120318E-2</v>
      </c>
      <c r="O101" s="18">
        <f>IF(ISNUMBER(M101), $B118 * N101, "")</f>
        <v>11899.515204936095</v>
      </c>
      <c r="Q101" s="174"/>
      <c r="R101" s="174"/>
      <c r="S101" s="174"/>
    </row>
    <row r="102" spans="1:19" ht="17.25" thickBot="1">
      <c r="A102" s="19" t="s">
        <v>118</v>
      </c>
      <c r="B102" s="20">
        <v>6575</v>
      </c>
      <c r="C102" s="21">
        <v>7.7868852500000002E-2</v>
      </c>
      <c r="D102" s="20">
        <v>6930</v>
      </c>
      <c r="E102" s="21">
        <f t="shared" si="46"/>
        <v>5.3992395437262357E-2</v>
      </c>
      <c r="F102" s="22">
        <f>IF(ISNUMBER(D102), $B118 * E102, "")</f>
        <v>16197.718631178706</v>
      </c>
      <c r="G102" s="30">
        <v>6815</v>
      </c>
      <c r="H102" s="21">
        <f t="shared" si="47"/>
        <v>3.6501901140684412E-2</v>
      </c>
      <c r="I102" s="105">
        <f>IF(ISNUMBER(G102), $B118 * H102, "")</f>
        <v>10950.570342205323</v>
      </c>
      <c r="J102" s="20">
        <v>6920</v>
      </c>
      <c r="K102" s="21">
        <f t="shared" si="48"/>
        <v>5.2471482889733842E-2</v>
      </c>
      <c r="L102" s="22">
        <f>IF(ISNUMBER(J102), $B118 * K102, "")</f>
        <v>15741.444866920152</v>
      </c>
      <c r="M102" s="30">
        <v>6865</v>
      </c>
      <c r="N102" s="21">
        <f t="shared" si="49"/>
        <v>4.4106463878326993E-2</v>
      </c>
      <c r="O102" s="22">
        <f>IF(ISNUMBER(M102), $B118 * N102, "")</f>
        <v>13231.939163498098</v>
      </c>
      <c r="Q102" s="174"/>
      <c r="R102" s="174"/>
      <c r="S102" s="174"/>
    </row>
    <row r="103" spans="1:19" ht="17.25" thickBot="1">
      <c r="A103" s="17" t="s">
        <v>162</v>
      </c>
      <c r="B103" s="106">
        <v>2225</v>
      </c>
      <c r="C103" s="107">
        <v>7.7481840199999999E-2</v>
      </c>
      <c r="D103" s="106">
        <v>2230</v>
      </c>
      <c r="E103" s="107">
        <f>IF(ISNUMBER(D103), (D103 - $B103) / $B103, "")</f>
        <v>2.2471910112359553E-3</v>
      </c>
      <c r="F103" s="108">
        <f>IF(ISNUMBER(D103), $B118 * E103, "")</f>
        <v>674.15730337078662</v>
      </c>
      <c r="G103" s="109">
        <v>2225</v>
      </c>
      <c r="H103" s="107">
        <f>IF(ISNUMBER(G103), (G103 - $B103) / $B103, "")</f>
        <v>0</v>
      </c>
      <c r="I103" s="110">
        <f>IF(ISNUMBER(G103), $B118 * H103, "")</f>
        <v>0</v>
      </c>
      <c r="J103" s="106">
        <v>2225</v>
      </c>
      <c r="K103" s="107">
        <f>IF(ISNUMBER(J103), (J103 - $B103) / $B103, "")</f>
        <v>0</v>
      </c>
      <c r="L103" s="108">
        <f>IF(ISNUMBER(J103), $B118 * K103, "")</f>
        <v>0</v>
      </c>
      <c r="M103" s="109">
        <v>2220</v>
      </c>
      <c r="N103" s="107">
        <f>IF(ISNUMBER(M103), (M103 - $B103) / $B103, "")</f>
        <v>-2.2471910112359553E-3</v>
      </c>
      <c r="O103" s="108">
        <f>IF(ISNUMBER(M103), $B118 * N103, "")</f>
        <v>-674.15730337078662</v>
      </c>
      <c r="Q103" s="174"/>
      <c r="R103" s="174"/>
      <c r="S103" s="174"/>
    </row>
    <row r="104" spans="1:19" ht="17.25" thickBot="1">
      <c r="A104" s="17" t="s">
        <v>168</v>
      </c>
      <c r="B104" s="15">
        <v>205</v>
      </c>
      <c r="C104" s="32">
        <v>7.3298429299999995E-2</v>
      </c>
      <c r="D104" s="15">
        <v>206</v>
      </c>
      <c r="E104" s="32">
        <f t="shared" ref="E104:E107" si="50">IF(ISNUMBER(D104), (D104 - $B104) / $B104, "")</f>
        <v>4.8780487804878049E-3</v>
      </c>
      <c r="F104" s="18">
        <f>IF(ISNUMBER(D104), $B118 * E104, "")</f>
        <v>1463.4146341463415</v>
      </c>
      <c r="G104" s="31">
        <v>204</v>
      </c>
      <c r="H104" s="32">
        <f t="shared" ref="H104:H107" si="51">IF(ISNUMBER(G104), (G104 - $B104) / $B104, "")</f>
        <v>-4.8780487804878049E-3</v>
      </c>
      <c r="I104" s="101">
        <f>IF(ISNUMBER(G104), $B118 * H104, "")</f>
        <v>-1463.4146341463415</v>
      </c>
      <c r="J104" s="15">
        <v>206</v>
      </c>
      <c r="K104" s="32">
        <f t="shared" ref="K104:K107" si="52">IF(ISNUMBER(J104), (J104 - $B104) / $B104, "")</f>
        <v>4.8780487804878049E-3</v>
      </c>
      <c r="L104" s="18">
        <f>IF(ISNUMBER(J104), $B118 * K104, "")</f>
        <v>1463.4146341463415</v>
      </c>
      <c r="M104" s="31">
        <v>205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74"/>
      <c r="R104" s="174"/>
      <c r="S104" s="174"/>
    </row>
    <row r="105" spans="1:19" ht="17.25" thickBot="1">
      <c r="A105" s="17" t="s">
        <v>90</v>
      </c>
      <c r="B105" s="15">
        <v>360700</v>
      </c>
      <c r="C105" s="32">
        <v>7.3192502199999995E-2</v>
      </c>
      <c r="D105" s="15">
        <v>381350</v>
      </c>
      <c r="E105" s="32">
        <f t="shared" si="50"/>
        <v>5.724979207097311E-2</v>
      </c>
      <c r="F105" s="18">
        <f>IF(ISNUMBER(D105), $B118 * E105, "")</f>
        <v>17174.937621291934</v>
      </c>
      <c r="G105" s="31">
        <v>377650</v>
      </c>
      <c r="H105" s="32">
        <f t="shared" si="51"/>
        <v>4.6991960077626835E-2</v>
      </c>
      <c r="I105" s="101">
        <f>IF(ISNUMBER(G105), $B118 * H105, "")</f>
        <v>14097.58802328805</v>
      </c>
      <c r="J105" s="15">
        <v>383200</v>
      </c>
      <c r="K105" s="32">
        <f t="shared" si="52"/>
        <v>6.2378708067646241E-2</v>
      </c>
      <c r="L105" s="18">
        <f>IF(ISNUMBER(J105), $B118 * K105, "")</f>
        <v>18713.612420293874</v>
      </c>
      <c r="M105" s="31">
        <v>385150</v>
      </c>
      <c r="N105" s="32">
        <f t="shared" si="53"/>
        <v>6.7784862766842258E-2</v>
      </c>
      <c r="O105" s="18">
        <f>IF(ISNUMBER(M105), $B118 * N105, "")</f>
        <v>20335.458830052678</v>
      </c>
      <c r="Q105" s="174"/>
      <c r="R105" s="174"/>
      <c r="S105" s="174"/>
    </row>
    <row r="106" spans="1:19" ht="17.25" thickBot="1">
      <c r="A106" s="17" t="s">
        <v>86</v>
      </c>
      <c r="B106" s="15">
        <v>7490</v>
      </c>
      <c r="C106" s="32">
        <v>6.8473609099999999E-2</v>
      </c>
      <c r="D106" s="15">
        <v>7790</v>
      </c>
      <c r="E106" s="32">
        <f t="shared" si="50"/>
        <v>4.0053404539385849E-2</v>
      </c>
      <c r="F106" s="18">
        <f>IF(ISNUMBER(D106), $B118 * E106, "")</f>
        <v>12016.021361815754</v>
      </c>
      <c r="G106" s="31">
        <v>7625</v>
      </c>
      <c r="H106" s="32">
        <f t="shared" si="51"/>
        <v>1.8024032042723633E-2</v>
      </c>
      <c r="I106" s="101">
        <f>IF(ISNUMBER(G106), $B118 * H106, "")</f>
        <v>5407.2096128170897</v>
      </c>
      <c r="J106" s="15">
        <v>7720</v>
      </c>
      <c r="K106" s="32">
        <f t="shared" si="52"/>
        <v>3.0707610146862484E-2</v>
      </c>
      <c r="L106" s="18">
        <f>IF(ISNUMBER(J106), $B118 * K106, "")</f>
        <v>9212.2830440587459</v>
      </c>
      <c r="M106" s="31">
        <v>7620</v>
      </c>
      <c r="N106" s="32">
        <f t="shared" si="53"/>
        <v>1.7356475300400534E-2</v>
      </c>
      <c r="O106" s="18">
        <f>IF(ISNUMBER(M106), $B118 * N106, "")</f>
        <v>5206.9425901201603</v>
      </c>
      <c r="Q106" s="33"/>
      <c r="R106" s="33"/>
    </row>
    <row r="107" spans="1:19" ht="17.25" thickBot="1">
      <c r="A107" s="23" t="s">
        <v>51</v>
      </c>
      <c r="B107" s="24">
        <v>626</v>
      </c>
      <c r="C107" s="25">
        <v>6.8259385699999994E-2</v>
      </c>
      <c r="D107" s="24">
        <v>627</v>
      </c>
      <c r="E107" s="25">
        <f t="shared" si="50"/>
        <v>1.5974440894568689E-3</v>
      </c>
      <c r="F107" s="104">
        <f>IF(ISNUMBER(D107), $B118 * E107, "")</f>
        <v>479.23322683706067</v>
      </c>
      <c r="G107" s="102">
        <v>619</v>
      </c>
      <c r="H107" s="25">
        <f t="shared" si="51"/>
        <v>-1.1182108626198083E-2</v>
      </c>
      <c r="I107" s="103">
        <f>IF(ISNUMBER(G107), $B118 * H107, "")</f>
        <v>-3354.6325878594248</v>
      </c>
      <c r="J107" s="24">
        <v>626</v>
      </c>
      <c r="K107" s="25">
        <f t="shared" si="52"/>
        <v>0</v>
      </c>
      <c r="L107" s="104">
        <f>IF(ISNUMBER(J107), $B118 * K107, "")</f>
        <v>0</v>
      </c>
      <c r="M107" s="102">
        <v>620</v>
      </c>
      <c r="N107" s="25">
        <f t="shared" si="53"/>
        <v>-9.5846645367412137E-3</v>
      </c>
      <c r="O107" s="104">
        <f>IF(ISNUMBER(M107), $B118 * N107, "")</f>
        <v>-2875.3993610223642</v>
      </c>
      <c r="Q107" s="175"/>
      <c r="R107" s="176"/>
      <c r="S107" s="177"/>
    </row>
    <row r="108" spans="1:19">
      <c r="A108" s="12" t="s">
        <v>136</v>
      </c>
      <c r="B108" s="13">
        <v>244</v>
      </c>
      <c r="C108" s="14">
        <v>6.5502183399999997E-2</v>
      </c>
      <c r="D108" s="13">
        <v>247</v>
      </c>
      <c r="E108" s="14">
        <f>IF(ISNUMBER(D108), (D108 - $B108) / $B108, "")</f>
        <v>1.2295081967213115E-2</v>
      </c>
      <c r="F108" s="16">
        <f>IF(ISNUMBER(D108), $B118 * E108, "")</f>
        <v>3688.5245901639341</v>
      </c>
      <c r="G108" s="29">
        <v>245</v>
      </c>
      <c r="H108" s="14">
        <f>IF(ISNUMBER(G108), (G108 - $B108) / $B108, "")</f>
        <v>4.0983606557377051E-3</v>
      </c>
      <c r="I108" s="100">
        <f>IF(ISNUMBER(G108), $B118 * H108, "")</f>
        <v>1229.5081967213116</v>
      </c>
      <c r="J108" s="13">
        <v>254</v>
      </c>
      <c r="K108" s="14">
        <f>IF(ISNUMBER(J108), (J108 - $B108) / $B108, "")</f>
        <v>4.0983606557377046E-2</v>
      </c>
      <c r="L108" s="16">
        <f>IF(ISNUMBER(J108), $B118 * K108, "")</f>
        <v>12295.081967213115</v>
      </c>
      <c r="M108" s="29">
        <v>250</v>
      </c>
      <c r="N108" s="14">
        <f>IF(ISNUMBER(M108), (M108 - $B108) / $B108, "")</f>
        <v>2.4590163934426229E-2</v>
      </c>
      <c r="O108" s="16">
        <f>IF(ISNUMBER(M108), $B118 * N108, "")</f>
        <v>7377.0491803278683</v>
      </c>
      <c r="Q108" s="178"/>
      <c r="R108" s="179"/>
      <c r="S108" s="180"/>
    </row>
    <row r="109" spans="1:19" ht="17.25" thickBot="1">
      <c r="A109" s="17" t="s">
        <v>49</v>
      </c>
      <c r="B109" s="15">
        <v>67791000</v>
      </c>
      <c r="C109" s="32">
        <v>6.2321747599999998E-2</v>
      </c>
      <c r="D109" s="15">
        <v>68921000</v>
      </c>
      <c r="E109" s="32">
        <f t="shared" ref="E109:E112" si="54">IF(ISNUMBER(D109), (D109 - $B109) / $B109, "")</f>
        <v>1.6668879349766193E-2</v>
      </c>
      <c r="F109" s="18">
        <f>IF(ISNUMBER(D109), $B118 * E109, "")</f>
        <v>5000.6638049298581</v>
      </c>
      <c r="G109" s="31">
        <v>68705000</v>
      </c>
      <c r="H109" s="32">
        <f t="shared" ref="H109:H112" si="55">IF(ISNUMBER(G109), (G109 - $B109) / $B109, "")</f>
        <v>1.3482615686448053E-2</v>
      </c>
      <c r="I109" s="101">
        <f>IF(ISNUMBER(G109), $B118 * H109, "")</f>
        <v>4044.7847059344158</v>
      </c>
      <c r="J109" s="15">
        <v>69055000</v>
      </c>
      <c r="K109" s="32">
        <f t="shared" ref="K109:K112" si="56">IF(ISNUMBER(J109), (J109 - $B109) / $B109, "")</f>
        <v>1.8645542918676521E-2</v>
      </c>
      <c r="L109" s="18">
        <f>IF(ISNUMBER(J109), $B118 * K109, "")</f>
        <v>5593.6628756029568</v>
      </c>
      <c r="M109" s="31">
        <v>68701000</v>
      </c>
      <c r="N109" s="32">
        <f t="shared" ref="N109:N112" si="57">IF(ISNUMBER(M109), (M109 - $B109) / $B109, "")</f>
        <v>1.3423610803794015E-2</v>
      </c>
      <c r="O109" s="18">
        <f>IF(ISNUMBER(M109), $B118 * N109, "")</f>
        <v>4027.0832411382044</v>
      </c>
      <c r="Q109" s="181"/>
      <c r="R109" s="182"/>
      <c r="S109" s="183"/>
    </row>
    <row r="110" spans="1:19" ht="17.25" thickBot="1">
      <c r="A110" s="17" t="s">
        <v>63</v>
      </c>
      <c r="B110" s="15">
        <v>112900</v>
      </c>
      <c r="C110" s="32">
        <v>6.0093896700000003E-2</v>
      </c>
      <c r="D110" s="15">
        <v>116650</v>
      </c>
      <c r="E110" s="32">
        <f t="shared" si="54"/>
        <v>3.3215234720992026E-2</v>
      </c>
      <c r="F110" s="18">
        <f>IF(ISNUMBER(D110), $B118 * E110, "")</f>
        <v>9964.5704162976072</v>
      </c>
      <c r="G110" s="31">
        <v>114050</v>
      </c>
      <c r="H110" s="32">
        <f t="shared" si="55"/>
        <v>1.0186005314437556E-2</v>
      </c>
      <c r="I110" s="101">
        <f>IF(ISNUMBER(G110), $B118 * H110, "")</f>
        <v>3055.8015943312666</v>
      </c>
      <c r="J110" s="15">
        <v>116350</v>
      </c>
      <c r="K110" s="32">
        <f t="shared" si="56"/>
        <v>3.0558015943312665E-2</v>
      </c>
      <c r="L110" s="18">
        <f>IF(ISNUMBER(J110), $B118 * K110, "")</f>
        <v>9167.404782993799</v>
      </c>
      <c r="M110" s="31">
        <v>115100</v>
      </c>
      <c r="N110" s="32">
        <f t="shared" si="57"/>
        <v>1.9486271036315322E-2</v>
      </c>
      <c r="O110" s="18">
        <f>IF(ISNUMBER(M110), $B118 * N110, "")</f>
        <v>5845.8813108945969</v>
      </c>
      <c r="Q110" s="174"/>
      <c r="R110" s="174"/>
      <c r="S110" s="174"/>
    </row>
    <row r="111" spans="1:19" ht="17.25" thickBot="1">
      <c r="A111" s="17" t="s">
        <v>210</v>
      </c>
      <c r="B111" s="15">
        <v>217</v>
      </c>
      <c r="C111" s="32">
        <v>5.85365854E-2</v>
      </c>
      <c r="D111" s="15">
        <v>217</v>
      </c>
      <c r="E111" s="32">
        <f t="shared" si="54"/>
        <v>0</v>
      </c>
      <c r="F111" s="18">
        <f>IF(ISNUMBER(D111), $B118 * E111, "")</f>
        <v>0</v>
      </c>
      <c r="G111" s="31">
        <v>213</v>
      </c>
      <c r="H111" s="32">
        <f t="shared" si="55"/>
        <v>-1.8433179723502304E-2</v>
      </c>
      <c r="I111" s="101">
        <f>IF(ISNUMBER(G111), $B118 * H111, "")</f>
        <v>-5529.9539170506914</v>
      </c>
      <c r="J111" s="15">
        <v>215</v>
      </c>
      <c r="K111" s="32">
        <f t="shared" si="56"/>
        <v>-9.2165898617511521E-3</v>
      </c>
      <c r="L111" s="18">
        <f>IF(ISNUMBER(J111), $B118 * K111, "")</f>
        <v>-2764.9769585253457</v>
      </c>
      <c r="M111" s="31">
        <v>214</v>
      </c>
      <c r="N111" s="32">
        <f t="shared" si="57"/>
        <v>-1.3824884792626729E-2</v>
      </c>
      <c r="O111" s="18">
        <f>IF(ISNUMBER(M111), $B118 * N111, "")</f>
        <v>-4147.4654377880188</v>
      </c>
      <c r="Q111" s="184"/>
      <c r="R111" s="184"/>
      <c r="S111" s="184"/>
    </row>
    <row r="112" spans="1:19" ht="17.25" thickBot="1">
      <c r="A112" s="19" t="s">
        <v>130</v>
      </c>
      <c r="B112" s="20">
        <v>320500</v>
      </c>
      <c r="C112" s="21">
        <v>5.3929628399999999E-2</v>
      </c>
      <c r="D112" s="20">
        <v>323950</v>
      </c>
      <c r="E112" s="21">
        <f t="shared" si="54"/>
        <v>1.0764430577223089E-2</v>
      </c>
      <c r="F112" s="22">
        <f>IF(ISNUMBER(D112), $B118 * E112, "")</f>
        <v>3229.3291731669265</v>
      </c>
      <c r="G112" s="30">
        <v>321500</v>
      </c>
      <c r="H112" s="21">
        <f t="shared" si="55"/>
        <v>3.1201248049921998E-3</v>
      </c>
      <c r="I112" s="105">
        <f>IF(ISNUMBER(G112), $B118 * H112, "")</f>
        <v>936.03744149765998</v>
      </c>
      <c r="J112" s="20">
        <v>325200</v>
      </c>
      <c r="K112" s="21">
        <f t="shared" si="56"/>
        <v>1.4664586583463339E-2</v>
      </c>
      <c r="L112" s="22">
        <f>IF(ISNUMBER(J112), $B118 * K112, "")</f>
        <v>4399.3759750390018</v>
      </c>
      <c r="M112" s="30">
        <v>321650</v>
      </c>
      <c r="N112" s="21">
        <f t="shared" si="57"/>
        <v>3.5881435257410295E-3</v>
      </c>
      <c r="O112" s="22">
        <f>IF(ISNUMBER(M112), $B118 * N112, "")</f>
        <v>1076.4430577223088</v>
      </c>
      <c r="Q112" s="184"/>
      <c r="R112" s="184"/>
      <c r="S112" s="184"/>
    </row>
    <row r="113" spans="1:19" ht="17.25" thickBot="1">
      <c r="A113" s="17" t="s">
        <v>192</v>
      </c>
      <c r="B113" s="106">
        <v>1175</v>
      </c>
      <c r="C113" s="107">
        <v>5.38116592E-2</v>
      </c>
      <c r="D113" s="106">
        <v>1180</v>
      </c>
      <c r="E113" s="107">
        <f>IF(ISNUMBER(D113), (D113 - $B113) / $B113, "")</f>
        <v>4.2553191489361703E-3</v>
      </c>
      <c r="F113" s="108">
        <f>IF(ISNUMBER(D113), $B118 * E113, "")</f>
        <v>1276.5957446808511</v>
      </c>
      <c r="G113" s="109">
        <v>1165</v>
      </c>
      <c r="H113" s="107">
        <f>IF(ISNUMBER(G113), (G113 - $B113) / $B113, "")</f>
        <v>-8.5106382978723406E-3</v>
      </c>
      <c r="I113" s="110">
        <f>IF(ISNUMBER(G113), $B118 * H113, "")</f>
        <v>-2553.1914893617022</v>
      </c>
      <c r="J113" s="106">
        <v>1180</v>
      </c>
      <c r="K113" s="107">
        <f>IF(ISNUMBER(J113), (J113 - $B113) / $B113, "")</f>
        <v>4.2553191489361703E-3</v>
      </c>
      <c r="L113" s="108">
        <f>IF(ISNUMBER(J113), $B118 * K113, "")</f>
        <v>1276.5957446808511</v>
      </c>
      <c r="M113" s="109">
        <v>1170</v>
      </c>
      <c r="N113" s="107">
        <f>IF(ISNUMBER(M113), (M113 - $B113) / $B113, "")</f>
        <v>-4.2553191489361703E-3</v>
      </c>
      <c r="O113" s="108">
        <f>IF(ISNUMBER(M113), $B118 * N113, "")</f>
        <v>-1276.5957446808511</v>
      </c>
      <c r="Q113" s="174"/>
      <c r="R113" s="174"/>
      <c r="S113" s="174"/>
    </row>
    <row r="114" spans="1:19" ht="17.25" thickBot="1">
      <c r="A114" s="17" t="s">
        <v>196</v>
      </c>
      <c r="B114" s="15">
        <v>22.1</v>
      </c>
      <c r="C114" s="32">
        <v>5.23809524E-2</v>
      </c>
      <c r="D114" s="15">
        <v>22</v>
      </c>
      <c r="E114" s="32">
        <f t="shared" ref="E114:E117" si="58">IF(ISNUMBER(D114), (D114 - $B114) / $B114, "")</f>
        <v>-4.524886877828118E-3</v>
      </c>
      <c r="F114" s="18">
        <f>IF(ISNUMBER(D114), $B118 * E114, "")</f>
        <v>-1357.4660633484355</v>
      </c>
      <c r="G114" s="31">
        <v>22</v>
      </c>
      <c r="H114" s="32">
        <f t="shared" ref="H114:H117" si="59">IF(ISNUMBER(G114), (G114 - $B114) / $B114, "")</f>
        <v>-4.524886877828118E-3</v>
      </c>
      <c r="I114" s="101">
        <f>IF(ISNUMBER(G114), $B118 * H114, "")</f>
        <v>-1357.4660633484355</v>
      </c>
      <c r="J114" s="15">
        <v>21.9</v>
      </c>
      <c r="K114" s="32">
        <f t="shared" ref="K114:K117" si="60">IF(ISNUMBER(J114), (J114 - $B114) / $B114, "")</f>
        <v>-9.049773755656236E-3</v>
      </c>
      <c r="L114" s="18">
        <f>IF(ISNUMBER(J114), $B118 * K114, "")</f>
        <v>-2714.9321266968709</v>
      </c>
      <c r="M114" s="31">
        <v>21.9</v>
      </c>
      <c r="N114" s="32">
        <f t="shared" ref="N114:N117" si="61">IF(ISNUMBER(M114), (M114 - $B114) / $B114, "")</f>
        <v>-9.049773755656236E-3</v>
      </c>
      <c r="O114" s="18">
        <f>IF(ISNUMBER(M114), $B118 * N114, "")</f>
        <v>-2714.9321266968709</v>
      </c>
      <c r="Q114" s="174"/>
      <c r="R114" s="174"/>
      <c r="S114" s="174"/>
    </row>
    <row r="115" spans="1:19" ht="17.25" thickBot="1">
      <c r="A115" s="17" t="s">
        <v>104</v>
      </c>
      <c r="B115" s="15">
        <v>2110</v>
      </c>
      <c r="C115" s="32">
        <v>5.2369077299999997E-2</v>
      </c>
      <c r="D115" s="15">
        <v>2180</v>
      </c>
      <c r="E115" s="32">
        <f t="shared" si="58"/>
        <v>3.3175355450236969E-2</v>
      </c>
      <c r="F115" s="18">
        <f>IF(ISNUMBER(D115), $B118 * E115, "")</f>
        <v>9952.6066350710917</v>
      </c>
      <c r="G115" s="31">
        <v>2130</v>
      </c>
      <c r="H115" s="32">
        <f t="shared" si="59"/>
        <v>9.4786729857819912E-3</v>
      </c>
      <c r="I115" s="101">
        <f>IF(ISNUMBER(G115), $B118 * H115, "")</f>
        <v>2843.6018957345973</v>
      </c>
      <c r="J115" s="15">
        <v>2150</v>
      </c>
      <c r="K115" s="32">
        <f t="shared" si="60"/>
        <v>1.8957345971563982E-2</v>
      </c>
      <c r="L115" s="18">
        <f>IF(ISNUMBER(J115), $B118 * K115, "")</f>
        <v>5687.2037914691946</v>
      </c>
      <c r="M115" s="31">
        <v>2120</v>
      </c>
      <c r="N115" s="32">
        <f t="shared" si="61"/>
        <v>4.7393364928909956E-3</v>
      </c>
      <c r="O115" s="18">
        <f>IF(ISNUMBER(M115), $B118 * N115, "")</f>
        <v>1421.8009478672986</v>
      </c>
      <c r="Q115" s="174"/>
      <c r="R115" s="174"/>
      <c r="S115" s="174"/>
    </row>
    <row r="116" spans="1:19">
      <c r="A116" s="17" t="s">
        <v>98</v>
      </c>
      <c r="B116" s="15">
        <v>6580</v>
      </c>
      <c r="C116" s="32">
        <v>5.1958433300000002E-2</v>
      </c>
      <c r="D116" s="15">
        <v>6710</v>
      </c>
      <c r="E116" s="32">
        <f t="shared" si="58"/>
        <v>1.9756838905775075E-2</v>
      </c>
      <c r="F116" s="18">
        <f>IF(ISNUMBER(D116), $B118 * E116, "")</f>
        <v>5927.0516717325227</v>
      </c>
      <c r="G116" s="31">
        <v>6690</v>
      </c>
      <c r="H116" s="32">
        <f t="shared" si="59"/>
        <v>1.6717325227963525E-2</v>
      </c>
      <c r="I116" s="101">
        <f>IF(ISNUMBER(G116), $B118 * H116, "")</f>
        <v>5015.1975683890578</v>
      </c>
      <c r="J116" s="15">
        <v>6770</v>
      </c>
      <c r="K116" s="32">
        <f t="shared" si="60"/>
        <v>2.8875379939209727E-2</v>
      </c>
      <c r="L116" s="18">
        <f>IF(ISNUMBER(J116), $B118 * K116, "")</f>
        <v>8662.6139817629173</v>
      </c>
      <c r="M116" s="31">
        <v>6720</v>
      </c>
      <c r="N116" s="32">
        <f t="shared" si="61"/>
        <v>2.1276595744680851E-2</v>
      </c>
      <c r="O116" s="18">
        <f>IF(ISNUMBER(M116), $B118 * N116, "")</f>
        <v>6382.9787234042551</v>
      </c>
      <c r="Q116" s="163"/>
      <c r="R116" s="164"/>
      <c r="S116" s="165"/>
    </row>
    <row r="117" spans="1:19" ht="17.25" thickBot="1">
      <c r="A117" s="23" t="s">
        <v>76</v>
      </c>
      <c r="B117" s="24">
        <v>45550</v>
      </c>
      <c r="C117" s="25">
        <v>5.0507380099999999E-2</v>
      </c>
      <c r="D117" s="24">
        <v>45720</v>
      </c>
      <c r="E117" s="25">
        <f t="shared" si="58"/>
        <v>3.7321624588364435E-3</v>
      </c>
      <c r="F117" s="104">
        <f>IF(ISNUMBER(D117), $B118 * E117, "")</f>
        <v>1119.6487376509331</v>
      </c>
      <c r="G117" s="102">
        <v>45490</v>
      </c>
      <c r="H117" s="25">
        <f t="shared" si="59"/>
        <v>-1.3172338090010978E-3</v>
      </c>
      <c r="I117" s="103">
        <f>IF(ISNUMBER(G117), $B118 * H117, "")</f>
        <v>-395.17014270032934</v>
      </c>
      <c r="J117" s="24">
        <v>46500</v>
      </c>
      <c r="K117" s="25">
        <f t="shared" si="60"/>
        <v>2.0856201975850714E-2</v>
      </c>
      <c r="L117" s="104">
        <f>IF(ISNUMBER(J117), $B118 * K117, "")</f>
        <v>6256.8605927552144</v>
      </c>
      <c r="M117" s="102">
        <v>46510</v>
      </c>
      <c r="N117" s="25">
        <f t="shared" si="61"/>
        <v>2.1075740944017565E-2</v>
      </c>
      <c r="O117" s="104">
        <f>IF(ISNUMBER(M117), $B118 * N117, "")</f>
        <v>6322.7222832052694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1.7947664270110929E-2</v>
      </c>
      <c r="F118" s="28">
        <f>SUM(F98:F117)</f>
        <v>107685.98562066558</v>
      </c>
      <c r="G118" s="26" t="s">
        <v>302</v>
      </c>
      <c r="H118" s="27">
        <f>IF(COUNT(H98:H117), SUM(H98:H117) / COUNT(H98:H117), 0)</f>
        <v>6.9576186536225324E-3</v>
      </c>
      <c r="I118" s="28">
        <f>SUM(I98:I117)</f>
        <v>41745.711921735201</v>
      </c>
      <c r="J118" s="26" t="s">
        <v>302</v>
      </c>
      <c r="K118" s="27">
        <f>IF(COUNT(K98:K117), SUM(K98:K117) / COUNT(K98:K117), 0)</f>
        <v>2.0077732508834219E-2</v>
      </c>
      <c r="L118" s="28">
        <f>SUM(L98:L117)</f>
        <v>120466.39505300528</v>
      </c>
      <c r="M118" s="26" t="s">
        <v>302</v>
      </c>
      <c r="N118" s="27">
        <f>IF(COUNT(N98:N117), SUM(N98:N117) / COUNT(N98:N117), 0)</f>
        <v>1.1232222327055948E-2</v>
      </c>
      <c r="O118" s="28">
        <f>SUM(O98:O117)</f>
        <v>67393.333962335702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2021-05-01(토) 오전 00:00</v>
      </c>
      <c r="C123" s="197"/>
      <c r="D123" s="198" t="str">
        <f>TEXT($G$1, "[$-ko-KR]yyyy-mm-dd(ddd) ") &amp; "오후 14:00"</f>
        <v>2021-05-01(토) 오후 14:00</v>
      </c>
      <c r="E123" s="199"/>
      <c r="F123" s="200"/>
      <c r="G123" s="198" t="str">
        <f>TEXT($G$1, "[$-ko-KR]yyyy-mm-dd(ddd) ") &amp; "오후 19:00"</f>
        <v>2021-05-01(토) 오후 19:00</v>
      </c>
      <c r="H123" s="199"/>
      <c r="I123" s="200"/>
      <c r="J123" s="198" t="str">
        <f>TEXT($G$1, "[$-ko-KR]yyyy-mm-dd(ddd) ") &amp; "오후 21:00"</f>
        <v>2021-05-01(토) 오후 21:00</v>
      </c>
      <c r="K123" s="199"/>
      <c r="L123" s="200"/>
      <c r="M123" s="198" t="str">
        <f>TEXT($G$1+1, "[$-ko-KR]yyyy-mm-dd(ddd) ") &amp; "오전 00:00"</f>
        <v>2021-05-02(일)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196</v>
      </c>
      <c r="B125" s="13">
        <v>22.1</v>
      </c>
      <c r="C125" s="14">
        <v>5.23809524E-2</v>
      </c>
      <c r="D125" s="13">
        <v>22</v>
      </c>
      <c r="E125" s="14">
        <f>IF(ISNUMBER(D125), (D125 - $B125) / $B125, "")</f>
        <v>-4.524886877828118E-3</v>
      </c>
      <c r="F125" s="16">
        <f>IF(ISNUMBER(D125), $B145 * E125, "")</f>
        <v>-1357.4660633484355</v>
      </c>
      <c r="G125" s="29">
        <v>22</v>
      </c>
      <c r="H125" s="14">
        <f>IF(ISNUMBER(G125), (G125 - $B125) / $B125, "")</f>
        <v>-4.524886877828118E-3</v>
      </c>
      <c r="I125" s="100">
        <f>IF(ISNUMBER(G125), $B145 * H125, "")</f>
        <v>-1357.4660633484355</v>
      </c>
      <c r="J125" s="13">
        <v>21.9</v>
      </c>
      <c r="K125" s="14">
        <f>IF(ISNUMBER(J125), (J125 - $B125) / $B125, "")</f>
        <v>-9.049773755656236E-3</v>
      </c>
      <c r="L125" s="16">
        <f>IF(ISNUMBER(J125), $B145 * K125, "")</f>
        <v>-2714.9321266968709</v>
      </c>
      <c r="M125" s="29">
        <v>21.9</v>
      </c>
      <c r="N125" s="14">
        <f>IF(ISNUMBER(M125), (M125 - $B125) / $B125, "")</f>
        <v>-9.049773755656236E-3</v>
      </c>
      <c r="O125" s="16">
        <f>IF(ISNUMBER(M125), $B145 * N125, "")</f>
        <v>-2714.9321266968709</v>
      </c>
      <c r="Q125" s="184"/>
      <c r="R125" s="184"/>
      <c r="S125" s="184"/>
    </row>
    <row r="126" spans="1:19" ht="17.25" thickBot="1">
      <c r="A126" s="17" t="s">
        <v>65</v>
      </c>
      <c r="B126" s="15">
        <v>76</v>
      </c>
      <c r="C126" s="32">
        <v>4.8275862099999997E-2</v>
      </c>
      <c r="D126" s="15">
        <v>78.5</v>
      </c>
      <c r="E126" s="32">
        <f t="shared" ref="E126:E129" si="62">IF(ISNUMBER(D126), (D126 - $B126) / $B126, "")</f>
        <v>3.2894736842105261E-2</v>
      </c>
      <c r="F126" s="18">
        <f>IF(ISNUMBER(D126), $B145 * E126, "")</f>
        <v>9868.4210526315783</v>
      </c>
      <c r="G126" s="31">
        <v>77.7</v>
      </c>
      <c r="H126" s="32">
        <f t="shared" ref="H126:H129" si="63">IF(ISNUMBER(G126), (G126 - $B126) / $B126, "")</f>
        <v>2.2368421052631617E-2</v>
      </c>
      <c r="I126" s="101">
        <f>IF(ISNUMBER(G126), $B145 * H126, "")</f>
        <v>6710.5263157894851</v>
      </c>
      <c r="J126" s="15">
        <v>78.2</v>
      </c>
      <c r="K126" s="32">
        <f t="shared" ref="K126:K129" si="64">IF(ISNUMBER(J126), (J126 - $B126) / $B126, "")</f>
        <v>2.894736842105267E-2</v>
      </c>
      <c r="L126" s="18">
        <f>IF(ISNUMBER(J126), $B145 * K126, "")</f>
        <v>8684.210526315801</v>
      </c>
      <c r="M126" s="31">
        <v>77.5</v>
      </c>
      <c r="N126" s="32">
        <f t="shared" ref="N126:N129" si="65">IF(ISNUMBER(M126), (M126 - $B126) / $B126, "")</f>
        <v>1.9736842105263157E-2</v>
      </c>
      <c r="O126" s="18">
        <f>IF(ISNUMBER(M126), $B145 * N126, "")</f>
        <v>5921.0526315789466</v>
      </c>
      <c r="Q126" s="184"/>
      <c r="R126" s="184"/>
      <c r="S126" s="184"/>
    </row>
    <row r="127" spans="1:19" ht="17.25" thickBot="1">
      <c r="A127" s="17" t="s">
        <v>152</v>
      </c>
      <c r="B127" s="15">
        <v>46.3</v>
      </c>
      <c r="C127" s="32">
        <v>2.88888889E-2</v>
      </c>
      <c r="D127" s="15">
        <v>47.6</v>
      </c>
      <c r="E127" s="32">
        <f t="shared" si="62"/>
        <v>2.8077753779697717E-2</v>
      </c>
      <c r="F127" s="18">
        <f>IF(ISNUMBER(D127), $B145 * E127, "")</f>
        <v>8423.3261339093151</v>
      </c>
      <c r="G127" s="31">
        <v>46.8</v>
      </c>
      <c r="H127" s="32">
        <f t="shared" si="63"/>
        <v>1.0799136069114472E-2</v>
      </c>
      <c r="I127" s="101">
        <f>IF(ISNUMBER(G127), $B145 * H127, "")</f>
        <v>3239.7408207343415</v>
      </c>
      <c r="J127" s="15">
        <v>47.5</v>
      </c>
      <c r="K127" s="32">
        <f t="shared" si="64"/>
        <v>2.5917926565874792E-2</v>
      </c>
      <c r="L127" s="18">
        <f>IF(ISNUMBER(J127), $B145 * K127, "")</f>
        <v>7775.3779697624377</v>
      </c>
      <c r="M127" s="31">
        <v>46.9</v>
      </c>
      <c r="N127" s="32">
        <f t="shared" si="65"/>
        <v>1.2958963282937396E-2</v>
      </c>
      <c r="O127" s="18">
        <f>IF(ISNUMBER(M127), $B145 * N127, "")</f>
        <v>3887.6889848812189</v>
      </c>
      <c r="Q127" s="174"/>
      <c r="R127" s="174"/>
      <c r="S127" s="174"/>
    </row>
    <row r="128" spans="1:19" ht="17.25" thickBot="1">
      <c r="A128" s="17" t="s">
        <v>100</v>
      </c>
      <c r="B128" s="15">
        <v>8.44</v>
      </c>
      <c r="C128" s="32">
        <v>2.80146163E-2</v>
      </c>
      <c r="D128" s="15">
        <v>8.56</v>
      </c>
      <c r="E128" s="32">
        <f t="shared" si="62"/>
        <v>1.4218009478673105E-2</v>
      </c>
      <c r="F128" s="18">
        <f>IF(ISNUMBER(D128), $B145 * E128, "")</f>
        <v>4265.4028436019316</v>
      </c>
      <c r="G128" s="31">
        <v>8.56</v>
      </c>
      <c r="H128" s="32">
        <f t="shared" si="63"/>
        <v>1.4218009478673105E-2</v>
      </c>
      <c r="I128" s="101">
        <f>IF(ISNUMBER(G128), $B145 * H128, "")</f>
        <v>4265.4028436019316</v>
      </c>
      <c r="J128" s="15">
        <v>8.6</v>
      </c>
      <c r="K128" s="32">
        <f t="shared" si="64"/>
        <v>1.8957345971564E-2</v>
      </c>
      <c r="L128" s="18">
        <f>IF(ISNUMBER(J128), $B145 * K128, "")</f>
        <v>5687.2037914692</v>
      </c>
      <c r="M128" s="31">
        <v>8.5500000000000007</v>
      </c>
      <c r="N128" s="32">
        <f t="shared" si="65"/>
        <v>1.303317535545038E-2</v>
      </c>
      <c r="O128" s="18">
        <f>IF(ISNUMBER(M128), $B145 * N128, "")</f>
        <v>3909.9526066351141</v>
      </c>
      <c r="Q128" s="174"/>
      <c r="R128" s="174"/>
      <c r="S128" s="174"/>
    </row>
    <row r="129" spans="1:19" ht="17.25" thickBot="1">
      <c r="A129" s="19" t="s">
        <v>220</v>
      </c>
      <c r="B129" s="20">
        <v>20</v>
      </c>
      <c r="C129" s="21">
        <v>2.5641025599999999E-2</v>
      </c>
      <c r="D129" s="20">
        <v>20.100000000000001</v>
      </c>
      <c r="E129" s="21">
        <f t="shared" si="62"/>
        <v>5.0000000000000712E-3</v>
      </c>
      <c r="F129" s="22">
        <f>IF(ISNUMBER(D129), $B145 * E129, "")</f>
        <v>1500.0000000000214</v>
      </c>
      <c r="G129" s="30">
        <v>20</v>
      </c>
      <c r="H129" s="21">
        <f t="shared" si="63"/>
        <v>0</v>
      </c>
      <c r="I129" s="105">
        <f>IF(ISNUMBER(G129), $B145 * H129, "")</f>
        <v>0</v>
      </c>
      <c r="J129" s="20">
        <v>20.100000000000001</v>
      </c>
      <c r="K129" s="21">
        <f t="shared" si="64"/>
        <v>5.0000000000000712E-3</v>
      </c>
      <c r="L129" s="22">
        <f>IF(ISNUMBER(J129), $B145 * K129, "")</f>
        <v>1500.0000000000214</v>
      </c>
      <c r="M129" s="30">
        <v>20.2</v>
      </c>
      <c r="N129" s="21">
        <f t="shared" si="65"/>
        <v>9.9999999999999638E-3</v>
      </c>
      <c r="O129" s="22">
        <f>IF(ISNUMBER(M129), $B145 * N129, "")</f>
        <v>2999.9999999999891</v>
      </c>
      <c r="Q129" s="174"/>
      <c r="R129" s="174"/>
      <c r="S129" s="174"/>
    </row>
    <row r="130" spans="1:19" ht="17.25" thickBot="1">
      <c r="A130" s="17" t="s">
        <v>72</v>
      </c>
      <c r="B130" s="106">
        <v>35.4</v>
      </c>
      <c r="C130" s="107">
        <v>2.3121387300000001E-2</v>
      </c>
      <c r="D130" s="106">
        <v>37.200000000000003</v>
      </c>
      <c r="E130" s="107">
        <f>IF(ISNUMBER(D130), (D130 - $B130) / $B130, "")</f>
        <v>5.0847457627118765E-2</v>
      </c>
      <c r="F130" s="108">
        <f>IF(ISNUMBER(D130), $B145 * E130, "")</f>
        <v>15254.23728813563</v>
      </c>
      <c r="G130" s="109">
        <v>36.6</v>
      </c>
      <c r="H130" s="107">
        <f>IF(ISNUMBER(G130), (G130 - $B130) / $B130, "")</f>
        <v>3.3898305084745846E-2</v>
      </c>
      <c r="I130" s="110">
        <f>IF(ISNUMBER(G130), $B145 * H130, "")</f>
        <v>10169.491525423753</v>
      </c>
      <c r="J130" s="106">
        <v>36.9</v>
      </c>
      <c r="K130" s="107">
        <f>IF(ISNUMBER(J130), (J130 - $B130) / $B130, "")</f>
        <v>4.2372881355932208E-2</v>
      </c>
      <c r="L130" s="108">
        <f>IF(ISNUMBER(J130), $B145 * K130, "")</f>
        <v>12711.864406779663</v>
      </c>
      <c r="M130" s="109">
        <v>37.4</v>
      </c>
      <c r="N130" s="107">
        <f>IF(ISNUMBER(M130), (M130 - $B130) / $B130, "")</f>
        <v>5.6497175141242938E-2</v>
      </c>
      <c r="O130" s="108">
        <f>IF(ISNUMBER(M130), $B145 * N130, "")</f>
        <v>16949.152542372882</v>
      </c>
      <c r="Q130" s="174"/>
      <c r="R130" s="174"/>
      <c r="S130" s="174"/>
    </row>
    <row r="131" spans="1:19" ht="17.25" thickBot="1">
      <c r="A131" s="17" t="s">
        <v>236</v>
      </c>
      <c r="B131" s="15">
        <v>76.900000000000006</v>
      </c>
      <c r="C131" s="32">
        <v>1.8543046399999999E-2</v>
      </c>
      <c r="D131" s="15">
        <v>77.099999999999994</v>
      </c>
      <c r="E131" s="32">
        <f t="shared" ref="E131:E134" si="66">IF(ISNUMBER(D131), (D131 - $B131) / $B131, "")</f>
        <v>2.6007802340700732E-3</v>
      </c>
      <c r="F131" s="18">
        <f>IF(ISNUMBER(D131), $B145 * E131, "")</f>
        <v>780.23407022102197</v>
      </c>
      <c r="G131" s="31">
        <v>76.900000000000006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77</v>
      </c>
      <c r="K131" s="32">
        <f t="shared" ref="K131:K134" si="68">IF(ISNUMBER(J131), (J131 - $B131) / $B131, "")</f>
        <v>1.3003901170350366E-3</v>
      </c>
      <c r="L131" s="18">
        <f>IF(ISNUMBER(J131), $B145 * K131, "")</f>
        <v>390.11703511051098</v>
      </c>
      <c r="M131" s="31">
        <v>77.3</v>
      </c>
      <c r="N131" s="32">
        <f t="shared" ref="N131:N134" si="69">IF(ISNUMBER(M131), (M131 - $B131) / $B131, "")</f>
        <v>5.2015604681403312E-3</v>
      </c>
      <c r="O131" s="18">
        <f>IF(ISNUMBER(M131), $B145 * N131, "")</f>
        <v>1560.4681404420994</v>
      </c>
      <c r="Q131" s="174"/>
      <c r="R131" s="174"/>
      <c r="S131" s="174"/>
    </row>
    <row r="132" spans="1:19" ht="17.25" thickBot="1">
      <c r="A132" s="17" t="s">
        <v>228</v>
      </c>
      <c r="B132" s="15">
        <v>19.8</v>
      </c>
      <c r="C132" s="32">
        <v>1.02040816E-2</v>
      </c>
      <c r="D132" s="15">
        <v>19.899999999999999</v>
      </c>
      <c r="E132" s="32">
        <f t="shared" si="66"/>
        <v>5.0505050505049425E-3</v>
      </c>
      <c r="F132" s="18">
        <f>IF(ISNUMBER(D132), $B145 * E132, "")</f>
        <v>1515.1515151514827</v>
      </c>
      <c r="G132" s="31">
        <v>19.8</v>
      </c>
      <c r="H132" s="32">
        <f t="shared" si="67"/>
        <v>0</v>
      </c>
      <c r="I132" s="101">
        <f>IF(ISNUMBER(G132), $B145 * H132, "")</f>
        <v>0</v>
      </c>
      <c r="J132" s="15">
        <v>19.899999999999999</v>
      </c>
      <c r="K132" s="32">
        <f t="shared" si="68"/>
        <v>5.0505050505049425E-3</v>
      </c>
      <c r="L132" s="18">
        <f>IF(ISNUMBER(J132), $B145 * K132, "")</f>
        <v>1515.1515151514827</v>
      </c>
      <c r="M132" s="31">
        <v>19.899999999999999</v>
      </c>
      <c r="N132" s="32">
        <f t="shared" si="69"/>
        <v>5.0505050505049425E-3</v>
      </c>
      <c r="O132" s="18">
        <f>IF(ISNUMBER(M132), $B145 * N132, "")</f>
        <v>1515.1515151514827</v>
      </c>
      <c r="Q132" s="174"/>
      <c r="R132" s="174"/>
      <c r="S132" s="174"/>
    </row>
    <row r="133" spans="1:19" ht="17.25" thickBot="1">
      <c r="A133" s="17" t="s">
        <v>266</v>
      </c>
      <c r="B133" s="15">
        <v>94.2</v>
      </c>
      <c r="C133" s="32">
        <v>5.3361792999999996E-3</v>
      </c>
      <c r="D133" s="15">
        <v>93.5</v>
      </c>
      <c r="E133" s="32">
        <f t="shared" si="66"/>
        <v>-7.430997876857779E-3</v>
      </c>
      <c r="F133" s="18">
        <f>IF(ISNUMBER(D133), $B145 * E133, "")</f>
        <v>-2229.2993630573337</v>
      </c>
      <c r="G133" s="31">
        <v>93.4</v>
      </c>
      <c r="H133" s="32">
        <f t="shared" si="67"/>
        <v>-8.4925690021231126E-3</v>
      </c>
      <c r="I133" s="101">
        <f>IF(ISNUMBER(G133), $B145 * H133, "")</f>
        <v>-2547.7707006369337</v>
      </c>
      <c r="J133" s="15">
        <v>93.6</v>
      </c>
      <c r="K133" s="32">
        <f t="shared" si="68"/>
        <v>-6.3694267515924472E-3</v>
      </c>
      <c r="L133" s="18">
        <f>IF(ISNUMBER(J133), $B145 * K133, "")</f>
        <v>-1910.8280254777342</v>
      </c>
      <c r="M133" s="31">
        <v>93.6</v>
      </c>
      <c r="N133" s="32">
        <f t="shared" si="69"/>
        <v>-6.3694267515924472E-3</v>
      </c>
      <c r="O133" s="18">
        <f>IF(ISNUMBER(M133), $B145 * N133, "")</f>
        <v>-1910.8280254777342</v>
      </c>
      <c r="Q133" s="33"/>
      <c r="R133" s="33"/>
    </row>
    <row r="134" spans="1:19" ht="17.25" thickBot="1">
      <c r="A134" s="23" t="s">
        <v>222</v>
      </c>
      <c r="B134" s="24">
        <v>20.100000000000001</v>
      </c>
      <c r="C134" s="25">
        <v>5.0000000000000001E-3</v>
      </c>
      <c r="D134" s="24">
        <v>20.100000000000001</v>
      </c>
      <c r="E134" s="25">
        <f t="shared" si="66"/>
        <v>0</v>
      </c>
      <c r="F134" s="104">
        <f>IF(ISNUMBER(D134), $B145 * E134, "")</f>
        <v>0</v>
      </c>
      <c r="G134" s="102">
        <v>19.899999999999999</v>
      </c>
      <c r="H134" s="25">
        <f t="shared" si="67"/>
        <v>-9.9502487562190458E-3</v>
      </c>
      <c r="I134" s="103">
        <f>IF(ISNUMBER(G134), $B145 * H134, "")</f>
        <v>-2985.0746268657135</v>
      </c>
      <c r="J134" s="24">
        <v>20.100000000000001</v>
      </c>
      <c r="K134" s="25">
        <f t="shared" si="68"/>
        <v>0</v>
      </c>
      <c r="L134" s="104">
        <f>IF(ISNUMBER(J134), $B145 * K134, "")</f>
        <v>0</v>
      </c>
      <c r="M134" s="102">
        <v>20.100000000000001</v>
      </c>
      <c r="N134" s="25">
        <f t="shared" si="69"/>
        <v>0</v>
      </c>
      <c r="O134" s="104">
        <f>IF(ISNUMBER(M134), $B145 * N134, "")</f>
        <v>0</v>
      </c>
      <c r="Q134" s="175"/>
      <c r="R134" s="176"/>
      <c r="S134" s="177"/>
    </row>
    <row r="135" spans="1:19">
      <c r="A135" s="12" t="s">
        <v>214</v>
      </c>
      <c r="B135" s="13">
        <v>24.3</v>
      </c>
      <c r="C135" s="14">
        <v>4.1322314000000002E-3</v>
      </c>
      <c r="D135" s="13">
        <v>24.2</v>
      </c>
      <c r="E135" s="14">
        <f>IF(ISNUMBER(D135), (D135 - $B135) / $B135, "")</f>
        <v>-4.1152263374486181E-3</v>
      </c>
      <c r="F135" s="16">
        <f>IF(ISNUMBER(D135), $B145 * E135, "")</f>
        <v>-1234.5679012345854</v>
      </c>
      <c r="G135" s="29">
        <v>24.2</v>
      </c>
      <c r="H135" s="14">
        <f>IF(ISNUMBER(G135), (G135 - $B135) / $B135, "")</f>
        <v>-4.1152263374486181E-3</v>
      </c>
      <c r="I135" s="100">
        <f>IF(ISNUMBER(G135), $B145 * H135, "")</f>
        <v>-1234.5679012345854</v>
      </c>
      <c r="J135" s="13">
        <v>24.2</v>
      </c>
      <c r="K135" s="14">
        <f>IF(ISNUMBER(J135), (J135 - $B135) / $B135, "")</f>
        <v>-4.1152263374486181E-3</v>
      </c>
      <c r="L135" s="16">
        <f>IF(ISNUMBER(J135), $B145 * K135, "")</f>
        <v>-1234.5679012345854</v>
      </c>
      <c r="M135" s="29">
        <v>24.2</v>
      </c>
      <c r="N135" s="14">
        <f>IF(ISNUMBER(M135), (M135 - $B135) / $B135, "")</f>
        <v>-4.1152263374486181E-3</v>
      </c>
      <c r="O135" s="16">
        <f>IF(ISNUMBER(M135), $B145 * N135, "")</f>
        <v>-1234.5679012345854</v>
      </c>
      <c r="Q135" s="178"/>
      <c r="R135" s="179"/>
      <c r="S135" s="180"/>
    </row>
    <row r="136" spans="1:19" ht="17.25" thickBot="1">
      <c r="A136" s="17" t="s">
        <v>126</v>
      </c>
      <c r="B136" s="15">
        <v>60.4</v>
      </c>
      <c r="C136" s="32">
        <v>3.3222591000000002E-3</v>
      </c>
      <c r="D136" s="15">
        <v>69.599999999999994</v>
      </c>
      <c r="E136" s="32">
        <f t="shared" ref="E136:E139" si="70">IF(ISNUMBER(D136), (D136 - $B136) / $B136, "")</f>
        <v>0.15231788079470193</v>
      </c>
      <c r="F136" s="18">
        <f>IF(ISNUMBER(D136), $B145 * E136, "")</f>
        <v>45695.364238410577</v>
      </c>
      <c r="G136" s="31">
        <v>70.3</v>
      </c>
      <c r="H136" s="32">
        <f t="shared" ref="H136:H139" si="71">IF(ISNUMBER(G136), (G136 - $B136) / $B136, "")</f>
        <v>0.1639072847682119</v>
      </c>
      <c r="I136" s="101">
        <f>IF(ISNUMBER(G136), $B145 * H136, "")</f>
        <v>49172.185430463571</v>
      </c>
      <c r="J136" s="15">
        <v>71.2</v>
      </c>
      <c r="K136" s="32">
        <f t="shared" ref="K136:K139" si="72">IF(ISNUMBER(J136), (J136 - $B136) / $B136, "")</f>
        <v>0.17880794701986763</v>
      </c>
      <c r="L136" s="18">
        <f>IF(ISNUMBER(J136), $B145 * K136, "")</f>
        <v>53642.384105960286</v>
      </c>
      <c r="M136" s="31">
        <v>70.7</v>
      </c>
      <c r="N136" s="32">
        <f t="shared" ref="N136:N139" si="73">IF(ISNUMBER(M136), (M136 - $B136) / $B136, "")</f>
        <v>0.17052980132450338</v>
      </c>
      <c r="O136" s="18">
        <f>IF(ISNUMBER(M136), $B145 * N136, "")</f>
        <v>51158.940397351013</v>
      </c>
      <c r="Q136" s="181"/>
      <c r="R136" s="182"/>
      <c r="S136" s="183"/>
    </row>
    <row r="137" spans="1:19" ht="17.25" thickBot="1">
      <c r="A137" s="17" t="s">
        <v>198</v>
      </c>
      <c r="B137" s="15">
        <v>31.2</v>
      </c>
      <c r="C137" s="32">
        <v>3.2154341000000001E-3</v>
      </c>
      <c r="D137" s="15">
        <v>31.5</v>
      </c>
      <c r="E137" s="32">
        <f t="shared" si="70"/>
        <v>9.6153846153846385E-3</v>
      </c>
      <c r="F137" s="18">
        <f>IF(ISNUMBER(D137), $B145 * E137, "")</f>
        <v>2884.6153846153916</v>
      </c>
      <c r="G137" s="31">
        <v>31.3</v>
      </c>
      <c r="H137" s="32">
        <f t="shared" si="71"/>
        <v>3.2051282051282506E-3</v>
      </c>
      <c r="I137" s="101">
        <f>IF(ISNUMBER(G137), $B145 * H137, "")</f>
        <v>961.53846153847519</v>
      </c>
      <c r="J137" s="15">
        <v>31.5</v>
      </c>
      <c r="K137" s="32">
        <f t="shared" si="72"/>
        <v>9.6153846153846385E-3</v>
      </c>
      <c r="L137" s="18">
        <f>IF(ISNUMBER(J137), $B145 * K137, "")</f>
        <v>2884.6153846153916</v>
      </c>
      <c r="M137" s="31">
        <v>31.7</v>
      </c>
      <c r="N137" s="32">
        <f t="shared" si="73"/>
        <v>1.6025641025641028E-2</v>
      </c>
      <c r="O137" s="18">
        <f>IF(ISNUMBER(M137), $B145 * N137, "")</f>
        <v>4807.6923076923085</v>
      </c>
      <c r="Q137" s="174"/>
      <c r="R137" s="174"/>
      <c r="S137" s="174"/>
    </row>
    <row r="138" spans="1:19" ht="17.25" thickBot="1">
      <c r="A138" s="17" t="s">
        <v>154</v>
      </c>
      <c r="B138" s="15">
        <v>22.1</v>
      </c>
      <c r="C138" s="32">
        <v>0</v>
      </c>
      <c r="D138" s="15">
        <v>22.2</v>
      </c>
      <c r="E138" s="32">
        <f t="shared" si="70"/>
        <v>4.5248868778279576E-3</v>
      </c>
      <c r="F138" s="18">
        <f>IF(ISNUMBER(D138), $B145 * E138, "")</f>
        <v>1357.4660633483873</v>
      </c>
      <c r="G138" s="31">
        <v>21.9</v>
      </c>
      <c r="H138" s="32">
        <f t="shared" si="71"/>
        <v>-9.049773755656236E-3</v>
      </c>
      <c r="I138" s="101">
        <f>IF(ISNUMBER(G138), $B145 * H138, "")</f>
        <v>-2714.9321266968709</v>
      </c>
      <c r="J138" s="15">
        <v>22.1</v>
      </c>
      <c r="K138" s="32">
        <f t="shared" si="72"/>
        <v>0</v>
      </c>
      <c r="L138" s="18">
        <f>IF(ISNUMBER(J138), $B145 * K138, "")</f>
        <v>0</v>
      </c>
      <c r="M138" s="31">
        <v>22.2</v>
      </c>
      <c r="N138" s="32">
        <f t="shared" si="73"/>
        <v>4.5248868778279576E-3</v>
      </c>
      <c r="O138" s="18">
        <f>IF(ISNUMBER(M138), $B145 * N138, "")</f>
        <v>1357.4660633483873</v>
      </c>
      <c r="Q138" s="184"/>
      <c r="R138" s="184"/>
      <c r="S138" s="184"/>
    </row>
    <row r="139" spans="1:19" ht="17.25" thickBot="1">
      <c r="A139" s="19" t="s">
        <v>268</v>
      </c>
      <c r="B139" s="20">
        <v>96.5</v>
      </c>
      <c r="C139" s="21">
        <v>-1.0351967E-3</v>
      </c>
      <c r="D139" s="20">
        <v>98</v>
      </c>
      <c r="E139" s="21">
        <f t="shared" si="70"/>
        <v>1.5544041450777202E-2</v>
      </c>
      <c r="F139" s="22">
        <f>IF(ISNUMBER(D139), $B145 * E139, "")</f>
        <v>4663.2124352331602</v>
      </c>
      <c r="G139" s="30">
        <v>97.1</v>
      </c>
      <c r="H139" s="21">
        <f t="shared" si="71"/>
        <v>6.2176165803108216E-3</v>
      </c>
      <c r="I139" s="105">
        <f>IF(ISNUMBER(G139), $B145 * H139, "")</f>
        <v>1865.2849740932465</v>
      </c>
      <c r="J139" s="20">
        <v>97.1</v>
      </c>
      <c r="K139" s="21">
        <f t="shared" si="72"/>
        <v>6.2176165803108216E-3</v>
      </c>
      <c r="L139" s="22">
        <f>IF(ISNUMBER(J139), $B145 * K139, "")</f>
        <v>1865.2849740932465</v>
      </c>
      <c r="M139" s="30">
        <v>97</v>
      </c>
      <c r="N139" s="21">
        <f t="shared" si="73"/>
        <v>5.1813471502590676E-3</v>
      </c>
      <c r="O139" s="22">
        <f>IF(ISNUMBER(M139), $B145 * N139, "")</f>
        <v>1554.4041450777202</v>
      </c>
      <c r="Q139" s="184"/>
      <c r="R139" s="184"/>
      <c r="S139" s="184"/>
    </row>
    <row r="140" spans="1:19" ht="17.25" thickBot="1">
      <c r="A140" s="17" t="s">
        <v>186</v>
      </c>
      <c r="B140" s="106">
        <v>26.1</v>
      </c>
      <c r="C140" s="107">
        <v>-3.8167939000000001E-3</v>
      </c>
      <c r="D140" s="106">
        <v>26.6</v>
      </c>
      <c r="E140" s="107">
        <f>IF(ISNUMBER(D140), (D140 - $B140) / $B140, "")</f>
        <v>1.9157088122605363E-2</v>
      </c>
      <c r="F140" s="108">
        <f>IF(ISNUMBER(D140), $B145 * E140, "")</f>
        <v>5747.1264367816084</v>
      </c>
      <c r="G140" s="109">
        <v>26.2</v>
      </c>
      <c r="H140" s="107">
        <f>IF(ISNUMBER(G140), (G140 - $B140) / $B140, "")</f>
        <v>3.8314176245209911E-3</v>
      </c>
      <c r="I140" s="110">
        <f>IF(ISNUMBER(G140), $B145 * H140, "")</f>
        <v>1149.4252873562973</v>
      </c>
      <c r="J140" s="106">
        <v>26.5</v>
      </c>
      <c r="K140" s="107">
        <f>IF(ISNUMBER(J140), (J140 - $B140) / $B140, "")</f>
        <v>1.5325670498084237E-2</v>
      </c>
      <c r="L140" s="108">
        <f>IF(ISNUMBER(J140), $B145 * K140, "")</f>
        <v>4597.7011494252711</v>
      </c>
      <c r="M140" s="109">
        <v>26.3</v>
      </c>
      <c r="N140" s="107">
        <f>IF(ISNUMBER(M140), (M140 - $B140) / $B140, "")</f>
        <v>7.6628352490421183E-3</v>
      </c>
      <c r="O140" s="108">
        <f>IF(ISNUMBER(M140), $B145 * N140, "")</f>
        <v>2298.8505747126355</v>
      </c>
      <c r="Q140" s="174"/>
      <c r="R140" s="174"/>
      <c r="S140" s="174"/>
    </row>
    <row r="141" spans="1:19" ht="17.25" thickBot="1">
      <c r="A141" s="17" t="s">
        <v>218</v>
      </c>
      <c r="B141" s="15">
        <v>31.8</v>
      </c>
      <c r="C141" s="32">
        <v>-6.2500000000000003E-3</v>
      </c>
      <c r="D141" s="15">
        <v>32.1</v>
      </c>
      <c r="E141" s="32">
        <f t="shared" ref="E141:E144" si="74">IF(ISNUMBER(D141), (D141 - $B141) / $B141, "")</f>
        <v>9.4339622641509656E-3</v>
      </c>
      <c r="F141" s="18">
        <f>IF(ISNUMBER(D141), $B145 * E141, "")</f>
        <v>2830.1886792452897</v>
      </c>
      <c r="G141" s="31">
        <v>32</v>
      </c>
      <c r="H141" s="32">
        <f t="shared" ref="H141:H144" si="75">IF(ISNUMBER(G141), (G141 - $B141) / $B141, "")</f>
        <v>6.2893081761006067E-3</v>
      </c>
      <c r="I141" s="101">
        <f>IF(ISNUMBER(G141), $B145 * H141, "")</f>
        <v>1886.7924528301821</v>
      </c>
      <c r="J141" s="15">
        <v>32.1</v>
      </c>
      <c r="K141" s="32">
        <f t="shared" ref="K141:K144" si="76">IF(ISNUMBER(J141), (J141 - $B141) / $B141, "")</f>
        <v>9.4339622641509656E-3</v>
      </c>
      <c r="L141" s="18">
        <f>IF(ISNUMBER(J141), $B145 * K141, "")</f>
        <v>2830.1886792452897</v>
      </c>
      <c r="M141" s="31">
        <v>32.1</v>
      </c>
      <c r="N141" s="32">
        <f t="shared" ref="N141:N144" si="77">IF(ISNUMBER(M141), (M141 - $B141) / $B141, "")</f>
        <v>9.4339622641509656E-3</v>
      </c>
      <c r="O141" s="18">
        <f>IF(ISNUMBER(M141), $B145 * N141, "")</f>
        <v>2830.1886792452897</v>
      </c>
      <c r="Q141" s="174"/>
      <c r="R141" s="174"/>
      <c r="S141" s="174"/>
    </row>
    <row r="142" spans="1:19" ht="17.25" thickBot="1">
      <c r="A142" s="17" t="s">
        <v>172</v>
      </c>
      <c r="B142" s="15">
        <v>28.3</v>
      </c>
      <c r="C142" s="32">
        <v>-1.04895105E-2</v>
      </c>
      <c r="D142" s="15">
        <v>28.2</v>
      </c>
      <c r="E142" s="32">
        <f t="shared" si="74"/>
        <v>-3.5335689045936898E-3</v>
      </c>
      <c r="F142" s="18">
        <f>IF(ISNUMBER(D142), $B145 * E142, "")</f>
        <v>-1060.0706713781069</v>
      </c>
      <c r="G142" s="31">
        <v>28</v>
      </c>
      <c r="H142" s="32">
        <f t="shared" si="75"/>
        <v>-1.0600706713780944E-2</v>
      </c>
      <c r="I142" s="101">
        <f>IF(ISNUMBER(G142), $B145 * H142, "")</f>
        <v>-3180.212014134283</v>
      </c>
      <c r="J142" s="15">
        <v>28.1</v>
      </c>
      <c r="K142" s="32">
        <f t="shared" si="76"/>
        <v>-7.0671378091872539E-3</v>
      </c>
      <c r="L142" s="18">
        <f>IF(ISNUMBER(J142), $B145 * K142, "")</f>
        <v>-2120.1413427561761</v>
      </c>
      <c r="M142" s="31">
        <v>28.2</v>
      </c>
      <c r="N142" s="32">
        <f t="shared" si="77"/>
        <v>-3.5335689045936898E-3</v>
      </c>
      <c r="O142" s="18">
        <f>IF(ISNUMBER(M142), $B145 * N142, "")</f>
        <v>-1060.0706713781069</v>
      </c>
      <c r="Q142" s="174"/>
      <c r="R142" s="174"/>
      <c r="S142" s="174"/>
    </row>
    <row r="143" spans="1:19">
      <c r="A143" s="17" t="s">
        <v>254</v>
      </c>
      <c r="B143" s="15">
        <v>93</v>
      </c>
      <c r="C143" s="32">
        <v>-1.4830508500000001E-2</v>
      </c>
      <c r="D143" s="15">
        <v>92.4</v>
      </c>
      <c r="E143" s="32">
        <f t="shared" si="74"/>
        <v>-6.4516129032257457E-3</v>
      </c>
      <c r="F143" s="18">
        <f>IF(ISNUMBER(D143), $B145 * E143, "")</f>
        <v>-1935.4838709677238</v>
      </c>
      <c r="G143" s="31">
        <v>92.1</v>
      </c>
      <c r="H143" s="32">
        <f t="shared" si="75"/>
        <v>-9.6774193548387708E-3</v>
      </c>
      <c r="I143" s="101">
        <f>IF(ISNUMBER(G143), $B145 * H143, "")</f>
        <v>-2903.2258064516313</v>
      </c>
      <c r="J143" s="15">
        <v>92.4</v>
      </c>
      <c r="K143" s="32">
        <f t="shared" si="76"/>
        <v>-6.4516129032257457E-3</v>
      </c>
      <c r="L143" s="18">
        <f>IF(ISNUMBER(J143), $B145 * K143, "")</f>
        <v>-1935.4838709677238</v>
      </c>
      <c r="M143" s="31">
        <v>92.4</v>
      </c>
      <c r="N143" s="32">
        <f t="shared" si="77"/>
        <v>-6.4516129032257457E-3</v>
      </c>
      <c r="O143" s="18">
        <f>IF(ISNUMBER(M143), $B145 * N143, "")</f>
        <v>-1935.4838709677238</v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1.7011904959877054E-2</v>
      </c>
      <c r="F145" s="28">
        <f>SUM(F125:F144)</f>
        <v>96967.858271299192</v>
      </c>
      <c r="G145" s="26" t="s">
        <v>302</v>
      </c>
      <c r="H145" s="27">
        <f>IF(COUNT(H125:H144), SUM(H125:H144) / COUNT(H125:H144), 0)</f>
        <v>1.0964410328502251E-2</v>
      </c>
      <c r="I145" s="28">
        <f>SUM(I125:I144)</f>
        <v>62497.138872462834</v>
      </c>
      <c r="J145" s="26" t="s">
        <v>302</v>
      </c>
      <c r="K145" s="27">
        <f>IF(COUNT(K125:K144), SUM(K125:K144) / COUNT(K125:K144), 0)</f>
        <v>1.6520727415929037E-2</v>
      </c>
      <c r="L145" s="28">
        <f>SUM(L125:L144)</f>
        <v>94168.146270795492</v>
      </c>
      <c r="M145" s="26" t="s">
        <v>302</v>
      </c>
      <c r="N145" s="27">
        <f>IF(COUNT(N125:N144), SUM(N125:N144) / COUNT(N125:N144), 0)</f>
        <v>1.6121951928549837E-2</v>
      </c>
      <c r="O145" s="28">
        <f>SUM(O125:O144)</f>
        <v>91895.125992734043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2021-05-01(토) 오전 00:00</v>
      </c>
      <c r="C150" s="197"/>
      <c r="D150" s="198" t="str">
        <f>TEXT($G$1, "[$-ko-KR]yyyy-mm-dd(ddd) ") &amp; "오후 14:00"</f>
        <v>2021-05-01(토) 오후 14:00</v>
      </c>
      <c r="E150" s="199"/>
      <c r="F150" s="200"/>
      <c r="G150" s="198" t="str">
        <f>TEXT($G$1, "[$-ko-KR]yyyy-mm-dd(ddd) ") &amp; "오후 19:00"</f>
        <v>2021-05-01(토) 오후 19:00</v>
      </c>
      <c r="H150" s="199"/>
      <c r="I150" s="200"/>
      <c r="J150" s="198" t="str">
        <f>TEXT($G$1, "[$-ko-KR]yyyy-mm-dd(ddd) ") &amp; "오후 21:00"</f>
        <v>2021-05-01(토) 오후 21:00</v>
      </c>
      <c r="K150" s="199"/>
      <c r="L150" s="200"/>
      <c r="M150" s="198" t="str">
        <f>TEXT($G$1+1, "[$-ko-KR]yyyy-mm-dd(ddd) ") &amp; "오전 00:00"</f>
        <v>2021-05-02(일)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216</v>
      </c>
      <c r="B152" s="13">
        <v>448</v>
      </c>
      <c r="C152" s="14">
        <v>6.7415729999999998E-3</v>
      </c>
      <c r="D152" s="13">
        <v>483</v>
      </c>
      <c r="E152" s="14">
        <f>IF(ISNUMBER(D152), (D152 - $B152) / $B152, "")</f>
        <v>7.8125E-2</v>
      </c>
      <c r="F152" s="16">
        <f>IF(ISNUMBER(D152), $B172 * E152, "")</f>
        <v>23437.5</v>
      </c>
      <c r="G152" s="29">
        <v>487</v>
      </c>
      <c r="H152" s="14">
        <f>IF(ISNUMBER(G152), (G152 - $B152) / $B152, "")</f>
        <v>8.7053571428571425E-2</v>
      </c>
      <c r="I152" s="100">
        <f>IF(ISNUMBER(G152), $B172 * H152, "")</f>
        <v>26116.071428571428</v>
      </c>
      <c r="J152" s="13">
        <v>503</v>
      </c>
      <c r="K152" s="14">
        <f>IF(ISNUMBER(J152), (J152 - $B152) / $B152, "")</f>
        <v>0.12276785714285714</v>
      </c>
      <c r="L152" s="16">
        <f>IF(ISNUMBER(J152), $B172 * K152, "")</f>
        <v>36830.357142857138</v>
      </c>
      <c r="M152" s="29">
        <v>501</v>
      </c>
      <c r="N152" s="14">
        <f>IF(ISNUMBER(M152), (M152 - $B152) / $B152, "")</f>
        <v>0.11830357142857142</v>
      </c>
      <c r="O152" s="16">
        <f>IF(ISNUMBER(M152), $B172 * N152, "")</f>
        <v>35491.071428571428</v>
      </c>
      <c r="Q152" s="184"/>
      <c r="R152" s="184"/>
      <c r="S152" s="184"/>
    </row>
    <row r="153" spans="1:19" ht="17.25" thickBot="1">
      <c r="A153" s="17" t="s">
        <v>212</v>
      </c>
      <c r="B153" s="15">
        <v>156</v>
      </c>
      <c r="C153" s="32">
        <v>6.4516128999999997E-3</v>
      </c>
      <c r="D153" s="15">
        <v>158</v>
      </c>
      <c r="E153" s="32">
        <f t="shared" ref="E153:E156" si="78">IF(ISNUMBER(D153), (D153 - $B153) / $B153, "")</f>
        <v>1.282051282051282E-2</v>
      </c>
      <c r="F153" s="18">
        <f>IF(ISNUMBER(D153), $B172 * E153, "")</f>
        <v>3846.1538461538462</v>
      </c>
      <c r="G153" s="31">
        <v>158</v>
      </c>
      <c r="H153" s="32">
        <f t="shared" ref="H153:H156" si="79">IF(ISNUMBER(G153), (G153 - $B153) / $B153, "")</f>
        <v>1.282051282051282E-2</v>
      </c>
      <c r="I153" s="101">
        <f>IF(ISNUMBER(G153), $B172 * H153, "")</f>
        <v>3846.1538461538462</v>
      </c>
      <c r="J153" s="15">
        <v>161</v>
      </c>
      <c r="K153" s="32">
        <f t="shared" ref="K153:K156" si="80">IF(ISNUMBER(J153), (J153 - $B153) / $B153, "")</f>
        <v>3.2051282051282048E-2</v>
      </c>
      <c r="L153" s="18">
        <f>IF(ISNUMBER(J153), $B172 * K153, "")</f>
        <v>9615.3846153846152</v>
      </c>
      <c r="M153" s="31">
        <v>164</v>
      </c>
      <c r="N153" s="32">
        <f t="shared" ref="N153:N156" si="81">IF(ISNUMBER(M153), (M153 - $B153) / $B153, "")</f>
        <v>5.128205128205128E-2</v>
      </c>
      <c r="O153" s="18">
        <f>IF(ISNUMBER(M153), $B172 * N153, "")</f>
        <v>15384.615384615385</v>
      </c>
      <c r="Q153" s="184"/>
      <c r="R153" s="184"/>
      <c r="S153" s="184"/>
    </row>
    <row r="154" spans="1:19" ht="17.25" thickBot="1">
      <c r="A154" s="17" t="s">
        <v>200</v>
      </c>
      <c r="B154" s="15">
        <v>406</v>
      </c>
      <c r="C154" s="32">
        <v>4.9504950000000001E-3</v>
      </c>
      <c r="D154" s="15">
        <v>413</v>
      </c>
      <c r="E154" s="32">
        <f t="shared" si="78"/>
        <v>1.7241379310344827E-2</v>
      </c>
      <c r="F154" s="18">
        <f>IF(ISNUMBER(D154), $B172 * E154, "")</f>
        <v>5172.4137931034484</v>
      </c>
      <c r="G154" s="31">
        <v>407</v>
      </c>
      <c r="H154" s="32">
        <f t="shared" si="79"/>
        <v>2.4630541871921183E-3</v>
      </c>
      <c r="I154" s="101">
        <f>IF(ISNUMBER(G154), $B172 * H154, "")</f>
        <v>738.91625615763553</v>
      </c>
      <c r="J154" s="15">
        <v>410</v>
      </c>
      <c r="K154" s="32">
        <f t="shared" si="80"/>
        <v>9.852216748768473E-3</v>
      </c>
      <c r="L154" s="18">
        <f>IF(ISNUMBER(J154), $B172 * K154, "")</f>
        <v>2955.6650246305421</v>
      </c>
      <c r="M154" s="31">
        <v>409</v>
      </c>
      <c r="N154" s="32">
        <f t="shared" si="81"/>
        <v>7.3891625615763543E-3</v>
      </c>
      <c r="O154" s="18">
        <f>IF(ISNUMBER(M154), $B172 * N154, "")</f>
        <v>2216.7487684729062</v>
      </c>
      <c r="Q154" s="174"/>
      <c r="R154" s="174"/>
      <c r="S154" s="174"/>
    </row>
    <row r="155" spans="1:19" ht="17.25" thickBot="1">
      <c r="A155" s="17" t="s">
        <v>226</v>
      </c>
      <c r="B155" s="15">
        <v>530</v>
      </c>
      <c r="C155" s="32">
        <v>3.7878788E-3</v>
      </c>
      <c r="D155" s="15">
        <v>559</v>
      </c>
      <c r="E155" s="32">
        <f t="shared" si="78"/>
        <v>5.4716981132075473E-2</v>
      </c>
      <c r="F155" s="18">
        <f>IF(ISNUMBER(D155), $B172 * E155, "")</f>
        <v>16415.094339622643</v>
      </c>
      <c r="G155" s="31">
        <v>563</v>
      </c>
      <c r="H155" s="32">
        <f t="shared" si="79"/>
        <v>6.2264150943396226E-2</v>
      </c>
      <c r="I155" s="101">
        <f>IF(ISNUMBER(G155), $B172 * H155, "")</f>
        <v>18679.245283018867</v>
      </c>
      <c r="J155" s="15">
        <v>562</v>
      </c>
      <c r="K155" s="32">
        <f t="shared" si="80"/>
        <v>6.0377358490566038E-2</v>
      </c>
      <c r="L155" s="18">
        <f>IF(ISNUMBER(J155), $B172 * K155, "")</f>
        <v>18113.207547169812</v>
      </c>
      <c r="M155" s="31">
        <v>563</v>
      </c>
      <c r="N155" s="32">
        <f t="shared" si="81"/>
        <v>6.2264150943396226E-2</v>
      </c>
      <c r="O155" s="18">
        <f>IF(ISNUMBER(M155), $B172 * N155, "")</f>
        <v>18679.245283018867</v>
      </c>
      <c r="Q155" s="174"/>
      <c r="R155" s="174"/>
      <c r="S155" s="174"/>
    </row>
    <row r="156" spans="1:19" ht="17.25" thickBot="1">
      <c r="A156" s="19" t="s">
        <v>284</v>
      </c>
      <c r="B156" s="20">
        <v>465</v>
      </c>
      <c r="C156" s="21">
        <v>0</v>
      </c>
      <c r="D156" s="20">
        <v>469</v>
      </c>
      <c r="E156" s="21">
        <f t="shared" si="78"/>
        <v>8.6021505376344086E-3</v>
      </c>
      <c r="F156" s="22">
        <f>IF(ISNUMBER(D156), $B172 * E156, "")</f>
        <v>2580.6451612903224</v>
      </c>
      <c r="G156" s="30">
        <v>468</v>
      </c>
      <c r="H156" s="21">
        <f t="shared" si="79"/>
        <v>6.4516129032258064E-3</v>
      </c>
      <c r="I156" s="105">
        <f>IF(ISNUMBER(G156), $B172 * H156, "")</f>
        <v>1935.483870967742</v>
      </c>
      <c r="J156" s="20">
        <v>470</v>
      </c>
      <c r="K156" s="21">
        <f t="shared" si="80"/>
        <v>1.0752688172043012E-2</v>
      </c>
      <c r="L156" s="22">
        <f>IF(ISNUMBER(J156), $B172 * K156, "")</f>
        <v>3225.8064516129034</v>
      </c>
      <c r="M156" s="30">
        <v>470</v>
      </c>
      <c r="N156" s="21">
        <f t="shared" si="81"/>
        <v>1.0752688172043012E-2</v>
      </c>
      <c r="O156" s="22">
        <f>IF(ISNUMBER(M156), $B172 * N156, "")</f>
        <v>3225.8064516129034</v>
      </c>
      <c r="Q156" s="174"/>
      <c r="R156" s="174"/>
      <c r="S156" s="174"/>
    </row>
    <row r="157" spans="1:19" ht="17.25" thickBot="1">
      <c r="A157" s="17" t="s">
        <v>282</v>
      </c>
      <c r="B157" s="106">
        <v>182</v>
      </c>
      <c r="C157" s="107">
        <v>0</v>
      </c>
      <c r="D157" s="106">
        <v>181</v>
      </c>
      <c r="E157" s="107">
        <f>IF(ISNUMBER(D157), (D157 - $B157) / $B157, "")</f>
        <v>-5.4945054945054949E-3</v>
      </c>
      <c r="F157" s="108">
        <f>IF(ISNUMBER(D157), $B172 * E157, "")</f>
        <v>-1648.3516483516485</v>
      </c>
      <c r="G157" s="109">
        <v>182</v>
      </c>
      <c r="H157" s="107">
        <f>IF(ISNUMBER(G157), (G157 - $B157) / $B157, "")</f>
        <v>0</v>
      </c>
      <c r="I157" s="110">
        <f>IF(ISNUMBER(G157), $B172 * H157, "")</f>
        <v>0</v>
      </c>
      <c r="J157" s="106">
        <v>182</v>
      </c>
      <c r="K157" s="107">
        <f>IF(ISNUMBER(J157), (J157 - $B157) / $B157, "")</f>
        <v>0</v>
      </c>
      <c r="L157" s="108">
        <f>IF(ISNUMBER(J157), $B172 * K157, "")</f>
        <v>0</v>
      </c>
      <c r="M157" s="109">
        <v>184</v>
      </c>
      <c r="N157" s="107">
        <f>IF(ISNUMBER(M157), (M157 - $B157) / $B157, "")</f>
        <v>1.098901098901099E-2</v>
      </c>
      <c r="O157" s="108">
        <f>IF(ISNUMBER(M157), $B172 * N157, "")</f>
        <v>3296.7032967032969</v>
      </c>
      <c r="Q157" s="174"/>
      <c r="R157" s="174"/>
      <c r="S157" s="174"/>
    </row>
    <row r="158" spans="1:19" ht="17.25" thickBot="1">
      <c r="A158" s="17" t="s">
        <v>264</v>
      </c>
      <c r="B158" s="15">
        <v>182</v>
      </c>
      <c r="C158" s="32">
        <v>0</v>
      </c>
      <c r="D158" s="15">
        <v>183</v>
      </c>
      <c r="E158" s="32">
        <f t="shared" ref="E158:E161" si="82">IF(ISNUMBER(D158), (D158 - $B158) / $B158, "")</f>
        <v>5.4945054945054949E-3</v>
      </c>
      <c r="F158" s="18">
        <f>IF(ISNUMBER(D158), $B172 * E158, "")</f>
        <v>1648.3516483516485</v>
      </c>
      <c r="G158" s="31">
        <v>181</v>
      </c>
      <c r="H158" s="32">
        <f t="shared" ref="H158:H161" si="83">IF(ISNUMBER(G158), (G158 - $B158) / $B158, "")</f>
        <v>-5.4945054945054949E-3</v>
      </c>
      <c r="I158" s="101">
        <f>IF(ISNUMBER(G158), $B172 * H158, "")</f>
        <v>-1648.3516483516485</v>
      </c>
      <c r="J158" s="15">
        <v>184</v>
      </c>
      <c r="K158" s="32">
        <f t="shared" ref="K158:K161" si="84">IF(ISNUMBER(J158), (J158 - $B158) / $B158, "")</f>
        <v>1.098901098901099E-2</v>
      </c>
      <c r="L158" s="18">
        <f>IF(ISNUMBER(J158), $B172 * K158, "")</f>
        <v>3296.7032967032969</v>
      </c>
      <c r="M158" s="31">
        <v>183</v>
      </c>
      <c r="N158" s="32">
        <f t="shared" ref="N158:N161" si="85">IF(ISNUMBER(M158), (M158 - $B158) / $B158, "")</f>
        <v>5.4945054945054949E-3</v>
      </c>
      <c r="O158" s="18">
        <f>IF(ISNUMBER(M158), $B172 * N158, "")</f>
        <v>1648.3516483516485</v>
      </c>
      <c r="Q158" s="174"/>
      <c r="R158" s="174"/>
      <c r="S158" s="174"/>
    </row>
    <row r="159" spans="1:19" ht="17.25" thickBot="1">
      <c r="A159" s="17" t="s">
        <v>256</v>
      </c>
      <c r="B159" s="15">
        <v>267</v>
      </c>
      <c r="C159" s="32">
        <v>0</v>
      </c>
      <c r="D159" s="15">
        <v>272</v>
      </c>
      <c r="E159" s="32">
        <f t="shared" si="82"/>
        <v>1.8726591760299626E-2</v>
      </c>
      <c r="F159" s="18">
        <f>IF(ISNUMBER(D159), $B172 * E159, "")</f>
        <v>5617.9775280898875</v>
      </c>
      <c r="G159" s="31">
        <v>270</v>
      </c>
      <c r="H159" s="32">
        <f t="shared" si="83"/>
        <v>1.1235955056179775E-2</v>
      </c>
      <c r="I159" s="101">
        <f>IF(ISNUMBER(G159), $B172 * H159, "")</f>
        <v>3370.7865168539324</v>
      </c>
      <c r="J159" s="15">
        <v>273</v>
      </c>
      <c r="K159" s="32">
        <f t="shared" si="84"/>
        <v>2.247191011235955E-2</v>
      </c>
      <c r="L159" s="18">
        <f>IF(ISNUMBER(J159), $B172 * K159, "")</f>
        <v>6741.5730337078649</v>
      </c>
      <c r="M159" s="31">
        <v>270</v>
      </c>
      <c r="N159" s="32">
        <f t="shared" si="85"/>
        <v>1.1235955056179775E-2</v>
      </c>
      <c r="O159" s="18">
        <f>IF(ISNUMBER(M159), $B172 * N159, "")</f>
        <v>3370.7865168539324</v>
      </c>
      <c r="Q159" s="174"/>
      <c r="R159" s="174"/>
      <c r="S159" s="174"/>
    </row>
    <row r="160" spans="1:19" ht="17.25" thickBot="1">
      <c r="A160" s="17" t="s">
        <v>260</v>
      </c>
      <c r="B160" s="15">
        <v>134</v>
      </c>
      <c r="C160" s="32">
        <v>0</v>
      </c>
      <c r="D160" s="15">
        <v>137</v>
      </c>
      <c r="E160" s="32">
        <f t="shared" si="82"/>
        <v>2.2388059701492536E-2</v>
      </c>
      <c r="F160" s="18">
        <f>IF(ISNUMBER(D160), $B172 * E160, "")</f>
        <v>6716.4179104477607</v>
      </c>
      <c r="G160" s="31">
        <v>136</v>
      </c>
      <c r="H160" s="32">
        <f t="shared" si="83"/>
        <v>1.4925373134328358E-2</v>
      </c>
      <c r="I160" s="101">
        <f>IF(ISNUMBER(G160), $B172 * H160, "")</f>
        <v>4477.6119402985078</v>
      </c>
      <c r="J160" s="15">
        <v>136</v>
      </c>
      <c r="K160" s="32">
        <f t="shared" si="84"/>
        <v>1.4925373134328358E-2</v>
      </c>
      <c r="L160" s="18">
        <f>IF(ISNUMBER(J160), $B172 * K160, "")</f>
        <v>4477.6119402985078</v>
      </c>
      <c r="M160" s="31">
        <v>135</v>
      </c>
      <c r="N160" s="32">
        <f t="shared" si="85"/>
        <v>7.462686567164179E-3</v>
      </c>
      <c r="O160" s="18">
        <f>IF(ISNUMBER(M160), $B172 * N160, "")</f>
        <v>2238.8059701492539</v>
      </c>
      <c r="Q160" s="33"/>
      <c r="R160" s="33"/>
    </row>
    <row r="161" spans="1:19" ht="17.25" thickBot="1">
      <c r="A161" s="23" t="s">
        <v>230</v>
      </c>
      <c r="B161" s="24">
        <v>182</v>
      </c>
      <c r="C161" s="25">
        <v>0</v>
      </c>
      <c r="D161" s="24">
        <v>182</v>
      </c>
      <c r="E161" s="25">
        <f t="shared" si="82"/>
        <v>0</v>
      </c>
      <c r="F161" s="104">
        <f>IF(ISNUMBER(D161), $B172 * E161, "")</f>
        <v>0</v>
      </c>
      <c r="G161" s="102">
        <v>182</v>
      </c>
      <c r="H161" s="25">
        <f t="shared" si="83"/>
        <v>0</v>
      </c>
      <c r="I161" s="103">
        <f>IF(ISNUMBER(G161), $B172 * H161, "")</f>
        <v>0</v>
      </c>
      <c r="J161" s="24">
        <v>185</v>
      </c>
      <c r="K161" s="25">
        <f t="shared" si="84"/>
        <v>1.6483516483516484E-2</v>
      </c>
      <c r="L161" s="104">
        <f>IF(ISNUMBER(J161), $B172 * K161, "")</f>
        <v>4945.0549450549452</v>
      </c>
      <c r="M161" s="102">
        <v>186</v>
      </c>
      <c r="N161" s="25">
        <f t="shared" si="85"/>
        <v>2.197802197802198E-2</v>
      </c>
      <c r="O161" s="104">
        <f>IF(ISNUMBER(M161), $B172 * N161, "")</f>
        <v>6593.4065934065939</v>
      </c>
      <c r="Q161" s="175"/>
      <c r="R161" s="176"/>
      <c r="S161" s="177"/>
    </row>
    <row r="162" spans="1:19">
      <c r="A162" s="12" t="s">
        <v>238</v>
      </c>
      <c r="B162" s="13">
        <v>311</v>
      </c>
      <c r="C162" s="14">
        <v>-3.2051281999999999E-3</v>
      </c>
      <c r="D162" s="13">
        <v>317</v>
      </c>
      <c r="E162" s="14">
        <f>IF(ISNUMBER(D162), (D162 - $B162) / $B162, "")</f>
        <v>1.9292604501607719E-2</v>
      </c>
      <c r="F162" s="16">
        <f>IF(ISNUMBER(D162), $B172 * E162, "")</f>
        <v>5787.7813504823152</v>
      </c>
      <c r="G162" s="29">
        <v>314</v>
      </c>
      <c r="H162" s="14">
        <f>IF(ISNUMBER(G162), (G162 - $B162) / $B162, "")</f>
        <v>9.6463022508038593E-3</v>
      </c>
      <c r="I162" s="100">
        <f>IF(ISNUMBER(G162), $B172 * H162, "")</f>
        <v>2893.8906752411576</v>
      </c>
      <c r="J162" s="13">
        <v>315</v>
      </c>
      <c r="K162" s="14">
        <f>IF(ISNUMBER(J162), (J162 - $B162) / $B162, "")</f>
        <v>1.2861736334405145E-2</v>
      </c>
      <c r="L162" s="16">
        <f>IF(ISNUMBER(J162), $B172 * K162, "")</f>
        <v>3858.5209003215432</v>
      </c>
      <c r="M162" s="29">
        <v>315</v>
      </c>
      <c r="N162" s="14">
        <f>IF(ISNUMBER(M162), (M162 - $B162) / $B162, "")</f>
        <v>1.2861736334405145E-2</v>
      </c>
      <c r="O162" s="16">
        <f>IF(ISNUMBER(M162), $B172 * N162, "")</f>
        <v>3858.5209003215432</v>
      </c>
      <c r="Q162" s="178"/>
      <c r="R162" s="179"/>
      <c r="S162" s="180"/>
    </row>
    <row r="163" spans="1:19" ht="17.25" thickBot="1">
      <c r="A163" s="17" t="s">
        <v>250</v>
      </c>
      <c r="B163" s="15">
        <v>226</v>
      </c>
      <c r="C163" s="32">
        <v>-4.4052863000000001E-3</v>
      </c>
      <c r="D163" s="15">
        <v>257</v>
      </c>
      <c r="E163" s="32">
        <f t="shared" ref="E163:E166" si="86">IF(ISNUMBER(D163), (D163 - $B163) / $B163, "")</f>
        <v>0.13716814159292035</v>
      </c>
      <c r="F163" s="18">
        <f>IF(ISNUMBER(D163), $B172 * E163, "")</f>
        <v>41150.442477876102</v>
      </c>
      <c r="G163" s="31">
        <v>257</v>
      </c>
      <c r="H163" s="32">
        <f t="shared" ref="H163:H166" si="87">IF(ISNUMBER(G163), (G163 - $B163) / $B163, "")</f>
        <v>0.13716814159292035</v>
      </c>
      <c r="I163" s="101">
        <f>IF(ISNUMBER(G163), $B172 * H163, "")</f>
        <v>41150.442477876102</v>
      </c>
      <c r="J163" s="15">
        <v>262</v>
      </c>
      <c r="K163" s="32">
        <f t="shared" ref="K163:K166" si="88">IF(ISNUMBER(J163), (J163 - $B163) / $B163, "")</f>
        <v>0.15929203539823009</v>
      </c>
      <c r="L163" s="18">
        <f>IF(ISNUMBER(J163), $B172 * K163, "")</f>
        <v>47787.610619469029</v>
      </c>
      <c r="M163" s="31">
        <v>255</v>
      </c>
      <c r="N163" s="32">
        <f t="shared" ref="N163:N166" si="89">IF(ISNUMBER(M163), (M163 - $B163) / $B163, "")</f>
        <v>0.12831858407079647</v>
      </c>
      <c r="O163" s="18">
        <f>IF(ISNUMBER(M163), $B172 * N163, "")</f>
        <v>38495.575221238942</v>
      </c>
      <c r="Q163" s="181"/>
      <c r="R163" s="182"/>
      <c r="S163" s="183"/>
    </row>
    <row r="164" spans="1:19" ht="17.25" thickBot="1">
      <c r="A164" s="17" t="s">
        <v>88</v>
      </c>
      <c r="B164" s="15">
        <v>667</v>
      </c>
      <c r="C164" s="32">
        <v>-4.4776119000000001E-3</v>
      </c>
      <c r="D164" s="15">
        <v>661</v>
      </c>
      <c r="E164" s="32">
        <f t="shared" si="86"/>
        <v>-8.9955022488755615E-3</v>
      </c>
      <c r="F164" s="18">
        <f>IF(ISNUMBER(D164), $B172 * E164, "")</f>
        <v>-2698.6506746626683</v>
      </c>
      <c r="G164" s="31">
        <v>657</v>
      </c>
      <c r="H164" s="32">
        <f t="shared" si="87"/>
        <v>-1.4992503748125937E-2</v>
      </c>
      <c r="I164" s="101">
        <f>IF(ISNUMBER(G164), $B172 * H164, "")</f>
        <v>-4497.7511244377811</v>
      </c>
      <c r="J164" s="15">
        <v>660</v>
      </c>
      <c r="K164" s="32">
        <f t="shared" si="88"/>
        <v>-1.0494752623688156E-2</v>
      </c>
      <c r="L164" s="18">
        <f>IF(ISNUMBER(J164), $B172 * K164, "")</f>
        <v>-3148.4257871064469</v>
      </c>
      <c r="M164" s="31">
        <v>653</v>
      </c>
      <c r="N164" s="32">
        <f t="shared" si="89"/>
        <v>-2.0989505247376312E-2</v>
      </c>
      <c r="O164" s="18">
        <f>IF(ISNUMBER(M164), $B172 * N164, "")</f>
        <v>-6296.8515742128939</v>
      </c>
      <c r="Q164" s="174"/>
      <c r="R164" s="174"/>
      <c r="S164" s="174"/>
    </row>
    <row r="165" spans="1:19" ht="17.25" thickBot="1">
      <c r="A165" s="17" t="s">
        <v>202</v>
      </c>
      <c r="B165" s="15">
        <v>215</v>
      </c>
      <c r="C165" s="32">
        <v>-4.6296295999999999E-3</v>
      </c>
      <c r="D165" s="15">
        <v>219</v>
      </c>
      <c r="E165" s="32">
        <f t="shared" si="86"/>
        <v>1.8604651162790697E-2</v>
      </c>
      <c r="F165" s="18">
        <f>IF(ISNUMBER(D165), $B172 * E165, "")</f>
        <v>5581.395348837209</v>
      </c>
      <c r="G165" s="31">
        <v>216</v>
      </c>
      <c r="H165" s="32">
        <f t="shared" si="87"/>
        <v>4.6511627906976744E-3</v>
      </c>
      <c r="I165" s="101">
        <f>IF(ISNUMBER(G165), $B172 * H165, "")</f>
        <v>1395.3488372093022</v>
      </c>
      <c r="J165" s="15">
        <v>219</v>
      </c>
      <c r="K165" s="32">
        <f t="shared" si="88"/>
        <v>1.8604651162790697E-2</v>
      </c>
      <c r="L165" s="18">
        <f>IF(ISNUMBER(J165), $B172 * K165, "")</f>
        <v>5581.395348837209</v>
      </c>
      <c r="M165" s="31">
        <v>219</v>
      </c>
      <c r="N165" s="32">
        <f t="shared" si="89"/>
        <v>1.8604651162790697E-2</v>
      </c>
      <c r="O165" s="18">
        <f>IF(ISNUMBER(M165), $B172 * N165, "")</f>
        <v>5581.395348837209</v>
      </c>
      <c r="Q165" s="184"/>
      <c r="R165" s="184"/>
      <c r="S165" s="184"/>
    </row>
    <row r="166" spans="1:19" ht="17.25" thickBot="1">
      <c r="A166" s="19" t="s">
        <v>240</v>
      </c>
      <c r="B166" s="20">
        <v>209</v>
      </c>
      <c r="C166" s="21">
        <v>-4.7619048000000002E-3</v>
      </c>
      <c r="D166" s="20">
        <v>208</v>
      </c>
      <c r="E166" s="21">
        <f t="shared" si="86"/>
        <v>-4.7846889952153108E-3</v>
      </c>
      <c r="F166" s="22">
        <f>IF(ISNUMBER(D166), $B172 * E166, "")</f>
        <v>-1435.4066985645932</v>
      </c>
      <c r="G166" s="30">
        <v>208</v>
      </c>
      <c r="H166" s="21">
        <f t="shared" si="87"/>
        <v>-4.7846889952153108E-3</v>
      </c>
      <c r="I166" s="105">
        <f>IF(ISNUMBER(G166), $B172 * H166, "")</f>
        <v>-1435.4066985645932</v>
      </c>
      <c r="J166" s="20">
        <v>210</v>
      </c>
      <c r="K166" s="21">
        <f t="shared" si="88"/>
        <v>4.7846889952153108E-3</v>
      </c>
      <c r="L166" s="22">
        <f>IF(ISNUMBER(J166), $B172 * K166, "")</f>
        <v>1435.4066985645932</v>
      </c>
      <c r="M166" s="30">
        <v>214</v>
      </c>
      <c r="N166" s="21">
        <f t="shared" si="89"/>
        <v>2.3923444976076555E-2</v>
      </c>
      <c r="O166" s="22">
        <f>IF(ISNUMBER(M166), $B172 * N166, "")</f>
        <v>7177.0334928229668</v>
      </c>
      <c r="Q166" s="184"/>
      <c r="R166" s="184"/>
      <c r="S166" s="184"/>
    </row>
    <row r="167" spans="1:19" ht="17.25" thickBot="1">
      <c r="A167" s="17" t="s">
        <v>258</v>
      </c>
      <c r="B167" s="106">
        <v>751</v>
      </c>
      <c r="C167" s="107">
        <v>-7.9260237999999993E-3</v>
      </c>
      <c r="D167" s="106">
        <v>747</v>
      </c>
      <c r="E167" s="107">
        <f>IF(ISNUMBER(D167), (D167 - $B167) / $B167, "")</f>
        <v>-5.3262316910785623E-3</v>
      </c>
      <c r="F167" s="108">
        <f>IF(ISNUMBER(D167), $B172 * E167, "")</f>
        <v>-1597.8695073235688</v>
      </c>
      <c r="G167" s="109">
        <v>746</v>
      </c>
      <c r="H167" s="107">
        <f>IF(ISNUMBER(G167), (G167 - $B167) / $B167, "")</f>
        <v>-6.6577896138482022E-3</v>
      </c>
      <c r="I167" s="110">
        <f>IF(ISNUMBER(G167), $B172 * H167, "")</f>
        <v>-1997.3368841544607</v>
      </c>
      <c r="J167" s="106">
        <v>748</v>
      </c>
      <c r="K167" s="107">
        <f>IF(ISNUMBER(J167), (J167 - $B167) / $B167, "")</f>
        <v>-3.9946737683089215E-3</v>
      </c>
      <c r="L167" s="108">
        <f>IF(ISNUMBER(J167), $B172 * K167, "")</f>
        <v>-1198.4021304926764</v>
      </c>
      <c r="M167" s="109">
        <v>751</v>
      </c>
      <c r="N167" s="107">
        <f>IF(ISNUMBER(M167), (M167 - $B167) / $B167, "")</f>
        <v>0</v>
      </c>
      <c r="O167" s="108">
        <f>IF(ISNUMBER(M167), $B172 * N167, "")</f>
        <v>0</v>
      </c>
      <c r="Q167" s="174"/>
      <c r="R167" s="174"/>
      <c r="S167" s="174"/>
    </row>
    <row r="168" spans="1:19" ht="17.25" thickBot="1">
      <c r="A168" s="17" t="s">
        <v>246</v>
      </c>
      <c r="B168" s="15">
        <v>438</v>
      </c>
      <c r="C168" s="32">
        <v>-9.0497738000000008E-3</v>
      </c>
      <c r="D168" s="15">
        <v>443</v>
      </c>
      <c r="E168" s="32">
        <f t="shared" ref="E168:E171" si="90">IF(ISNUMBER(D168), (D168 - $B168) / $B168, "")</f>
        <v>1.1415525114155251E-2</v>
      </c>
      <c r="F168" s="18">
        <f>IF(ISNUMBER(D168), $B172 * E168, "")</f>
        <v>3424.6575342465753</v>
      </c>
      <c r="G168" s="31">
        <v>441</v>
      </c>
      <c r="H168" s="32">
        <f t="shared" ref="H168:H171" si="91">IF(ISNUMBER(G168), (G168 - $B168) / $B168, "")</f>
        <v>6.8493150684931503E-3</v>
      </c>
      <c r="I168" s="101">
        <f>IF(ISNUMBER(G168), $B172 * H168, "")</f>
        <v>2054.794520547945</v>
      </c>
      <c r="J168" s="15">
        <v>444</v>
      </c>
      <c r="K168" s="32">
        <f t="shared" ref="K168:K171" si="92">IF(ISNUMBER(J168), (J168 - $B168) / $B168, "")</f>
        <v>1.3698630136986301E-2</v>
      </c>
      <c r="L168" s="18">
        <f>IF(ISNUMBER(J168), $B172 * K168, "")</f>
        <v>4109.58904109589</v>
      </c>
      <c r="M168" s="31">
        <v>444</v>
      </c>
      <c r="N168" s="32">
        <f t="shared" ref="N168:N171" si="93">IF(ISNUMBER(M168), (M168 - $B168) / $B168, "")</f>
        <v>1.3698630136986301E-2</v>
      </c>
      <c r="O168" s="18">
        <f>IF(ISNUMBER(M168), $B172 * N168, "")</f>
        <v>4109.58904109589</v>
      </c>
      <c r="Q168" s="174"/>
      <c r="R168" s="174"/>
      <c r="S168" s="174"/>
    </row>
    <row r="169" spans="1:19" ht="17.25" thickBot="1">
      <c r="A169" s="17" t="s">
        <v>270</v>
      </c>
      <c r="B169" s="15">
        <v>531</v>
      </c>
      <c r="C169" s="32">
        <v>-1.30111524E-2</v>
      </c>
      <c r="D169" s="15">
        <v>546</v>
      </c>
      <c r="E169" s="32">
        <f t="shared" si="90"/>
        <v>2.8248587570621469E-2</v>
      </c>
      <c r="F169" s="18">
        <f>IF(ISNUMBER(D169), $B172 * E169, "")</f>
        <v>8474.5762711864409</v>
      </c>
      <c r="G169" s="31">
        <v>541</v>
      </c>
      <c r="H169" s="32">
        <f t="shared" si="91"/>
        <v>1.8832391713747645E-2</v>
      </c>
      <c r="I169" s="101">
        <f>IF(ISNUMBER(G169), $B172 * H169, "")</f>
        <v>5649.7175141242933</v>
      </c>
      <c r="J169" s="15">
        <v>548</v>
      </c>
      <c r="K169" s="32">
        <f t="shared" si="92"/>
        <v>3.2015065913370999E-2</v>
      </c>
      <c r="L169" s="18">
        <f>IF(ISNUMBER(J169), $B172 * K169, "")</f>
        <v>9604.5197740112999</v>
      </c>
      <c r="M169" s="31">
        <v>544</v>
      </c>
      <c r="N169" s="32">
        <f t="shared" si="93"/>
        <v>2.4482109227871938E-2</v>
      </c>
      <c r="O169" s="18">
        <f>IF(ISNUMBER(M169), $B172 * N169, "")</f>
        <v>7344.6327683615818</v>
      </c>
      <c r="Q169" s="174"/>
      <c r="R169" s="174"/>
      <c r="S169" s="174"/>
    </row>
    <row r="170" spans="1:19">
      <c r="A170" s="17" t="s">
        <v>170</v>
      </c>
      <c r="B170" s="15">
        <v>524</v>
      </c>
      <c r="C170" s="32">
        <v>-1.5037594E-2</v>
      </c>
      <c r="D170" s="15">
        <v>526</v>
      </c>
      <c r="E170" s="32">
        <f t="shared" si="90"/>
        <v>3.8167938931297708E-3</v>
      </c>
      <c r="F170" s="18">
        <f>IF(ISNUMBER(D170), $B172 * E170, "")</f>
        <v>1145.0381679389313</v>
      </c>
      <c r="G170" s="31">
        <v>526</v>
      </c>
      <c r="H170" s="32">
        <f t="shared" si="91"/>
        <v>3.8167938931297708E-3</v>
      </c>
      <c r="I170" s="101">
        <f>IF(ISNUMBER(G170), $B172 * H170, "")</f>
        <v>1145.0381679389313</v>
      </c>
      <c r="J170" s="15">
        <v>530</v>
      </c>
      <c r="K170" s="32">
        <f t="shared" si="92"/>
        <v>1.1450381679389313E-2</v>
      </c>
      <c r="L170" s="18">
        <f>IF(ISNUMBER(J170), $B172 * K170, "")</f>
        <v>3435.1145038167938</v>
      </c>
      <c r="M170" s="31">
        <v>530</v>
      </c>
      <c r="N170" s="32">
        <f t="shared" si="93"/>
        <v>1.1450381679389313E-2</v>
      </c>
      <c r="O170" s="18">
        <f>IF(ISNUMBER(M170), $B172 * N170, "")</f>
        <v>3435.1145038167938</v>
      </c>
      <c r="Q170" s="163"/>
      <c r="R170" s="164"/>
      <c r="S170" s="165"/>
    </row>
    <row r="171" spans="1:19" ht="17.25" thickBot="1">
      <c r="A171" s="23" t="s">
        <v>252</v>
      </c>
      <c r="B171" s="24">
        <v>585</v>
      </c>
      <c r="C171" s="25">
        <v>-2.0100502499999999E-2</v>
      </c>
      <c r="D171" s="24">
        <v>587</v>
      </c>
      <c r="E171" s="25">
        <f t="shared" si="90"/>
        <v>3.4188034188034188E-3</v>
      </c>
      <c r="F171" s="104">
        <f>IF(ISNUMBER(D171), $B172 * E171, "")</f>
        <v>1025.6410256410256</v>
      </c>
      <c r="G171" s="102">
        <v>588</v>
      </c>
      <c r="H171" s="25">
        <f t="shared" si="91"/>
        <v>5.1282051282051282E-3</v>
      </c>
      <c r="I171" s="103">
        <f>IF(ISNUMBER(G171), $B172 * H171, "")</f>
        <v>1538.4615384615386</v>
      </c>
      <c r="J171" s="24">
        <v>589</v>
      </c>
      <c r="K171" s="25">
        <f t="shared" si="92"/>
        <v>6.8376068376068376E-3</v>
      </c>
      <c r="L171" s="104">
        <f>IF(ISNUMBER(J171), $B172 * K171, "")</f>
        <v>2051.2820512820513</v>
      </c>
      <c r="M171" s="102">
        <v>589</v>
      </c>
      <c r="N171" s="25">
        <f t="shared" si="93"/>
        <v>6.8376068376068376E-3</v>
      </c>
      <c r="O171" s="104">
        <f>IF(ISNUMBER(M171), $B172 * N171, "")</f>
        <v>2051.2820512820513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2.0773967979060941E-2</v>
      </c>
      <c r="F172" s="28">
        <f>SUM(F152:F171)</f>
        <v>124643.80787436568</v>
      </c>
      <c r="G172" s="26" t="s">
        <v>302</v>
      </c>
      <c r="H172" s="27">
        <f>IF(COUNT(H152:H171), SUM(H152:H171) / COUNT(H152:H171), 0)</f>
        <v>1.7568852752985451E-2</v>
      </c>
      <c r="I172" s="28">
        <f>SUM(I152:I171)</f>
        <v>105413.11651791273</v>
      </c>
      <c r="J172" s="26" t="s">
        <v>302</v>
      </c>
      <c r="K172" s="27">
        <f>IF(COUNT(K152:K171), SUM(K152:K171) / COUNT(K152:K171), 0)</f>
        <v>2.7286329169536477E-2</v>
      </c>
      <c r="L172" s="28">
        <f>SUM(L152:L171)</f>
        <v>163717.97501721897</v>
      </c>
      <c r="M172" s="26" t="s">
        <v>302</v>
      </c>
      <c r="N172" s="27">
        <f>IF(COUNT(N152:N171), SUM(N152:N171) / COUNT(N152:N171), 0)</f>
        <v>2.6316972182553383E-2</v>
      </c>
      <c r="O172" s="28">
        <f>SUM(O152:O171)</f>
        <v>157901.8330953203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2021-05-01(토) 오전 00:00</v>
      </c>
      <c r="C177" s="197"/>
      <c r="D177" s="198" t="str">
        <f>TEXT($G$1, "[$-ko-KR]yyyy-mm-dd(ddd) ") &amp; "오후 14:00"</f>
        <v>2021-05-01(토) 오후 14:00</v>
      </c>
      <c r="E177" s="199"/>
      <c r="F177" s="200"/>
      <c r="G177" s="198" t="str">
        <f>TEXT($G$1, "[$-ko-KR]yyyy-mm-dd(ddd) ") &amp; "오후 19:00"</f>
        <v>2021-05-01(토) 오후 19:00</v>
      </c>
      <c r="H177" s="199"/>
      <c r="I177" s="200"/>
      <c r="J177" s="198" t="str">
        <f>TEXT($G$1, "[$-ko-KR]yyyy-mm-dd(ddd) ") &amp; "오후 21:00"</f>
        <v>2021-05-01(토) 오후 21:00</v>
      </c>
      <c r="K177" s="199"/>
      <c r="L177" s="200"/>
      <c r="M177" s="198" t="str">
        <f>TEXT($G$1+1, "[$-ko-KR]yyyy-mm-dd(ddd) ") &amp; "오전 00:00"</f>
        <v>2021-05-02(일)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276</v>
      </c>
      <c r="B179" s="13">
        <v>4235</v>
      </c>
      <c r="C179" s="14">
        <v>-5.8685446E-3</v>
      </c>
      <c r="D179" s="13">
        <v>4225</v>
      </c>
      <c r="E179" s="14">
        <f>IF(ISNUMBER(D179), (D179 - $B179) / $B179, "")</f>
        <v>-2.3612750885478157E-3</v>
      </c>
      <c r="F179" s="16">
        <f>IF(ISNUMBER(D179), $B199 * E179, "")</f>
        <v>-708.38252656434474</v>
      </c>
      <c r="G179" s="29">
        <v>4200</v>
      </c>
      <c r="H179" s="14">
        <f>IF(ISNUMBER(G179), (G179 - $B179) / $B179, "")</f>
        <v>-8.2644628099173556E-3</v>
      </c>
      <c r="I179" s="100">
        <f>IF(ISNUMBER(G179), $B199 * H179, "")</f>
        <v>-2479.3388429752067</v>
      </c>
      <c r="J179" s="13">
        <v>4240</v>
      </c>
      <c r="K179" s="14">
        <f>IF(ISNUMBER(J179), (J179 - $B179) / $B179, "")</f>
        <v>1.1806375442739079E-3</v>
      </c>
      <c r="L179" s="16">
        <f>IF(ISNUMBER(J179), $B199 * K179, "")</f>
        <v>354.19126328217237</v>
      </c>
      <c r="M179" s="29">
        <v>4225</v>
      </c>
      <c r="N179" s="14">
        <f>IF(ISNUMBER(M179), (M179 - $B179) / $B179, "")</f>
        <v>-2.3612750885478157E-3</v>
      </c>
      <c r="O179" s="16">
        <f>IF(ISNUMBER(M179), $B199 * N179, "")</f>
        <v>-708.38252656434474</v>
      </c>
      <c r="Q179" s="184"/>
      <c r="R179" s="184"/>
      <c r="S179" s="184"/>
    </row>
    <row r="180" spans="1:19" ht="17.25" thickBot="1">
      <c r="A180" s="17" t="s">
        <v>218</v>
      </c>
      <c r="B180" s="15">
        <v>31.8</v>
      </c>
      <c r="C180" s="32">
        <v>-6.2500000000000003E-3</v>
      </c>
      <c r="D180" s="15">
        <v>32.1</v>
      </c>
      <c r="E180" s="32">
        <f t="shared" ref="E180:E183" si="94">IF(ISNUMBER(D180), (D180 - $B180) / $B180, "")</f>
        <v>9.4339622641509656E-3</v>
      </c>
      <c r="F180" s="18">
        <f>IF(ISNUMBER(D180), $B199 * E180, "")</f>
        <v>2830.1886792452897</v>
      </c>
      <c r="G180" s="31">
        <v>32</v>
      </c>
      <c r="H180" s="32">
        <f t="shared" ref="H180:H183" si="95">IF(ISNUMBER(G180), (G180 - $B180) / $B180, "")</f>
        <v>6.2893081761006067E-3</v>
      </c>
      <c r="I180" s="101">
        <f>IF(ISNUMBER(G180), $B199 * H180, "")</f>
        <v>1886.7924528301821</v>
      </c>
      <c r="J180" s="15">
        <v>32.1</v>
      </c>
      <c r="K180" s="32">
        <f t="shared" ref="K180:K183" si="96">IF(ISNUMBER(J180), (J180 - $B180) / $B180, "")</f>
        <v>9.4339622641509656E-3</v>
      </c>
      <c r="L180" s="18">
        <f>IF(ISNUMBER(J180), $B199 * K180, "")</f>
        <v>2830.1886792452897</v>
      </c>
      <c r="M180" s="31">
        <v>32.1</v>
      </c>
      <c r="N180" s="32">
        <f t="shared" ref="N180:N183" si="97">IF(ISNUMBER(M180), (M180 - $B180) / $B180, "")</f>
        <v>9.4339622641509656E-3</v>
      </c>
      <c r="O180" s="18">
        <f>IF(ISNUMBER(M180), $B199 * N180, "")</f>
        <v>2830.1886792452897</v>
      </c>
      <c r="Q180" s="184"/>
      <c r="R180" s="184"/>
      <c r="S180" s="184"/>
    </row>
    <row r="181" spans="1:19" ht="17.25" thickBot="1">
      <c r="A181" s="17" t="s">
        <v>248</v>
      </c>
      <c r="B181" s="15">
        <v>3320</v>
      </c>
      <c r="C181" s="32">
        <v>-7.4738416000000004E-3</v>
      </c>
      <c r="D181" s="15">
        <v>3380</v>
      </c>
      <c r="E181" s="32">
        <f t="shared" si="94"/>
        <v>1.8072289156626505E-2</v>
      </c>
      <c r="F181" s="18">
        <f>IF(ISNUMBER(D181), $B199 * E181, "")</f>
        <v>5421.6867469879517</v>
      </c>
      <c r="G181" s="31">
        <v>3335</v>
      </c>
      <c r="H181" s="32">
        <f t="shared" si="95"/>
        <v>4.5180722891566263E-3</v>
      </c>
      <c r="I181" s="101">
        <f>IF(ISNUMBER(G181), $B199 * H181, "")</f>
        <v>1355.4216867469879</v>
      </c>
      <c r="J181" s="15">
        <v>3360</v>
      </c>
      <c r="K181" s="32">
        <f t="shared" si="96"/>
        <v>1.2048192771084338E-2</v>
      </c>
      <c r="L181" s="18">
        <f>IF(ISNUMBER(J181), $B199 * K181, "")</f>
        <v>3614.4578313253014</v>
      </c>
      <c r="M181" s="31">
        <v>3335</v>
      </c>
      <c r="N181" s="32">
        <f t="shared" si="97"/>
        <v>4.5180722891566263E-3</v>
      </c>
      <c r="O181" s="18">
        <f>IF(ISNUMBER(M181), $B199 * N181, "")</f>
        <v>1355.4216867469879</v>
      </c>
      <c r="Q181" s="174"/>
      <c r="R181" s="174"/>
      <c r="S181" s="174"/>
    </row>
    <row r="182" spans="1:19" ht="17.25" thickBot="1">
      <c r="A182" s="17" t="s">
        <v>258</v>
      </c>
      <c r="B182" s="15">
        <v>751</v>
      </c>
      <c r="C182" s="32">
        <v>-7.9260237999999993E-3</v>
      </c>
      <c r="D182" s="15">
        <v>747</v>
      </c>
      <c r="E182" s="32">
        <f t="shared" si="94"/>
        <v>-5.3262316910785623E-3</v>
      </c>
      <c r="F182" s="18">
        <f>IF(ISNUMBER(D182), $B199 * E182, "")</f>
        <v>-1597.8695073235688</v>
      </c>
      <c r="G182" s="31">
        <v>746</v>
      </c>
      <c r="H182" s="32">
        <f t="shared" si="95"/>
        <v>-6.6577896138482022E-3</v>
      </c>
      <c r="I182" s="101">
        <f>IF(ISNUMBER(G182), $B199 * H182, "")</f>
        <v>-1997.3368841544607</v>
      </c>
      <c r="J182" s="15">
        <v>748</v>
      </c>
      <c r="K182" s="32">
        <f t="shared" si="96"/>
        <v>-3.9946737683089215E-3</v>
      </c>
      <c r="L182" s="18">
        <f>IF(ISNUMBER(J182), $B199 * K182, "")</f>
        <v>-1198.4021304926764</v>
      </c>
      <c r="M182" s="31">
        <v>751</v>
      </c>
      <c r="N182" s="32">
        <f t="shared" si="97"/>
        <v>0</v>
      </c>
      <c r="O182" s="18">
        <f>IF(ISNUMBER(M182), $B199 * N182, "")</f>
        <v>0</v>
      </c>
      <c r="Q182" s="174"/>
      <c r="R182" s="174"/>
      <c r="S182" s="174"/>
    </row>
    <row r="183" spans="1:19" ht="17.25" thickBot="1">
      <c r="A183" s="19" t="s">
        <v>274</v>
      </c>
      <c r="B183" s="20">
        <v>9250</v>
      </c>
      <c r="C183" s="21">
        <v>-8.5744909000000005E-3</v>
      </c>
      <c r="D183" s="20">
        <v>9215</v>
      </c>
      <c r="E183" s="21">
        <f t="shared" si="94"/>
        <v>-3.7837837837837837E-3</v>
      </c>
      <c r="F183" s="22">
        <f>IF(ISNUMBER(D183), $B199 * E183, "")</f>
        <v>-1135.1351351351352</v>
      </c>
      <c r="G183" s="30">
        <v>9195</v>
      </c>
      <c r="H183" s="21">
        <f t="shared" si="95"/>
        <v>-5.9459459459459459E-3</v>
      </c>
      <c r="I183" s="105">
        <f>IF(ISNUMBER(G183), $B199 * H183, "")</f>
        <v>-1783.7837837837837</v>
      </c>
      <c r="J183" s="20">
        <v>9260</v>
      </c>
      <c r="K183" s="21">
        <f t="shared" si="96"/>
        <v>1.0810810810810811E-3</v>
      </c>
      <c r="L183" s="22">
        <f>IF(ISNUMBER(J183), $B199 * K183, "")</f>
        <v>324.32432432432432</v>
      </c>
      <c r="M183" s="30">
        <v>9235</v>
      </c>
      <c r="N183" s="21">
        <f t="shared" si="97"/>
        <v>-1.6216216216216215E-3</v>
      </c>
      <c r="O183" s="22">
        <f>IF(ISNUMBER(M183), $B199 * N183, "")</f>
        <v>-486.48648648648646</v>
      </c>
      <c r="Q183" s="174"/>
      <c r="R183" s="174"/>
      <c r="S183" s="174"/>
    </row>
    <row r="184" spans="1:19" ht="17.25" thickBot="1">
      <c r="A184" s="17" t="s">
        <v>246</v>
      </c>
      <c r="B184" s="106">
        <v>438</v>
      </c>
      <c r="C184" s="107">
        <v>-9.0497738000000008E-3</v>
      </c>
      <c r="D184" s="106">
        <v>443</v>
      </c>
      <c r="E184" s="107">
        <f>IF(ISNUMBER(D184), (D184 - $B184) / $B184, "")</f>
        <v>1.1415525114155251E-2</v>
      </c>
      <c r="F184" s="108">
        <f>IF(ISNUMBER(D184), $B199 * E184, "")</f>
        <v>3424.6575342465753</v>
      </c>
      <c r="G184" s="109">
        <v>441</v>
      </c>
      <c r="H184" s="107">
        <f>IF(ISNUMBER(G184), (G184 - $B184) / $B184, "")</f>
        <v>6.8493150684931503E-3</v>
      </c>
      <c r="I184" s="110">
        <f>IF(ISNUMBER(G184), $B199 * H184, "")</f>
        <v>2054.794520547945</v>
      </c>
      <c r="J184" s="106">
        <v>444</v>
      </c>
      <c r="K184" s="107">
        <f>IF(ISNUMBER(J184), (J184 - $B184) / $B184, "")</f>
        <v>1.3698630136986301E-2</v>
      </c>
      <c r="L184" s="108">
        <f>IF(ISNUMBER(J184), $B199 * K184, "")</f>
        <v>4109.58904109589</v>
      </c>
      <c r="M184" s="109">
        <v>444</v>
      </c>
      <c r="N184" s="107">
        <f>IF(ISNUMBER(M184), (M184 - $B184) / $B184, "")</f>
        <v>1.3698630136986301E-2</v>
      </c>
      <c r="O184" s="108">
        <f>IF(ISNUMBER(M184), $B199 * N184, "")</f>
        <v>4109.58904109589</v>
      </c>
      <c r="Q184" s="174"/>
      <c r="R184" s="174"/>
      <c r="S184" s="174"/>
    </row>
    <row r="185" spans="1:19" ht="17.25" thickBot="1">
      <c r="A185" s="17" t="s">
        <v>172</v>
      </c>
      <c r="B185" s="15">
        <v>28.3</v>
      </c>
      <c r="C185" s="32">
        <v>-1.04895105E-2</v>
      </c>
      <c r="D185" s="15">
        <v>28.2</v>
      </c>
      <c r="E185" s="32">
        <f t="shared" ref="E185:E188" si="98">IF(ISNUMBER(D185), (D185 - $B185) / $B185, "")</f>
        <v>-3.5335689045936898E-3</v>
      </c>
      <c r="F185" s="18">
        <f>IF(ISNUMBER(D185), $B199 * E185, "")</f>
        <v>-1060.0706713781069</v>
      </c>
      <c r="G185" s="31">
        <v>28</v>
      </c>
      <c r="H185" s="32">
        <f t="shared" ref="H185:H188" si="99">IF(ISNUMBER(G185), (G185 - $B185) / $B185, "")</f>
        <v>-1.0600706713780944E-2</v>
      </c>
      <c r="I185" s="101">
        <f>IF(ISNUMBER(G185), $B199 * H185, "")</f>
        <v>-3180.212014134283</v>
      </c>
      <c r="J185" s="15">
        <v>28.1</v>
      </c>
      <c r="K185" s="32">
        <f t="shared" ref="K185:K188" si="100">IF(ISNUMBER(J185), (J185 - $B185) / $B185, "")</f>
        <v>-7.0671378091872539E-3</v>
      </c>
      <c r="L185" s="18">
        <f>IF(ISNUMBER(J185), $B199 * K185, "")</f>
        <v>-2120.1413427561761</v>
      </c>
      <c r="M185" s="31">
        <v>28.2</v>
      </c>
      <c r="N185" s="32">
        <f t="shared" ref="N185:N188" si="101">IF(ISNUMBER(M185), (M185 - $B185) / $B185, "")</f>
        <v>-3.5335689045936898E-3</v>
      </c>
      <c r="O185" s="18">
        <f>IF(ISNUMBER(M185), $B199 * N185, "")</f>
        <v>-1060.0706713781069</v>
      </c>
      <c r="Q185" s="174"/>
      <c r="R185" s="174"/>
      <c r="S185" s="174"/>
    </row>
    <row r="186" spans="1:19" ht="17.25" thickBot="1">
      <c r="A186" s="17" t="s">
        <v>270</v>
      </c>
      <c r="B186" s="15">
        <v>531</v>
      </c>
      <c r="C186" s="32">
        <v>-1.30111524E-2</v>
      </c>
      <c r="D186" s="15">
        <v>546</v>
      </c>
      <c r="E186" s="32">
        <f t="shared" si="98"/>
        <v>2.8248587570621469E-2</v>
      </c>
      <c r="F186" s="18">
        <f>IF(ISNUMBER(D186), $B199 * E186, "")</f>
        <v>8474.5762711864409</v>
      </c>
      <c r="G186" s="31">
        <v>541</v>
      </c>
      <c r="H186" s="32">
        <f t="shared" si="99"/>
        <v>1.8832391713747645E-2</v>
      </c>
      <c r="I186" s="101">
        <f>IF(ISNUMBER(G186), $B199 * H186, "")</f>
        <v>5649.7175141242933</v>
      </c>
      <c r="J186" s="15">
        <v>548</v>
      </c>
      <c r="K186" s="32">
        <f t="shared" si="100"/>
        <v>3.2015065913370999E-2</v>
      </c>
      <c r="L186" s="18">
        <f>IF(ISNUMBER(J186), $B199 * K186, "")</f>
        <v>9604.5197740112999</v>
      </c>
      <c r="M186" s="31">
        <v>544</v>
      </c>
      <c r="N186" s="32">
        <f t="shared" si="101"/>
        <v>2.4482109227871938E-2</v>
      </c>
      <c r="O186" s="18">
        <f>IF(ISNUMBER(M186), $B199 * N186, "")</f>
        <v>7344.6327683615818</v>
      </c>
      <c r="Q186" s="174"/>
      <c r="R186" s="174"/>
      <c r="S186" s="174"/>
    </row>
    <row r="187" spans="1:19" ht="17.25" thickBot="1">
      <c r="A187" s="17" t="s">
        <v>254</v>
      </c>
      <c r="B187" s="15">
        <v>93</v>
      </c>
      <c r="C187" s="32">
        <v>-1.4830508500000001E-2</v>
      </c>
      <c r="D187" s="15">
        <v>92.4</v>
      </c>
      <c r="E187" s="32">
        <f t="shared" si="98"/>
        <v>-6.4516129032257457E-3</v>
      </c>
      <c r="F187" s="18">
        <f>IF(ISNUMBER(D187), $B199 * E187, "")</f>
        <v>-1935.4838709677238</v>
      </c>
      <c r="G187" s="31">
        <v>92.1</v>
      </c>
      <c r="H187" s="32">
        <f t="shared" si="99"/>
        <v>-9.6774193548387708E-3</v>
      </c>
      <c r="I187" s="101">
        <f>IF(ISNUMBER(G187), $B199 * H187, "")</f>
        <v>-2903.2258064516313</v>
      </c>
      <c r="J187" s="15">
        <v>92.4</v>
      </c>
      <c r="K187" s="32">
        <f t="shared" si="100"/>
        <v>-6.4516129032257457E-3</v>
      </c>
      <c r="L187" s="18">
        <f>IF(ISNUMBER(J187), $B199 * K187, "")</f>
        <v>-1935.4838709677238</v>
      </c>
      <c r="M187" s="31">
        <v>92.4</v>
      </c>
      <c r="N187" s="32">
        <f t="shared" si="101"/>
        <v>-6.4516129032257457E-3</v>
      </c>
      <c r="O187" s="18">
        <f>IF(ISNUMBER(M187), $B199 * N187, "")</f>
        <v>-1935.4838709677238</v>
      </c>
      <c r="Q187" s="33"/>
      <c r="R187" s="33"/>
    </row>
    <row r="188" spans="1:19" ht="17.25" thickBot="1">
      <c r="A188" s="23" t="s">
        <v>170</v>
      </c>
      <c r="B188" s="24">
        <v>524</v>
      </c>
      <c r="C188" s="25">
        <v>-1.5037594E-2</v>
      </c>
      <c r="D188" s="24">
        <v>526</v>
      </c>
      <c r="E188" s="25">
        <f t="shared" si="98"/>
        <v>3.8167938931297708E-3</v>
      </c>
      <c r="F188" s="104">
        <f>IF(ISNUMBER(D188), $B199 * E188, "")</f>
        <v>1145.0381679389313</v>
      </c>
      <c r="G188" s="102">
        <v>526</v>
      </c>
      <c r="H188" s="25">
        <f t="shared" si="99"/>
        <v>3.8167938931297708E-3</v>
      </c>
      <c r="I188" s="103">
        <f>IF(ISNUMBER(G188), $B199 * H188, "")</f>
        <v>1145.0381679389313</v>
      </c>
      <c r="J188" s="24">
        <v>530</v>
      </c>
      <c r="K188" s="25">
        <f t="shared" si="100"/>
        <v>1.1450381679389313E-2</v>
      </c>
      <c r="L188" s="104">
        <f>IF(ISNUMBER(J188), $B199 * K188, "")</f>
        <v>3435.1145038167938</v>
      </c>
      <c r="M188" s="102">
        <v>530</v>
      </c>
      <c r="N188" s="25">
        <f t="shared" si="101"/>
        <v>1.1450381679389313E-2</v>
      </c>
      <c r="O188" s="104">
        <f>IF(ISNUMBER(M188), $B199 * N188, "")</f>
        <v>3435.1145038167938</v>
      </c>
      <c r="Q188" s="175"/>
      <c r="R188" s="176"/>
      <c r="S188" s="177"/>
    </row>
    <row r="189" spans="1:19">
      <c r="A189" s="12" t="s">
        <v>184</v>
      </c>
      <c r="B189" s="13">
        <v>2605</v>
      </c>
      <c r="C189" s="14">
        <v>-1.5122873300000001E-2</v>
      </c>
      <c r="D189" s="13">
        <v>2595</v>
      </c>
      <c r="E189" s="14">
        <f>IF(ISNUMBER(D189), (D189 - $B189) / $B189, "")</f>
        <v>-3.838771593090211E-3</v>
      </c>
      <c r="F189" s="16">
        <f>IF(ISNUMBER(D189), $B199 * E189, "")</f>
        <v>-1151.6314779270633</v>
      </c>
      <c r="G189" s="29">
        <v>2590</v>
      </c>
      <c r="H189" s="14">
        <f>IF(ISNUMBER(G189), (G189 - $B189) / $B189, "")</f>
        <v>-5.7581573896353169E-3</v>
      </c>
      <c r="I189" s="100">
        <f>IF(ISNUMBER(G189), $B199 * H189, "")</f>
        <v>-1727.447216890595</v>
      </c>
      <c r="J189" s="13">
        <v>2610</v>
      </c>
      <c r="K189" s="14">
        <f>IF(ISNUMBER(J189), (J189 - $B189) / $B189, "")</f>
        <v>1.9193857965451055E-3</v>
      </c>
      <c r="L189" s="16">
        <f>IF(ISNUMBER(J189), $B199 * K189, "")</f>
        <v>575.81573896353166</v>
      </c>
      <c r="M189" s="29">
        <v>2585</v>
      </c>
      <c r="N189" s="14">
        <f>IF(ISNUMBER(M189), (M189 - $B189) / $B189, "")</f>
        <v>-7.677543186180422E-3</v>
      </c>
      <c r="O189" s="16">
        <f>IF(ISNUMBER(M189), $B199 * N189, "")</f>
        <v>-2303.2629558541266</v>
      </c>
      <c r="Q189" s="178"/>
      <c r="R189" s="179"/>
      <c r="S189" s="180"/>
    </row>
    <row r="190" spans="1:19" ht="17.25" thickBot="1">
      <c r="A190" s="17" t="s">
        <v>194</v>
      </c>
      <c r="B190" s="15">
        <v>14310</v>
      </c>
      <c r="C190" s="32">
        <v>-1.6494845399999999E-2</v>
      </c>
      <c r="D190" s="15">
        <v>14420</v>
      </c>
      <c r="E190" s="32">
        <f t="shared" ref="E190:E193" si="102">IF(ISNUMBER(D190), (D190 - $B190) / $B190, "")</f>
        <v>7.6869322152341019E-3</v>
      </c>
      <c r="F190" s="18">
        <f>IF(ISNUMBER(D190), $B199 * E190, "")</f>
        <v>2306.0796645702308</v>
      </c>
      <c r="G190" s="31">
        <v>14360</v>
      </c>
      <c r="H190" s="32">
        <f t="shared" ref="H190:H193" si="103">IF(ISNUMBER(G190), (G190 - $B190) / $B190, "")</f>
        <v>3.4940600978336828E-3</v>
      </c>
      <c r="I190" s="101">
        <f>IF(ISNUMBER(G190), $B199 * H190, "")</f>
        <v>1048.2180293501049</v>
      </c>
      <c r="J190" s="15">
        <v>14500</v>
      </c>
      <c r="K190" s="32">
        <f t="shared" ref="K190:K193" si="104">IF(ISNUMBER(J190), (J190 - $B190) / $B190, "")</f>
        <v>1.3277428371767994E-2</v>
      </c>
      <c r="L190" s="18">
        <f>IF(ISNUMBER(J190), $B199 * K190, "")</f>
        <v>3983.228511530398</v>
      </c>
      <c r="M190" s="31">
        <v>14580</v>
      </c>
      <c r="N190" s="32">
        <f t="shared" ref="N190:N193" si="105">IF(ISNUMBER(M190), (M190 - $B190) / $B190, "")</f>
        <v>1.8867924528301886E-2</v>
      </c>
      <c r="O190" s="18">
        <f>IF(ISNUMBER(M190), $B199 * N190, "")</f>
        <v>5660.3773584905657</v>
      </c>
      <c r="Q190" s="181"/>
      <c r="R190" s="182"/>
      <c r="S190" s="183"/>
    </row>
    <row r="191" spans="1:19" ht="17.25" thickBot="1">
      <c r="A191" s="17" t="s">
        <v>252</v>
      </c>
      <c r="B191" s="15">
        <v>585</v>
      </c>
      <c r="C191" s="32">
        <v>-2.0100502499999999E-2</v>
      </c>
      <c r="D191" s="15">
        <v>587</v>
      </c>
      <c r="E191" s="32">
        <f t="shared" si="102"/>
        <v>3.4188034188034188E-3</v>
      </c>
      <c r="F191" s="18">
        <f>IF(ISNUMBER(D191), $B199 * E191, "")</f>
        <v>1025.6410256410256</v>
      </c>
      <c r="G191" s="31">
        <v>588</v>
      </c>
      <c r="H191" s="32">
        <f t="shared" si="103"/>
        <v>5.1282051282051282E-3</v>
      </c>
      <c r="I191" s="101">
        <f>IF(ISNUMBER(G191), $B199 * H191, "")</f>
        <v>1538.4615384615386</v>
      </c>
      <c r="J191" s="15">
        <v>589</v>
      </c>
      <c r="K191" s="32">
        <f t="shared" si="104"/>
        <v>6.8376068376068376E-3</v>
      </c>
      <c r="L191" s="18">
        <f>IF(ISNUMBER(J191), $B199 * K191, "")</f>
        <v>2051.2820512820513</v>
      </c>
      <c r="M191" s="31">
        <v>589</v>
      </c>
      <c r="N191" s="32">
        <f t="shared" si="105"/>
        <v>6.8376068376068376E-3</v>
      </c>
      <c r="O191" s="18">
        <f>IF(ISNUMBER(M191), $B199 * N191, "")</f>
        <v>2051.2820512820513</v>
      </c>
      <c r="Q191" s="174"/>
      <c r="R191" s="174"/>
      <c r="S191" s="174"/>
    </row>
    <row r="192" spans="1:19" ht="17.25" thickBot="1">
      <c r="A192" s="17" t="s">
        <v>82</v>
      </c>
      <c r="B192" s="15">
        <v>1575</v>
      </c>
      <c r="C192" s="32">
        <v>-2.1739130400000001E-2</v>
      </c>
      <c r="D192" s="15">
        <v>1585</v>
      </c>
      <c r="E192" s="32">
        <f t="shared" si="102"/>
        <v>6.3492063492063492E-3</v>
      </c>
      <c r="F192" s="18">
        <f>IF(ISNUMBER(D192), $B199 * E192, "")</f>
        <v>1904.7619047619048</v>
      </c>
      <c r="G192" s="31">
        <v>1580</v>
      </c>
      <c r="H192" s="32">
        <f t="shared" si="103"/>
        <v>3.1746031746031746E-3</v>
      </c>
      <c r="I192" s="101">
        <f>IF(ISNUMBER(G192), $B199 * H192, "")</f>
        <v>952.38095238095241</v>
      </c>
      <c r="J192" s="15">
        <v>1585</v>
      </c>
      <c r="K192" s="32">
        <f t="shared" si="104"/>
        <v>6.3492063492063492E-3</v>
      </c>
      <c r="L192" s="18">
        <f>IF(ISNUMBER(J192), $B199 * K192, "")</f>
        <v>1904.7619047619048</v>
      </c>
      <c r="M192" s="31">
        <v>1585</v>
      </c>
      <c r="N192" s="32">
        <f t="shared" si="105"/>
        <v>6.3492063492063492E-3</v>
      </c>
      <c r="O192" s="18">
        <f>IF(ISNUMBER(M192), $B199 * N192, "")</f>
        <v>1904.7619047619048</v>
      </c>
      <c r="Q192" s="184"/>
      <c r="R192" s="184"/>
      <c r="S192" s="184"/>
    </row>
    <row r="193" spans="1:19" ht="17.25" thickBot="1">
      <c r="A193" s="19" t="s">
        <v>124</v>
      </c>
      <c r="B193" s="20">
        <v>7595</v>
      </c>
      <c r="C193" s="21">
        <v>-2.31511254E-2</v>
      </c>
      <c r="D193" s="20">
        <v>7705</v>
      </c>
      <c r="E193" s="21">
        <f t="shared" si="102"/>
        <v>1.4483212639894667E-2</v>
      </c>
      <c r="F193" s="22">
        <f>IF(ISNUMBER(D193), $B199 * E193, "")</f>
        <v>4344.9637919684001</v>
      </c>
      <c r="G193" s="30">
        <v>7650</v>
      </c>
      <c r="H193" s="21">
        <f t="shared" si="103"/>
        <v>7.2416063199473336E-3</v>
      </c>
      <c r="I193" s="105">
        <f>IF(ISNUMBER(G193), $B199 * H193, "")</f>
        <v>2172.4818959842</v>
      </c>
      <c r="J193" s="20">
        <v>7730</v>
      </c>
      <c r="K193" s="21">
        <f t="shared" si="104"/>
        <v>1.7774851876234364E-2</v>
      </c>
      <c r="L193" s="22">
        <f>IF(ISNUMBER(J193), $B199 * K193, "")</f>
        <v>5332.4555628703092</v>
      </c>
      <c r="M193" s="30">
        <v>7715</v>
      </c>
      <c r="N193" s="21">
        <f t="shared" si="105"/>
        <v>1.5799868334430547E-2</v>
      </c>
      <c r="O193" s="22">
        <f>IF(ISNUMBER(M193), $B199 * N193, "")</f>
        <v>4739.9605003291645</v>
      </c>
      <c r="Q193" s="184"/>
      <c r="R193" s="184"/>
      <c r="S193" s="184"/>
    </row>
    <row r="194" spans="1:19" ht="17.25" thickBot="1">
      <c r="A194" s="17" t="s">
        <v>158</v>
      </c>
      <c r="B194" s="106">
        <v>11710</v>
      </c>
      <c r="C194" s="107">
        <v>-2.98260149E-2</v>
      </c>
      <c r="D194" s="106">
        <v>11610</v>
      </c>
      <c r="E194" s="107">
        <f>IF(ISNUMBER(D194), (D194 - $B194) / $B194, "")</f>
        <v>-8.539709649871904E-3</v>
      </c>
      <c r="F194" s="108">
        <f>IF(ISNUMBER(D194), $B199 * E194, "")</f>
        <v>-2561.9128949615711</v>
      </c>
      <c r="G194" s="109">
        <v>11460</v>
      </c>
      <c r="H194" s="107">
        <f>IF(ISNUMBER(G194), (G194 - $B194) / $B194, "")</f>
        <v>-2.1349274124679761E-2</v>
      </c>
      <c r="I194" s="110">
        <f>IF(ISNUMBER(G194), $B199 * H194, "")</f>
        <v>-6404.7822374039279</v>
      </c>
      <c r="J194" s="106">
        <v>11510</v>
      </c>
      <c r="K194" s="107">
        <f>IF(ISNUMBER(J194), (J194 - $B194) / $B194, "")</f>
        <v>-1.7079419299743808E-2</v>
      </c>
      <c r="L194" s="108">
        <f>IF(ISNUMBER(J194), $B199 * K194, "")</f>
        <v>-5123.8257899231421</v>
      </c>
      <c r="M194" s="109">
        <v>11480</v>
      </c>
      <c r="N194" s="107">
        <f>IF(ISNUMBER(M194), (M194 - $B194) / $B194, "")</f>
        <v>-1.9641332194705381E-2</v>
      </c>
      <c r="O194" s="108">
        <f>IF(ISNUMBER(M194), $B199 * N194, "")</f>
        <v>-5892.3996584116139</v>
      </c>
      <c r="Q194" s="174"/>
      <c r="R194" s="174"/>
      <c r="S194" s="174"/>
    </row>
    <row r="195" spans="1:19" ht="17.25" thickBot="1">
      <c r="A195" s="17" t="s">
        <v>164</v>
      </c>
      <c r="B195" s="15">
        <v>26510</v>
      </c>
      <c r="C195" s="32">
        <v>-3.4244080099999998E-2</v>
      </c>
      <c r="D195" s="15">
        <v>26670</v>
      </c>
      <c r="E195" s="32">
        <f t="shared" ref="E195:E198" si="106">IF(ISNUMBER(D195), (D195 - $B195) / $B195, "")</f>
        <v>6.0354583176159939E-3</v>
      </c>
      <c r="F195" s="18">
        <f>IF(ISNUMBER(D195), $B199 * E195, "")</f>
        <v>1810.6374952847982</v>
      </c>
      <c r="G195" s="31">
        <v>26630</v>
      </c>
      <c r="H195" s="32">
        <f t="shared" ref="H195:H198" si="107">IF(ISNUMBER(G195), (G195 - $B195) / $B195, "")</f>
        <v>4.5265937382119956E-3</v>
      </c>
      <c r="I195" s="101">
        <f>IF(ISNUMBER(G195), $B199 * H195, "")</f>
        <v>1357.9781214635987</v>
      </c>
      <c r="J195" s="15">
        <v>27030</v>
      </c>
      <c r="K195" s="32">
        <f t="shared" ref="K195:K198" si="108">IF(ISNUMBER(J195), (J195 - $B195) / $B195, "")</f>
        <v>1.9615239532251982E-2</v>
      </c>
      <c r="L195" s="18">
        <f>IF(ISNUMBER(J195), $B199 * K195, "")</f>
        <v>5884.5718596755942</v>
      </c>
      <c r="M195" s="31">
        <v>27170</v>
      </c>
      <c r="N195" s="32">
        <f t="shared" ref="N195:N198" si="109">IF(ISNUMBER(M195), (M195 - $B195) / $B195, "")</f>
        <v>2.4896265560165973E-2</v>
      </c>
      <c r="O195" s="18">
        <f>IF(ISNUMBER(M195), $B199 * N195, "")</f>
        <v>7468.8796680497917</v>
      </c>
      <c r="Q195" s="174"/>
      <c r="R195" s="174"/>
      <c r="S195" s="174"/>
    </row>
    <row r="196" spans="1:19" ht="17.25" thickBot="1">
      <c r="A196" s="17" t="s">
        <v>190</v>
      </c>
      <c r="B196" s="15">
        <v>78080</v>
      </c>
      <c r="C196" s="32">
        <v>-3.7119250200000002E-2</v>
      </c>
      <c r="D196" s="15">
        <v>78350</v>
      </c>
      <c r="E196" s="32">
        <f t="shared" si="106"/>
        <v>3.4579918032786885E-3</v>
      </c>
      <c r="F196" s="18">
        <f>IF(ISNUMBER(D196), $B199 * E196, "")</f>
        <v>1037.3975409836066</v>
      </c>
      <c r="G196" s="31">
        <v>78180</v>
      </c>
      <c r="H196" s="32">
        <f t="shared" si="107"/>
        <v>1.2807377049180327E-3</v>
      </c>
      <c r="I196" s="101">
        <f>IF(ISNUMBER(G196), $B199 * H196, "")</f>
        <v>384.22131147540983</v>
      </c>
      <c r="J196" s="15">
        <v>78490</v>
      </c>
      <c r="K196" s="32">
        <f t="shared" si="108"/>
        <v>5.2510245901639342E-3</v>
      </c>
      <c r="L196" s="18">
        <f>IF(ISNUMBER(J196), $B199 * K196, "")</f>
        <v>1575.3073770491803</v>
      </c>
      <c r="M196" s="31">
        <v>78410</v>
      </c>
      <c r="N196" s="32">
        <f t="shared" si="109"/>
        <v>4.2264344262295086E-3</v>
      </c>
      <c r="O196" s="18">
        <f>IF(ISNUMBER(M196), $B199 * N196, "")</f>
        <v>1267.9303278688526</v>
      </c>
      <c r="Q196" s="174"/>
      <c r="R196" s="174"/>
      <c r="S196" s="174"/>
    </row>
    <row r="197" spans="1:19">
      <c r="A197" s="17" t="s">
        <v>204</v>
      </c>
      <c r="B197" s="15">
        <v>10100</v>
      </c>
      <c r="C197" s="32">
        <v>-3.8095238099999998E-2</v>
      </c>
      <c r="D197" s="15">
        <v>10180</v>
      </c>
      <c r="E197" s="32">
        <f t="shared" si="106"/>
        <v>7.9207920792079209E-3</v>
      </c>
      <c r="F197" s="18">
        <f>IF(ISNUMBER(D197), $B199 * E197, "")</f>
        <v>2376.2376237623762</v>
      </c>
      <c r="G197" s="31">
        <v>10070</v>
      </c>
      <c r="H197" s="32">
        <f t="shared" si="107"/>
        <v>-2.9702970297029703E-3</v>
      </c>
      <c r="I197" s="101">
        <f>IF(ISNUMBER(G197), $B199 * H197, "")</f>
        <v>-891.08910891089113</v>
      </c>
      <c r="J197" s="15">
        <v>10090</v>
      </c>
      <c r="K197" s="32">
        <f t="shared" si="108"/>
        <v>-9.9009900990099011E-4</v>
      </c>
      <c r="L197" s="18">
        <f>IF(ISNUMBER(J197), $B199 * K197, "")</f>
        <v>-297.02970297029702</v>
      </c>
      <c r="M197" s="31">
        <v>10130</v>
      </c>
      <c r="N197" s="32">
        <f t="shared" si="109"/>
        <v>2.9702970297029703E-3</v>
      </c>
      <c r="O197" s="18">
        <f>IF(ISNUMBER(M197), $B199 * N197, "")</f>
        <v>891.08910891089113</v>
      </c>
      <c r="Q197" s="163"/>
      <c r="R197" s="164"/>
      <c r="S197" s="165"/>
    </row>
    <row r="198" spans="1:19" ht="17.25" thickBot="1">
      <c r="A198" s="23" t="s">
        <v>67</v>
      </c>
      <c r="B198" s="24">
        <v>10020</v>
      </c>
      <c r="C198" s="25">
        <v>-4.1148325399999998E-2</v>
      </c>
      <c r="D198" s="24">
        <v>10000</v>
      </c>
      <c r="E198" s="25">
        <f t="shared" si="106"/>
        <v>-1.996007984031936E-3</v>
      </c>
      <c r="F198" s="104">
        <f>IF(ISNUMBER(D198), $B199 * E198, "")</f>
        <v>-598.80239520958082</v>
      </c>
      <c r="G198" s="102">
        <v>9980</v>
      </c>
      <c r="H198" s="25">
        <f t="shared" si="107"/>
        <v>-3.9920159680638719E-3</v>
      </c>
      <c r="I198" s="103">
        <f>IF(ISNUMBER(G198), $B199 * H198, "")</f>
        <v>-1197.6047904191616</v>
      </c>
      <c r="J198" s="24">
        <v>10020</v>
      </c>
      <c r="K198" s="25">
        <f t="shared" si="108"/>
        <v>0</v>
      </c>
      <c r="L198" s="104">
        <f>IF(ISNUMBER(J198), $B199 * K198, "")</f>
        <v>0</v>
      </c>
      <c r="M198" s="102">
        <v>10040</v>
      </c>
      <c r="N198" s="25">
        <f t="shared" si="109"/>
        <v>1.996007984031936E-3</v>
      </c>
      <c r="O198" s="104">
        <f>IF(ISNUMBER(M198), $B199 * N198, "")</f>
        <v>598.80239520958082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4.225429661185073E-3</v>
      </c>
      <c r="F199" s="28">
        <f>SUM(F179:F198)</f>
        <v>25352.577967110439</v>
      </c>
      <c r="G199" s="26" t="s">
        <v>302</v>
      </c>
      <c r="H199" s="27">
        <f>IF(COUNT(H179:H198), SUM(H179:H198) / COUNT(H179:H198), 0)</f>
        <v>-5.0321908230329965E-4</v>
      </c>
      <c r="I199" s="28">
        <f>SUM(I179:I198)</f>
        <v>-3019.3144938197966</v>
      </c>
      <c r="J199" s="26" t="s">
        <v>302</v>
      </c>
      <c r="K199" s="27">
        <f>IF(COUNT(K179:K198), SUM(K179:K198) / COUNT(K179:K198), 0)</f>
        <v>5.8174875976873385E-3</v>
      </c>
      <c r="L199" s="28">
        <f>SUM(L179:L198)</f>
        <v>34904.925586124016</v>
      </c>
      <c r="M199" s="26" t="s">
        <v>302</v>
      </c>
      <c r="N199" s="27">
        <f>IF(COUNT(N179:N198), SUM(N179:N198) / COUNT(N179:N198), 0)</f>
        <v>5.2119906374178248E-3</v>
      </c>
      <c r="O199" s="28">
        <f>SUM(O179:O198)</f>
        <v>31271.943824506943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3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8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2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7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4F20D-1B59-448B-AB91-5E4A1FDF407E}">
  <sheetPr codeName="Sheet6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" bestFit="1" customWidth="1"/>
    <col min="10" max="10" width="14.25" bestFit="1" customWidth="1"/>
    <col min="11" max="11" width="9.25" bestFit="1" customWidth="1"/>
    <col min="12" max="12" width="14" bestFit="1" customWidth="1"/>
    <col min="13" max="13" width="14.25" bestFit="1" customWidth="1"/>
    <col min="14" max="14" width="8.5" bestFit="1" customWidth="1"/>
    <col min="15" max="15" width="14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44318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76,007 KRW (1.27%)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63,934 KRW (1.12%)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51,490 KRW (0.86%)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26,320 KRW (0.44%)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5,154 KRW (0.34%)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2021-05-02(일) 오전 00:00</v>
      </c>
      <c r="C15" s="202"/>
      <c r="D15" s="198" t="str">
        <f>TEXT($G$1, "[$-ko-KR]yyyy-mm-dd(ddd) ") &amp; "오후 14:00"</f>
        <v>2021-05-02(일) 오후 14:00</v>
      </c>
      <c r="E15" s="199"/>
      <c r="F15" s="200"/>
      <c r="G15" s="198" t="str">
        <f>TEXT($G$1, "[$-ko-KR]yyyy-mm-dd(ddd) ") &amp; "오후 19:00"</f>
        <v>2021-05-02(일) 오후 19:00</v>
      </c>
      <c r="H15" s="199"/>
      <c r="I15" s="200"/>
      <c r="J15" s="198" t="str">
        <f>TEXT($G$1, "[$-ko-KR]yyyy-mm-dd(ddd) ") &amp; "오후 21:00"</f>
        <v>2021-05-02(일) 오후 21:00</v>
      </c>
      <c r="K15" s="199"/>
      <c r="L15" s="200"/>
      <c r="M15" s="198" t="str">
        <f>TEXT($G$1+1, "[$-ko-KR]yyyy-mm-dd(ddd) ") &amp; "오전 00:00"</f>
        <v>2021-05-03(월)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264</v>
      </c>
      <c r="B17" s="13">
        <f>IF(NOT(ISBLANK(_xlfn.IFNA(VLOOKUP($A17, $A$40:$O$199, 2, FALSE), ))), _xlfn.IFNA(VLOOKUP($A17, $A$40:$O$199, 2, FALSE), ), "")</f>
        <v>183</v>
      </c>
      <c r="C17" s="14">
        <f>IF(NOT(ISBLANK(_xlfn.IFNA(VLOOKUP($A17, $A$40:$O$199, 3, FALSE), ))), _xlfn.IFNA(VLOOKUP($A17, $A$40:$O$199, 3, FALSE), ), "")</f>
        <v>-2.65957447E-2</v>
      </c>
      <c r="D17" s="13">
        <f>IF(NOT(ISBLANK(_xlfn.IFNA(VLOOKUP($A17, $A$40:$O$199, 4, FALSE), ))), _xlfn.IFNA(VLOOKUP($A17, $A$40:$O$199, 4, FALSE), ), "")</f>
        <v>181</v>
      </c>
      <c r="E17" s="14">
        <f>IF(NOT(ISBLANK(_xlfn.IFNA(VLOOKUP($A17, $A$40:$O$199, 5, FALSE), ))), _xlfn.IFNA(VLOOKUP($A17, $A$40:$O$199, 5, FALSE), ), "")</f>
        <v>-1.092896174863388E-2</v>
      </c>
      <c r="F17" s="16">
        <f>IF(NOT(ISBLANK(_xlfn.IFNA(VLOOKUP($A17, $A$40:$O$199, 6, FALSE), ))), _xlfn.IFNA(VLOOKUP($A17, $A$40:$O$199, 6, FALSE), ), "")</f>
        <v>-3278.688524590164</v>
      </c>
      <c r="G17" s="29">
        <f>IF(NOT(ISBLANK(_xlfn.IFNA(VLOOKUP($A17, $A$40:$O$199, 7, FALSE), ))), _xlfn.IFNA(VLOOKUP($A17, $A$40:$O$199, 7, FALSE), ), "")</f>
        <v>182</v>
      </c>
      <c r="H17" s="14">
        <f>IF(NOT(ISBLANK(_xlfn.IFNA(VLOOKUP($A17, $A$40:$O$199, 8, FALSE), ))), _xlfn.IFNA(VLOOKUP($A17, $A$40:$O$199, 8, FALSE), ), "")</f>
        <v>-5.4644808743169399E-3</v>
      </c>
      <c r="I17" s="100">
        <f>IF(NOT(ISBLANK(_xlfn.IFNA(VLOOKUP($A17, $A$40:$O$199, 9, FALSE), ))), _xlfn.IFNA(VLOOKUP($A17, $A$40:$O$199, 9, FALSE), ), "")</f>
        <v>-1639.344262295082</v>
      </c>
      <c r="J17" s="13">
        <f>IF(NOT(ISBLANK(_xlfn.IFNA(VLOOKUP($A17, $A$40:$O$199, 10, FALSE), ))), _xlfn.IFNA(VLOOKUP($A17, $A$40:$O$199, 10, FALSE), ), "")</f>
        <v>182</v>
      </c>
      <c r="K17" s="14">
        <f>IF(NOT(ISBLANK(_xlfn.IFNA(VLOOKUP($A17, $A$40:$O$199, 11, FALSE), ))), _xlfn.IFNA(VLOOKUP($A17, $A$40:$O$199, 11, FALSE), ), "")</f>
        <v>-5.4644808743169399E-3</v>
      </c>
      <c r="L17" s="16">
        <f>IF(NOT(ISBLANK(_xlfn.IFNA(VLOOKUP($A17, $A$40:$O$199, 12, FALSE), ))), _xlfn.IFNA(VLOOKUP($A17, $A$40:$O$199, 12, FALSE), ), "")</f>
        <v>-1639.344262295082</v>
      </c>
      <c r="M17" s="29">
        <f>IF(NOT(ISBLANK(_xlfn.IFNA(VLOOKUP($A17, $A$40:$O$199, 13, FALSE), ))), _xlfn.IFNA(VLOOKUP($A17, $A$40:$O$199, 13, FALSE), ), "")</f>
        <v>184</v>
      </c>
      <c r="N17" s="14">
        <f>IF(NOT(ISBLANK(_xlfn.IFNA(VLOOKUP($A17, $A$40:$O$199, 14, FALSE), ))), _xlfn.IFNA(VLOOKUP($A17, $A$40:$O$199, 14, FALSE), ), "")</f>
        <v>5.4644808743169399E-3</v>
      </c>
      <c r="O17" s="16">
        <f>IF(NOT(ISBLANK(_xlfn.IFNA(VLOOKUP($A17, $A$40:$O$199, 15, FALSE), ))), _xlfn.IFNA(VLOOKUP($A17, $A$40:$O$199, 15, FALSE), ), "")</f>
        <v>1639.344262295082</v>
      </c>
      <c r="Q17" s="184"/>
      <c r="R17" s="184"/>
      <c r="S17" s="184"/>
    </row>
    <row r="18" spans="1:19" ht="17.25" customHeight="1" thickBot="1">
      <c r="A18" s="17" t="s">
        <v>210</v>
      </c>
      <c r="B18" s="15">
        <f t="shared" ref="B18:B36" si="0">IF(NOT(ISBLANK(_xlfn.IFNA(VLOOKUP($A18, $A$40:$O$199, 2, FALSE), ))), _xlfn.IFNA(VLOOKUP($A18, $A$40:$O$199, 2, FALSE), ), "")</f>
        <v>214</v>
      </c>
      <c r="C18" s="32">
        <f t="shared" ref="C18:C36" si="1">IF(NOT(ISBLANK(_xlfn.IFNA(VLOOKUP($A18, $A$40:$O$199, 3, FALSE), ))), _xlfn.IFNA(VLOOKUP($A18, $A$40:$O$199, 3, FALSE), ), "")</f>
        <v>-2.7272727300000001E-2</v>
      </c>
      <c r="D18" s="15">
        <f t="shared" ref="D18:D36" si="2">IF(NOT(ISBLANK(_xlfn.IFNA(VLOOKUP($A18, $A$40:$O$199, 4, FALSE), ))), _xlfn.IFNA(VLOOKUP($A18, $A$40:$O$199, 4, FALSE), ), "")</f>
        <v>213</v>
      </c>
      <c r="E18" s="32">
        <f t="shared" ref="E18:E36" si="3">IF(NOT(ISBLANK(_xlfn.IFNA(VLOOKUP($A18, $A$40:$O$199, 5, FALSE), ))), _xlfn.IFNA(VLOOKUP($A18, $A$40:$O$199, 5, FALSE), ), "")</f>
        <v>-4.6728971962616819E-3</v>
      </c>
      <c r="F18" s="18">
        <f t="shared" ref="F18:F36" si="4">IF(NOT(ISBLANK(_xlfn.IFNA(VLOOKUP($A18, $A$40:$O$199, 6, FALSE), ))), _xlfn.IFNA(VLOOKUP($A18, $A$40:$O$199, 6, FALSE), ), "")</f>
        <v>-1401.8691588785045</v>
      </c>
      <c r="G18" s="31">
        <f t="shared" ref="G18:G36" si="5">IF(NOT(ISBLANK(_xlfn.IFNA(VLOOKUP($A18, $A$40:$O$199, 7, FALSE), ))), _xlfn.IFNA(VLOOKUP($A18, $A$40:$O$199, 7, FALSE), ), "")</f>
        <v>214</v>
      </c>
      <c r="H18" s="32">
        <f t="shared" ref="H18:H36" si="6">IF(NOT(ISBLANK(_xlfn.IFNA(VLOOKUP($A18, $A$40:$O$199, 8, FALSE), ))), _xlfn.IFNA(VLOOKUP($A18, $A$40:$O$199, 8, FALSE), ), "")</f>
        <v>0</v>
      </c>
      <c r="I18" s="101">
        <f t="shared" ref="I18:I36" si="7">IF(NOT(ISBLANK(_xlfn.IFNA(VLOOKUP($A18, $A$40:$O$199, 9, FALSE), ))), _xlfn.IFNA(VLOOKUP($A18, $A$40:$O$199, 9, FALSE), ), "")</f>
        <v>0</v>
      </c>
      <c r="J18" s="15">
        <f t="shared" ref="J18:J36" si="8">IF(NOT(ISBLANK(_xlfn.IFNA(VLOOKUP($A18, $A$40:$O$199, 10, FALSE), ))), _xlfn.IFNA(VLOOKUP($A18, $A$40:$O$199, 10, FALSE), ), "")</f>
        <v>216</v>
      </c>
      <c r="K18" s="32">
        <f t="shared" ref="K18:K36" si="9">IF(NOT(ISBLANK(_xlfn.IFNA(VLOOKUP($A18, $A$40:$O$199, 11, FALSE), ))), _xlfn.IFNA(VLOOKUP($A18, $A$40:$O$199, 11, FALSE), ), "")</f>
        <v>9.3457943925233638E-3</v>
      </c>
      <c r="L18" s="18">
        <f t="shared" ref="L18:L36" si="10">IF(NOT(ISBLANK(_xlfn.IFNA(VLOOKUP($A18, $A$40:$O$199, 12, FALSE), ))), _xlfn.IFNA(VLOOKUP($A18, $A$40:$O$199, 12, FALSE), ), "")</f>
        <v>2803.7383177570091</v>
      </c>
      <c r="M18" s="31">
        <f t="shared" ref="M18:M36" si="11">IF(NOT(ISBLANK(_xlfn.IFNA(VLOOKUP($A18, $A$40:$O$199, 13, FALSE), ))), _xlfn.IFNA(VLOOKUP($A18, $A$40:$O$199, 13, FALSE), ), "")</f>
        <v>219</v>
      </c>
      <c r="N18" s="32">
        <f t="shared" ref="N18:N36" si="12">IF(NOT(ISBLANK(_xlfn.IFNA(VLOOKUP($A18, $A$40:$O$199, 14, FALSE), ))), _xlfn.IFNA(VLOOKUP($A18, $A$40:$O$199, 14, FALSE), ), "")</f>
        <v>2.336448598130841E-2</v>
      </c>
      <c r="O18" s="18">
        <f t="shared" ref="O18:O36" si="13">IF(NOT(ISBLANK(_xlfn.IFNA(VLOOKUP($A18, $A$40:$O$199, 15, FALSE), ))), _xlfn.IFNA(VLOOKUP($A18, $A$40:$O$199, 15, FALSE), ), "")</f>
        <v>7009.3457943925232</v>
      </c>
      <c r="Q18" s="184"/>
      <c r="R18" s="184"/>
      <c r="S18" s="184"/>
    </row>
    <row r="19" spans="1:19" ht="17.25" customHeight="1" thickBot="1">
      <c r="A19" s="17" t="s">
        <v>88</v>
      </c>
      <c r="B19" s="15">
        <f t="shared" si="0"/>
        <v>653</v>
      </c>
      <c r="C19" s="32">
        <f t="shared" si="1"/>
        <v>-2.82738095E-2</v>
      </c>
      <c r="D19" s="15">
        <f t="shared" si="2"/>
        <v>635</v>
      </c>
      <c r="E19" s="32">
        <f t="shared" si="3"/>
        <v>-2.7565084226646247E-2</v>
      </c>
      <c r="F19" s="18">
        <f t="shared" si="4"/>
        <v>-8269.5252679938749</v>
      </c>
      <c r="G19" s="31">
        <f t="shared" si="5"/>
        <v>636</v>
      </c>
      <c r="H19" s="32">
        <f t="shared" si="6"/>
        <v>-2.6033690658499236E-2</v>
      </c>
      <c r="I19" s="101">
        <f t="shared" si="7"/>
        <v>-7810.1071975497707</v>
      </c>
      <c r="J19" s="15">
        <f t="shared" si="8"/>
        <v>639</v>
      </c>
      <c r="K19" s="32">
        <f t="shared" si="9"/>
        <v>-2.1439509954058193E-2</v>
      </c>
      <c r="L19" s="18">
        <f t="shared" si="10"/>
        <v>-6431.8529862174573</v>
      </c>
      <c r="M19" s="31">
        <f t="shared" si="11"/>
        <v>649</v>
      </c>
      <c r="N19" s="32">
        <f t="shared" si="12"/>
        <v>-6.1255742725880554E-3</v>
      </c>
      <c r="O19" s="18">
        <f t="shared" si="13"/>
        <v>-1837.6722817764166</v>
      </c>
      <c r="Q19" s="174"/>
      <c r="R19" s="174"/>
      <c r="S19" s="174"/>
    </row>
    <row r="20" spans="1:19" ht="17.25" customHeight="1" thickBot="1">
      <c r="A20" s="17" t="s">
        <v>252</v>
      </c>
      <c r="B20" s="15">
        <f t="shared" si="0"/>
        <v>589</v>
      </c>
      <c r="C20" s="32">
        <f t="shared" si="1"/>
        <v>-2.9654036200000001E-2</v>
      </c>
      <c r="D20" s="15">
        <f t="shared" si="2"/>
        <v>581</v>
      </c>
      <c r="E20" s="32">
        <f t="shared" si="3"/>
        <v>-1.3582342954159592E-2</v>
      </c>
      <c r="F20" s="18">
        <f t="shared" si="4"/>
        <v>-4074.7028862478778</v>
      </c>
      <c r="G20" s="31">
        <f t="shared" si="5"/>
        <v>582</v>
      </c>
      <c r="H20" s="32">
        <f t="shared" si="6"/>
        <v>-1.1884550084889643E-2</v>
      </c>
      <c r="I20" s="101">
        <f t="shared" si="7"/>
        <v>-3565.3650254668928</v>
      </c>
      <c r="J20" s="15">
        <f t="shared" si="8"/>
        <v>586</v>
      </c>
      <c r="K20" s="32">
        <f t="shared" si="9"/>
        <v>-5.0933786078098476E-3</v>
      </c>
      <c r="L20" s="18">
        <f t="shared" si="10"/>
        <v>-1528.0135823429544</v>
      </c>
      <c r="M20" s="31">
        <f t="shared" si="11"/>
        <v>587</v>
      </c>
      <c r="N20" s="32">
        <f t="shared" si="12"/>
        <v>-3.3955857385398981E-3</v>
      </c>
      <c r="O20" s="18">
        <f t="shared" si="13"/>
        <v>-1018.6757215619695</v>
      </c>
      <c r="Q20" s="174"/>
      <c r="R20" s="174"/>
      <c r="S20" s="174"/>
    </row>
    <row r="21" spans="1:19" ht="17.25" customHeight="1" thickBot="1">
      <c r="A21" s="19" t="s">
        <v>284</v>
      </c>
      <c r="B21" s="20">
        <f t="shared" si="0"/>
        <v>470</v>
      </c>
      <c r="C21" s="21">
        <f t="shared" si="1"/>
        <v>-3.2921810699999998E-2</v>
      </c>
      <c r="D21" s="20">
        <f t="shared" si="2"/>
        <v>462</v>
      </c>
      <c r="E21" s="21">
        <f t="shared" si="3"/>
        <v>-1.7021276595744681E-2</v>
      </c>
      <c r="F21" s="22">
        <f t="shared" si="4"/>
        <v>-5106.3829787234044</v>
      </c>
      <c r="G21" s="30">
        <f t="shared" si="5"/>
        <v>462</v>
      </c>
      <c r="H21" s="21">
        <f t="shared" si="6"/>
        <v>-1.7021276595744681E-2</v>
      </c>
      <c r="I21" s="105">
        <f t="shared" si="7"/>
        <v>-5106.3829787234044</v>
      </c>
      <c r="J21" s="20">
        <f t="shared" si="8"/>
        <v>465</v>
      </c>
      <c r="K21" s="21">
        <f t="shared" si="9"/>
        <v>-1.0638297872340425E-2</v>
      </c>
      <c r="L21" s="22">
        <f t="shared" si="10"/>
        <v>-3191.4893617021276</v>
      </c>
      <c r="M21" s="30">
        <f t="shared" si="11"/>
        <v>469</v>
      </c>
      <c r="N21" s="21">
        <f t="shared" si="12"/>
        <v>-2.1276595744680851E-3</v>
      </c>
      <c r="O21" s="22">
        <f t="shared" si="13"/>
        <v>-638.29787234042556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-1.4754112544289216E-2</v>
      </c>
      <c r="F37" s="28">
        <f>SUM(F17:F26)</f>
        <v>-22131.168816433827</v>
      </c>
      <c r="G37" s="26" t="s">
        <v>43</v>
      </c>
      <c r="H37" s="27">
        <f>IF(COUNT(H17:H26), SUM(H17:H26) / COUNT(H17:H26), 0)</f>
        <v>-1.2080799642690102E-2</v>
      </c>
      <c r="I37" s="28">
        <f>SUM(I17:I26)</f>
        <v>-18121.199464035148</v>
      </c>
      <c r="J37" s="26" t="s">
        <v>43</v>
      </c>
      <c r="K37" s="27">
        <f>IF(COUNT(K17:K26), SUM(K17:K26) / COUNT(K17:K26), 0)</f>
        <v>-6.6579745832004086E-3</v>
      </c>
      <c r="L37" s="28">
        <f>SUM(L17:L26)</f>
        <v>-9986.9618748006123</v>
      </c>
      <c r="M37" s="26" t="s">
        <v>43</v>
      </c>
      <c r="N37" s="27">
        <f>IF(COUNT(N17:N26), SUM(N17:N26) / COUNT(N17:N26), 0)</f>
        <v>3.4360294540058622E-3</v>
      </c>
      <c r="O37" s="28">
        <f>SUM(O17:O26)</f>
        <v>5154.0441810087932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2021-05-02(일) 오전 00:00</v>
      </c>
      <c r="C42" s="197"/>
      <c r="D42" s="198" t="str">
        <f>TEXT($G$1, "[$-ko-KR]yyyy-mm-dd(ddd) ") &amp; "오후 14:00"</f>
        <v>2021-05-02(일) 오후 14:00</v>
      </c>
      <c r="E42" s="199"/>
      <c r="F42" s="200"/>
      <c r="G42" s="198" t="str">
        <f>TEXT($G$1, "[$-ko-KR]yyyy-mm-dd(ddd) ") &amp; "오후 19:00"</f>
        <v>2021-05-02(일) 오후 19:00</v>
      </c>
      <c r="H42" s="199"/>
      <c r="I42" s="200"/>
      <c r="J42" s="198" t="str">
        <f>TEXT($G$1, "[$-ko-KR]yyyy-mm-dd(ddd) ") &amp; "오후 21:00"</f>
        <v>2021-05-02(일) 오후 21:00</v>
      </c>
      <c r="K42" s="199"/>
      <c r="L42" s="200"/>
      <c r="M42" s="198" t="str">
        <f>TEXT($G$1+1, "[$-ko-KR]yyyy-mm-dd(ddd) ") &amp; "오전 00:00"</f>
        <v>2021-05-03(월)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72</v>
      </c>
      <c r="B44" s="13">
        <v>37.4</v>
      </c>
      <c r="C44" s="14">
        <v>3.0303030299999999E-2</v>
      </c>
      <c r="D44" s="13">
        <v>36.5</v>
      </c>
      <c r="E44" s="14">
        <f>IF(ISNUMBER(D44), (D44 - $B44) / $B44, "")</f>
        <v>-2.4064171122994617E-2</v>
      </c>
      <c r="F44" s="16">
        <f>IF(ISNUMBER(D44), $B64 * E44, "")</f>
        <v>-7219.2513368983846</v>
      </c>
      <c r="G44" s="29">
        <v>36.5</v>
      </c>
      <c r="H44" s="14">
        <f>IF(ISNUMBER(G44), (G44 - $B44) / $B44, "")</f>
        <v>-2.4064171122994617E-2</v>
      </c>
      <c r="I44" s="100">
        <f>IF(ISNUMBER(G44), $B64 * H44, "")</f>
        <v>-7219.2513368983846</v>
      </c>
      <c r="J44" s="13">
        <v>36.700000000000003</v>
      </c>
      <c r="K44" s="14">
        <f>IF(ISNUMBER(J44), (J44 - $B44) / $B44, "")</f>
        <v>-1.8716577540106839E-2</v>
      </c>
      <c r="L44" s="16">
        <f>IF(ISNUMBER(J44), $B64 * K44, "")</f>
        <v>-5614.9732620320519</v>
      </c>
      <c r="M44" s="29">
        <v>36.799999999999997</v>
      </c>
      <c r="N44" s="14">
        <f>IF(ISNUMBER(M44), (M44 - $B44) / $B44, "")</f>
        <v>-1.6042780748663141E-2</v>
      </c>
      <c r="O44" s="16">
        <f>IF(ISNUMBER(M44), $B64 * N44, "")</f>
        <v>-4812.8342245989425</v>
      </c>
      <c r="Q44" s="184"/>
      <c r="R44" s="184"/>
      <c r="S44" s="184"/>
    </row>
    <row r="45" spans="1:19" ht="17.25" customHeight="1" thickBot="1">
      <c r="A45" s="17" t="s">
        <v>100</v>
      </c>
      <c r="B45" s="15">
        <v>8.5500000000000007</v>
      </c>
      <c r="C45" s="32">
        <v>2.3446659E-3</v>
      </c>
      <c r="D45" s="15">
        <v>8.4499999999999993</v>
      </c>
      <c r="E45" s="32">
        <f t="shared" ref="E45:E48" si="14">IF(ISNUMBER(D45), (D45 - $B45) / $B45, "")</f>
        <v>-1.1695906432748704E-2</v>
      </c>
      <c r="F45" s="18">
        <f>IF(ISNUMBER(D45), $B64 * E45, "")</f>
        <v>-3508.7719298246111</v>
      </c>
      <c r="G45" s="31">
        <v>8.41</v>
      </c>
      <c r="H45" s="32">
        <f t="shared" ref="H45:H48" si="15">IF(ISNUMBER(G45), (G45 - $B45) / $B45, "")</f>
        <v>-1.6374269005848017E-2</v>
      </c>
      <c r="I45" s="101">
        <f>IF(ISNUMBER(G45), $B64 * H45, "")</f>
        <v>-4912.2807017544046</v>
      </c>
      <c r="J45" s="15">
        <v>8.44</v>
      </c>
      <c r="K45" s="32">
        <f t="shared" ref="K45:K48" si="16">IF(ISNUMBER(J45), (J45 - $B45) / $B45, "")</f>
        <v>-1.2865497076023531E-2</v>
      </c>
      <c r="L45" s="18">
        <f>IF(ISNUMBER(J45), $B64 * K45, "")</f>
        <v>-3859.6491228070595</v>
      </c>
      <c r="M45" s="31">
        <v>8.44</v>
      </c>
      <c r="N45" s="32">
        <f t="shared" ref="N45:N48" si="17">IF(ISNUMBER(M45), (M45 - $B45) / $B45, "")</f>
        <v>-1.2865497076023531E-2</v>
      </c>
      <c r="O45" s="18">
        <f>IF(ISNUMBER(M45), $B64 * N45, "")</f>
        <v>-3859.6491228070595</v>
      </c>
      <c r="Q45" s="184"/>
      <c r="R45" s="184"/>
      <c r="S45" s="184"/>
    </row>
    <row r="46" spans="1:19" ht="17.25" customHeight="1" thickBot="1">
      <c r="A46" s="17" t="s">
        <v>228</v>
      </c>
      <c r="B46" s="15">
        <v>19.899999999999999</v>
      </c>
      <c r="C46" s="32">
        <v>-9.9502488000000004E-3</v>
      </c>
      <c r="D46" s="15">
        <v>20.100000000000001</v>
      </c>
      <c r="E46" s="32">
        <f t="shared" si="14"/>
        <v>1.0050251256281551E-2</v>
      </c>
      <c r="F46" s="18">
        <f>IF(ISNUMBER(D46), $B64 * E46, "")</f>
        <v>3015.0753768844652</v>
      </c>
      <c r="G46" s="31">
        <v>20.399999999999999</v>
      </c>
      <c r="H46" s="32">
        <f t="shared" si="15"/>
        <v>2.5125628140703519E-2</v>
      </c>
      <c r="I46" s="101">
        <f>IF(ISNUMBER(G46), $B64 * H46, "")</f>
        <v>7537.6884422110561</v>
      </c>
      <c r="J46" s="15">
        <v>20.5</v>
      </c>
      <c r="K46" s="32">
        <f t="shared" si="16"/>
        <v>3.0150753768844296E-2</v>
      </c>
      <c r="L46" s="18">
        <f>IF(ISNUMBER(J46), $B64 * K46, "")</f>
        <v>9045.2261306532891</v>
      </c>
      <c r="M46" s="31">
        <v>20.6</v>
      </c>
      <c r="N46" s="32">
        <f t="shared" si="17"/>
        <v>3.517587939698507E-2</v>
      </c>
      <c r="O46" s="18">
        <f>IF(ISNUMBER(M46), $B64 * N46, "")</f>
        <v>10552.76381909552</v>
      </c>
      <c r="Q46" s="174"/>
      <c r="R46" s="174"/>
      <c r="S46" s="174"/>
    </row>
    <row r="47" spans="1:19" ht="17.25" customHeight="1" thickBot="1">
      <c r="A47" s="17" t="s">
        <v>220</v>
      </c>
      <c r="B47" s="15">
        <v>20.2</v>
      </c>
      <c r="C47" s="32">
        <v>-1.9417475699999999E-2</v>
      </c>
      <c r="D47" s="15">
        <v>20.100000000000001</v>
      </c>
      <c r="E47" s="32">
        <f t="shared" si="14"/>
        <v>-4.9504950495048447E-3</v>
      </c>
      <c r="F47" s="18">
        <f>IF(ISNUMBER(D47), $B64 * E47, "")</f>
        <v>-1485.1485148514535</v>
      </c>
      <c r="G47" s="31">
        <v>20.100000000000001</v>
      </c>
      <c r="H47" s="32">
        <f t="shared" si="15"/>
        <v>-4.9504950495048447E-3</v>
      </c>
      <c r="I47" s="101">
        <f>IF(ISNUMBER(G47), $B64 * H47, "")</f>
        <v>-1485.1485148514535</v>
      </c>
      <c r="J47" s="15">
        <v>20.100000000000001</v>
      </c>
      <c r="K47" s="32">
        <f t="shared" si="16"/>
        <v>-4.9504950495048447E-3</v>
      </c>
      <c r="L47" s="18">
        <f>IF(ISNUMBER(J47), $B64 * K47, "")</f>
        <v>-1485.1485148514535</v>
      </c>
      <c r="M47" s="31">
        <v>20.3</v>
      </c>
      <c r="N47" s="32">
        <f t="shared" si="17"/>
        <v>4.9504950495050208E-3</v>
      </c>
      <c r="O47" s="18">
        <f>IF(ISNUMBER(M47), $B64 * N47, "")</f>
        <v>1485.1485148515062</v>
      </c>
      <c r="Q47" s="174"/>
      <c r="R47" s="174"/>
      <c r="S47" s="174"/>
    </row>
    <row r="48" spans="1:19" ht="17.25" customHeight="1" thickBot="1">
      <c r="A48" s="19" t="s">
        <v>222</v>
      </c>
      <c r="B48" s="20">
        <v>20.100000000000001</v>
      </c>
      <c r="C48" s="21">
        <v>-1.9512195100000001E-2</v>
      </c>
      <c r="D48" s="20">
        <v>20</v>
      </c>
      <c r="E48" s="21">
        <f t="shared" si="14"/>
        <v>-4.9751243781095229E-3</v>
      </c>
      <c r="F48" s="22">
        <f>IF(ISNUMBER(D48), $B64 * E48, "")</f>
        <v>-1492.5373134328568</v>
      </c>
      <c r="G48" s="30">
        <v>19.899999999999999</v>
      </c>
      <c r="H48" s="21">
        <f t="shared" si="15"/>
        <v>-9.9502487562190458E-3</v>
      </c>
      <c r="I48" s="105">
        <f>IF(ISNUMBER(G48), $B64 * H48, "")</f>
        <v>-2985.0746268657135</v>
      </c>
      <c r="J48" s="20">
        <v>20</v>
      </c>
      <c r="K48" s="21">
        <f t="shared" si="16"/>
        <v>-4.9751243781095229E-3</v>
      </c>
      <c r="L48" s="22">
        <f>IF(ISNUMBER(J48), $B64 * K48, "")</f>
        <v>-1492.5373134328568</v>
      </c>
      <c r="M48" s="30">
        <v>20.3</v>
      </c>
      <c r="N48" s="21">
        <f t="shared" si="17"/>
        <v>9.9502487562188689E-3</v>
      </c>
      <c r="O48" s="22">
        <f>IF(ISNUMBER(M48), $B64 * N48, "")</f>
        <v>2985.0746268656608</v>
      </c>
      <c r="Q48" s="174"/>
      <c r="R48" s="174"/>
      <c r="S48" s="174"/>
    </row>
    <row r="49" spans="1:19" ht="17.25" customHeight="1" thickBot="1">
      <c r="A49" s="17" t="s">
        <v>198</v>
      </c>
      <c r="B49" s="106">
        <v>31.7</v>
      </c>
      <c r="C49" s="107">
        <v>-2.1604938300000001E-2</v>
      </c>
      <c r="D49" s="106">
        <v>31.5</v>
      </c>
      <c r="E49" s="107">
        <f>IF(ISNUMBER(D49), (D49 - $B49) / $B49, "")</f>
        <v>-6.3091482649842053E-3</v>
      </c>
      <c r="F49" s="108">
        <f>IF(ISNUMBER(D49), $B64 * E49, "")</f>
        <v>-1892.7444794952617</v>
      </c>
      <c r="G49" s="109">
        <v>31.4</v>
      </c>
      <c r="H49" s="107">
        <f>IF(ISNUMBER(G49), (G49 - $B49) / $B49, "")</f>
        <v>-9.4637223974763634E-3</v>
      </c>
      <c r="I49" s="110">
        <f>IF(ISNUMBER(G49), $B64 * H49, "")</f>
        <v>-2839.1167192429089</v>
      </c>
      <c r="J49" s="106">
        <v>31.4</v>
      </c>
      <c r="K49" s="107">
        <f>IF(ISNUMBER(J49), (J49 - $B49) / $B49, "")</f>
        <v>-9.4637223974763634E-3</v>
      </c>
      <c r="L49" s="108">
        <f>IF(ISNUMBER(J49), $B64 * K49, "")</f>
        <v>-2839.1167192429089</v>
      </c>
      <c r="M49" s="109">
        <v>31.6</v>
      </c>
      <c r="N49" s="107">
        <f>IF(ISNUMBER(M49), (M49 - $B49) / $B49, "")</f>
        <v>-3.1545741324920462E-3</v>
      </c>
      <c r="O49" s="108">
        <f>IF(ISNUMBER(M49), $B64 * N49, "")</f>
        <v>-946.37223974761389</v>
      </c>
      <c r="Q49" s="174"/>
      <c r="R49" s="174"/>
      <c r="S49" s="174"/>
    </row>
    <row r="50" spans="1:19" ht="17.25" customHeight="1" thickBot="1">
      <c r="A50" s="17" t="s">
        <v>266</v>
      </c>
      <c r="B50" s="15">
        <v>93.6</v>
      </c>
      <c r="C50" s="32">
        <v>-2.19435737E-2</v>
      </c>
      <c r="D50" s="15">
        <v>93.3</v>
      </c>
      <c r="E50" s="32">
        <f t="shared" ref="E50:E53" si="18">IF(ISNUMBER(D50), (D50 - $B50) / $B50, "")</f>
        <v>-3.2051282051281751E-3</v>
      </c>
      <c r="F50" s="18">
        <f>IF(ISNUMBER(D50), $B64 * E50, "")</f>
        <v>-961.53846153845257</v>
      </c>
      <c r="G50" s="31">
        <v>94</v>
      </c>
      <c r="H50" s="32">
        <f t="shared" ref="H50:H53" si="19">IF(ISNUMBER(G50), (G50 - $B50) / $B50, "")</f>
        <v>4.2735042735043346E-3</v>
      </c>
      <c r="I50" s="101">
        <f>IF(ISNUMBER(G50), $B64 * H50, "")</f>
        <v>1282.0512820513004</v>
      </c>
      <c r="J50" s="15">
        <v>94.5</v>
      </c>
      <c r="K50" s="32">
        <f t="shared" ref="K50:K53" si="20">IF(ISNUMBER(J50), (J50 - $B50) / $B50, "")</f>
        <v>9.6153846153846766E-3</v>
      </c>
      <c r="L50" s="18">
        <f>IF(ISNUMBER(J50), $B64 * K50, "")</f>
        <v>2884.6153846154029</v>
      </c>
      <c r="M50" s="31">
        <v>95.4</v>
      </c>
      <c r="N50" s="32">
        <f t="shared" ref="N50:N53" si="21">IF(ISNUMBER(M50), (M50 - $B50) / $B50, "")</f>
        <v>1.9230769230769353E-2</v>
      </c>
      <c r="O50" s="18">
        <f>IF(ISNUMBER(M50), $B64 * N50, "")</f>
        <v>5769.2307692308059</v>
      </c>
      <c r="Q50" s="174"/>
      <c r="R50" s="174"/>
      <c r="S50" s="174"/>
    </row>
    <row r="51" spans="1:19" ht="17.25" customHeight="1" thickBot="1">
      <c r="A51" s="17" t="s">
        <v>154</v>
      </c>
      <c r="B51" s="15">
        <v>22.2</v>
      </c>
      <c r="C51" s="32">
        <v>-2.2026431700000002E-2</v>
      </c>
      <c r="D51" s="15">
        <v>21.9</v>
      </c>
      <c r="E51" s="32">
        <f t="shared" si="18"/>
        <v>-1.3513513513513545E-2</v>
      </c>
      <c r="F51" s="18">
        <f>IF(ISNUMBER(D51), $B64 * E51, "")</f>
        <v>-4054.0540540540637</v>
      </c>
      <c r="G51" s="31">
        <v>22</v>
      </c>
      <c r="H51" s="32">
        <f t="shared" si="19"/>
        <v>-9.0090090090089777E-3</v>
      </c>
      <c r="I51" s="101">
        <f>IF(ISNUMBER(G51), $B64 * H51, "")</f>
        <v>-2702.7027027026934</v>
      </c>
      <c r="J51" s="15">
        <v>22.1</v>
      </c>
      <c r="K51" s="32">
        <f t="shared" si="20"/>
        <v>-4.5045045045044091E-3</v>
      </c>
      <c r="L51" s="18">
        <f>IF(ISNUMBER(J51), $B64 * K51, "")</f>
        <v>-1351.3513513513228</v>
      </c>
      <c r="M51" s="31">
        <v>22.3</v>
      </c>
      <c r="N51" s="32">
        <f t="shared" si="21"/>
        <v>4.5045045045045687E-3</v>
      </c>
      <c r="O51" s="18">
        <f>IF(ISNUMBER(M51), $B64 * N51, "")</f>
        <v>1351.3513513513706</v>
      </c>
      <c r="Q51" s="174"/>
      <c r="R51" s="174"/>
      <c r="S51" s="174"/>
    </row>
    <row r="52" spans="1:19" ht="17.25" customHeight="1" thickBot="1">
      <c r="A52" s="17" t="s">
        <v>236</v>
      </c>
      <c r="B52" s="15">
        <v>77.3</v>
      </c>
      <c r="C52" s="32">
        <v>-2.3989898999999999E-2</v>
      </c>
      <c r="D52" s="15">
        <v>76.099999999999994</v>
      </c>
      <c r="E52" s="32">
        <f t="shared" si="18"/>
        <v>-1.5523932729624875E-2</v>
      </c>
      <c r="F52" s="18">
        <f>IF(ISNUMBER(D52), $B64 * E52, "")</f>
        <v>-4657.1798188874627</v>
      </c>
      <c r="G52" s="31">
        <v>75.599999999999994</v>
      </c>
      <c r="H52" s="32">
        <f t="shared" si="19"/>
        <v>-2.1992238033635224E-2</v>
      </c>
      <c r="I52" s="101">
        <f>IF(ISNUMBER(G52), $B64 * H52, "")</f>
        <v>-6597.6714100905674</v>
      </c>
      <c r="J52" s="15">
        <v>76.099999999999994</v>
      </c>
      <c r="K52" s="32">
        <f t="shared" si="20"/>
        <v>-1.5523932729624875E-2</v>
      </c>
      <c r="L52" s="18">
        <f>IF(ISNUMBER(J52), $B64 * K52, "")</f>
        <v>-4657.1798188874627</v>
      </c>
      <c r="M52" s="31">
        <v>77.2</v>
      </c>
      <c r="N52" s="32">
        <f t="shared" si="21"/>
        <v>-1.2936610608019965E-3</v>
      </c>
      <c r="O52" s="18">
        <f>IF(ISNUMBER(M52), $B64 * N52, "")</f>
        <v>-388.09831824059893</v>
      </c>
      <c r="Q52" s="33"/>
      <c r="R52" s="33"/>
    </row>
    <row r="53" spans="1:19" ht="17.25" customHeight="1" thickBot="1">
      <c r="A53" s="23" t="s">
        <v>214</v>
      </c>
      <c r="B53" s="24">
        <v>24.2</v>
      </c>
      <c r="C53" s="25">
        <v>-2.4193548400000001E-2</v>
      </c>
      <c r="D53" s="24">
        <v>24.1</v>
      </c>
      <c r="E53" s="25">
        <f t="shared" si="18"/>
        <v>-4.1322314049585893E-3</v>
      </c>
      <c r="F53" s="104">
        <f>IF(ISNUMBER(D53), $B64 * E53, "")</f>
        <v>-1239.6694214875768</v>
      </c>
      <c r="G53" s="102">
        <v>24</v>
      </c>
      <c r="H53" s="25">
        <f t="shared" si="19"/>
        <v>-8.2644628099173261E-3</v>
      </c>
      <c r="I53" s="103">
        <f>IF(ISNUMBER(G53), $B64 * H53, "")</f>
        <v>-2479.3388429751976</v>
      </c>
      <c r="J53" s="24">
        <v>24.2</v>
      </c>
      <c r="K53" s="25">
        <f t="shared" si="20"/>
        <v>0</v>
      </c>
      <c r="L53" s="104">
        <f>IF(ISNUMBER(J53), $B64 * K53, "")</f>
        <v>0</v>
      </c>
      <c r="M53" s="102">
        <v>24.5</v>
      </c>
      <c r="N53" s="25">
        <f t="shared" si="21"/>
        <v>1.2396694214876063E-2</v>
      </c>
      <c r="O53" s="104">
        <f>IF(ISNUMBER(M53), $B64 * N53, "")</f>
        <v>3719.0082644628187</v>
      </c>
      <c r="Q53" s="175"/>
      <c r="R53" s="176"/>
      <c r="S53" s="177"/>
    </row>
    <row r="54" spans="1:19" ht="17.25" customHeight="1">
      <c r="A54" s="12" t="s">
        <v>152</v>
      </c>
      <c r="B54" s="13">
        <v>46.9</v>
      </c>
      <c r="C54" s="14">
        <v>-2.4948024900000001E-2</v>
      </c>
      <c r="D54" s="13">
        <v>48.7</v>
      </c>
      <c r="E54" s="14">
        <f>IF(ISNUMBER(D54), (D54 - $B54) / $B54, "")</f>
        <v>3.8379530916844443E-2</v>
      </c>
      <c r="F54" s="16">
        <f>IF(ISNUMBER(D54), $B64 * E54, "")</f>
        <v>11513.859275053333</v>
      </c>
      <c r="G54" s="29">
        <v>49.2</v>
      </c>
      <c r="H54" s="14">
        <f>IF(ISNUMBER(G54), (G54 - $B54) / $B54, "")</f>
        <v>4.9040511727078982E-2</v>
      </c>
      <c r="I54" s="100">
        <f>IF(ISNUMBER(G54), $B64 * H54, "")</f>
        <v>14712.153518123694</v>
      </c>
      <c r="J54" s="13">
        <v>50</v>
      </c>
      <c r="K54" s="14">
        <f>IF(ISNUMBER(J54), (J54 - $B54) / $B54, "")</f>
        <v>6.6098081023454186E-2</v>
      </c>
      <c r="L54" s="16">
        <f>IF(ISNUMBER(J54), $B64 * K54, "")</f>
        <v>19829.424307036257</v>
      </c>
      <c r="M54" s="29">
        <v>50</v>
      </c>
      <c r="N54" s="14">
        <f>IF(ISNUMBER(M54), (M54 - $B54) / $B54, "")</f>
        <v>6.6098081023454186E-2</v>
      </c>
      <c r="O54" s="16">
        <f>IF(ISNUMBER(M54), $B64 * N54, "")</f>
        <v>19829.424307036257</v>
      </c>
      <c r="Q54" s="178"/>
      <c r="R54" s="179"/>
      <c r="S54" s="180"/>
    </row>
    <row r="55" spans="1:19" ht="17.25" customHeight="1" thickBot="1">
      <c r="A55" s="17" t="s">
        <v>268</v>
      </c>
      <c r="B55" s="15">
        <v>97</v>
      </c>
      <c r="C55" s="32">
        <v>-2.5125628099999998E-2</v>
      </c>
      <c r="D55" s="15">
        <v>101</v>
      </c>
      <c r="E55" s="32">
        <f t="shared" ref="E55:E58" si="22">IF(ISNUMBER(D55), (D55 - $B55) / $B55, "")</f>
        <v>4.1237113402061855E-2</v>
      </c>
      <c r="F55" s="18">
        <f>IF(ISNUMBER(D55), $B64 * E55, "")</f>
        <v>12371.134020618556</v>
      </c>
      <c r="G55" s="31">
        <v>100</v>
      </c>
      <c r="H55" s="32">
        <f t="shared" ref="H55:H58" si="23">IF(ISNUMBER(G55), (G55 - $B55) / $B55, "")</f>
        <v>3.0927835051546393E-2</v>
      </c>
      <c r="I55" s="101">
        <f>IF(ISNUMBER(G55), $B64 * H55, "")</f>
        <v>9278.350515463917</v>
      </c>
      <c r="J55" s="15">
        <v>101</v>
      </c>
      <c r="K55" s="32">
        <f t="shared" ref="K55:K58" si="24">IF(ISNUMBER(J55), (J55 - $B55) / $B55, "")</f>
        <v>4.1237113402061855E-2</v>
      </c>
      <c r="L55" s="18">
        <f>IF(ISNUMBER(J55), $B64 * K55, "")</f>
        <v>12371.134020618556</v>
      </c>
      <c r="M55" s="31">
        <v>101</v>
      </c>
      <c r="N55" s="32">
        <f t="shared" ref="N55:N58" si="25">IF(ISNUMBER(M55), (M55 - $B55) / $B55, "")</f>
        <v>4.1237113402061855E-2</v>
      </c>
      <c r="O55" s="18">
        <f>IF(ISNUMBER(M55), $B64 * N55, "")</f>
        <v>12371.134020618556</v>
      </c>
      <c r="Q55" s="181"/>
      <c r="R55" s="182"/>
      <c r="S55" s="183"/>
    </row>
    <row r="56" spans="1:19" ht="17.25" customHeight="1" thickBot="1">
      <c r="A56" s="17" t="s">
        <v>196</v>
      </c>
      <c r="B56" s="15">
        <v>21.9</v>
      </c>
      <c r="C56" s="32">
        <v>-2.6666666700000001E-2</v>
      </c>
      <c r="D56" s="15">
        <v>21.7</v>
      </c>
      <c r="E56" s="32">
        <f t="shared" si="22"/>
        <v>-9.1324200913241692E-3</v>
      </c>
      <c r="F56" s="18">
        <f>IF(ISNUMBER(D56), $B64 * E56, "")</f>
        <v>-2739.7260273972506</v>
      </c>
      <c r="G56" s="31">
        <v>21.6</v>
      </c>
      <c r="H56" s="32">
        <f t="shared" si="23"/>
        <v>-1.3698630136986172E-2</v>
      </c>
      <c r="I56" s="101">
        <f>IF(ISNUMBER(G56), $B64 * H56, "")</f>
        <v>-4109.5890410958518</v>
      </c>
      <c r="J56" s="15">
        <v>21.8</v>
      </c>
      <c r="K56" s="32">
        <f t="shared" si="24"/>
        <v>-4.5662100456620031E-3</v>
      </c>
      <c r="L56" s="18">
        <f>IF(ISNUMBER(J56), $B64 * K56, "")</f>
        <v>-1369.863013698601</v>
      </c>
      <c r="M56" s="31">
        <v>21.8</v>
      </c>
      <c r="N56" s="32">
        <f t="shared" si="25"/>
        <v>-4.5662100456620031E-3</v>
      </c>
      <c r="O56" s="18">
        <f>IF(ISNUMBER(M56), $B64 * N56, "")</f>
        <v>-1369.863013698601</v>
      </c>
      <c r="Q56" s="174"/>
      <c r="R56" s="174"/>
      <c r="S56" s="174"/>
    </row>
    <row r="57" spans="1:19" ht="17.25" customHeight="1" thickBot="1">
      <c r="A57" s="17" t="s">
        <v>186</v>
      </c>
      <c r="B57" s="15">
        <v>26.3</v>
      </c>
      <c r="C57" s="32">
        <v>-2.9520295200000001E-2</v>
      </c>
      <c r="D57" s="15">
        <v>27.2</v>
      </c>
      <c r="E57" s="32">
        <f t="shared" si="22"/>
        <v>3.4220532319391581E-2</v>
      </c>
      <c r="F57" s="18">
        <f>IF(ISNUMBER(D57), $B64 * E57, "")</f>
        <v>10266.159695817474</v>
      </c>
      <c r="G57" s="31">
        <v>27.3</v>
      </c>
      <c r="H57" s="32">
        <f t="shared" si="23"/>
        <v>3.8022813688212927E-2</v>
      </c>
      <c r="I57" s="101">
        <f>IF(ISNUMBER(G57), $B64 * H57, "")</f>
        <v>11406.844106463877</v>
      </c>
      <c r="J57" s="15">
        <v>27.6</v>
      </c>
      <c r="K57" s="32">
        <f t="shared" si="24"/>
        <v>4.9429657794676833E-2</v>
      </c>
      <c r="L57" s="18">
        <f>IF(ISNUMBER(J57), $B64 * K57, "")</f>
        <v>14828.897338403051</v>
      </c>
      <c r="M57" s="31">
        <v>27.8</v>
      </c>
      <c r="N57" s="32">
        <f t="shared" si="25"/>
        <v>5.7034220532319393E-2</v>
      </c>
      <c r="O57" s="18">
        <f>IF(ISNUMBER(M57), $B64 * N57, "")</f>
        <v>17110.266159695817</v>
      </c>
      <c r="Q57" s="184"/>
      <c r="R57" s="184"/>
      <c r="S57" s="184"/>
    </row>
    <row r="58" spans="1:19" ht="17.25" customHeight="1" thickBot="1">
      <c r="A58" s="19" t="s">
        <v>172</v>
      </c>
      <c r="B58" s="20">
        <v>28.2</v>
      </c>
      <c r="C58" s="21">
        <v>-3.0927835099999999E-2</v>
      </c>
      <c r="D58" s="20">
        <v>28.1</v>
      </c>
      <c r="E58" s="21">
        <f t="shared" si="22"/>
        <v>-3.5460992907800663E-3</v>
      </c>
      <c r="F58" s="22">
        <f>IF(ISNUMBER(D58), $B64 * E58, "")</f>
        <v>-1063.8297872340199</v>
      </c>
      <c r="G58" s="30">
        <v>27.9</v>
      </c>
      <c r="H58" s="21">
        <f t="shared" si="23"/>
        <v>-1.0638297872340451E-2</v>
      </c>
      <c r="I58" s="105">
        <f>IF(ISNUMBER(G58), $B64 * H58, "")</f>
        <v>-3191.4893617021353</v>
      </c>
      <c r="J58" s="20">
        <v>27.9</v>
      </c>
      <c r="K58" s="21">
        <f t="shared" si="24"/>
        <v>-1.0638297872340451E-2</v>
      </c>
      <c r="L58" s="22">
        <f>IF(ISNUMBER(J58), $B64 * K58, "")</f>
        <v>-3191.4893617021353</v>
      </c>
      <c r="M58" s="30">
        <v>28.5</v>
      </c>
      <c r="N58" s="21">
        <f t="shared" si="25"/>
        <v>1.0638297872340451E-2</v>
      </c>
      <c r="O58" s="22">
        <f>IF(ISNUMBER(M58), $B64 * N58, "")</f>
        <v>3191.4893617021353</v>
      </c>
      <c r="Q58" s="184"/>
      <c r="R58" s="184"/>
      <c r="S58" s="184"/>
    </row>
    <row r="59" spans="1:19" ht="17.25" customHeight="1" thickBot="1">
      <c r="A59" s="17" t="s">
        <v>218</v>
      </c>
      <c r="B59" s="106">
        <v>32.1</v>
      </c>
      <c r="C59" s="107">
        <v>-3.3132530100000002E-2</v>
      </c>
      <c r="D59" s="106">
        <v>31.5</v>
      </c>
      <c r="E59" s="107">
        <f>IF(ISNUMBER(D59), (D59 - $B59) / $B59, "")</f>
        <v>-1.8691588785046773E-2</v>
      </c>
      <c r="F59" s="108">
        <f>IF(ISNUMBER(D59), $B64 * E59, "")</f>
        <v>-5607.4766355140318</v>
      </c>
      <c r="G59" s="109">
        <v>31.8</v>
      </c>
      <c r="H59" s="107">
        <f>IF(ISNUMBER(G59), (G59 - $B59) / $B59, "")</f>
        <v>-9.3457943925233863E-3</v>
      </c>
      <c r="I59" s="110">
        <f>IF(ISNUMBER(G59), $B64 * H59, "")</f>
        <v>-2803.7383177570159</v>
      </c>
      <c r="J59" s="106">
        <v>31.8</v>
      </c>
      <c r="K59" s="107">
        <f>IF(ISNUMBER(J59), (J59 - $B59) / $B59, "")</f>
        <v>-9.3457943925233863E-3</v>
      </c>
      <c r="L59" s="108">
        <f>IF(ISNUMBER(J59), $B64 * K59, "")</f>
        <v>-2803.7383177570159</v>
      </c>
      <c r="M59" s="109">
        <v>32.1</v>
      </c>
      <c r="N59" s="107">
        <f>IF(ISNUMBER(M59), (M59 - $B59) / $B59, "")</f>
        <v>0</v>
      </c>
      <c r="O59" s="108">
        <f>IF(ISNUMBER(M59), $B64 * N59, "")</f>
        <v>0</v>
      </c>
      <c r="Q59" s="174"/>
      <c r="R59" s="174"/>
      <c r="S59" s="174"/>
    </row>
    <row r="60" spans="1:19" ht="17.25" customHeight="1" thickBot="1">
      <c r="A60" s="17" t="s">
        <v>254</v>
      </c>
      <c r="B60" s="15">
        <v>92.4</v>
      </c>
      <c r="C60" s="32">
        <v>-3.54906054E-2</v>
      </c>
      <c r="D60" s="15">
        <v>93.7</v>
      </c>
      <c r="E60" s="32">
        <f t="shared" ref="E60:E63" si="26">IF(ISNUMBER(D60), (D60 - $B60) / $B60, "")</f>
        <v>1.4069264069264037E-2</v>
      </c>
      <c r="F60" s="18">
        <f>IF(ISNUMBER(D60), $B64 * E60, "")</f>
        <v>4220.7792207792108</v>
      </c>
      <c r="G60" s="31">
        <v>93.9</v>
      </c>
      <c r="H60" s="32">
        <f t="shared" ref="H60:H63" si="27">IF(ISNUMBER(G60), (G60 - $B60) / $B60, "")</f>
        <v>1.6233766233766232E-2</v>
      </c>
      <c r="I60" s="101">
        <f>IF(ISNUMBER(G60), $B64 * H60, "")</f>
        <v>4870.1298701298692</v>
      </c>
      <c r="J60" s="15">
        <v>96</v>
      </c>
      <c r="K60" s="32">
        <f t="shared" ref="K60:K63" si="28">IF(ISNUMBER(J60), (J60 - $B60) / $B60, "")</f>
        <v>3.8961038961038898E-2</v>
      </c>
      <c r="L60" s="18">
        <f>IF(ISNUMBER(J60), $B64 * K60, "")</f>
        <v>11688.311688311669</v>
      </c>
      <c r="M60" s="31">
        <v>96.1</v>
      </c>
      <c r="N60" s="32">
        <f t="shared" ref="N60:N63" si="29">IF(ISNUMBER(M60), (M60 - $B60) / $B60, "")</f>
        <v>4.0043290043289916E-2</v>
      </c>
      <c r="O60" s="18">
        <f>IF(ISNUMBER(M60), $B64 * N60, "")</f>
        <v>12012.987012986974</v>
      </c>
      <c r="Q60" s="174"/>
      <c r="R60" s="174"/>
      <c r="S60" s="174"/>
    </row>
    <row r="61" spans="1:19" ht="17.25" customHeight="1" thickBot="1">
      <c r="A61" s="17" t="s">
        <v>65</v>
      </c>
      <c r="B61" s="15">
        <v>77.5</v>
      </c>
      <c r="C61" s="32">
        <v>-4.6740467399999999E-2</v>
      </c>
      <c r="D61" s="15">
        <v>76.7</v>
      </c>
      <c r="E61" s="32">
        <f t="shared" si="26"/>
        <v>-1.0322580645161254E-2</v>
      </c>
      <c r="F61" s="18">
        <f>IF(ISNUMBER(D61), $B64 * E61, "")</f>
        <v>-3096.7741935483764</v>
      </c>
      <c r="G61" s="31">
        <v>76</v>
      </c>
      <c r="H61" s="32">
        <f t="shared" si="27"/>
        <v>-1.935483870967742E-2</v>
      </c>
      <c r="I61" s="101">
        <f>IF(ISNUMBER(G61), $B64 * H61, "")</f>
        <v>-5806.4516129032263</v>
      </c>
      <c r="J61" s="15">
        <v>75.599999999999994</v>
      </c>
      <c r="K61" s="32">
        <f t="shared" si="28"/>
        <v>-2.4516129032258138E-2</v>
      </c>
      <c r="L61" s="18">
        <f>IF(ISNUMBER(J61), $B64 * K61, "")</f>
        <v>-7354.8387096774413</v>
      </c>
      <c r="M61" s="31">
        <v>75.8</v>
      </c>
      <c r="N61" s="32">
        <f t="shared" si="29"/>
        <v>-2.1935483870967779E-2</v>
      </c>
      <c r="O61" s="18">
        <f>IF(ISNUMBER(M61), $B64 * N61, "")</f>
        <v>-6580.6451612903338</v>
      </c>
      <c r="Q61" s="174"/>
      <c r="R61" s="174"/>
      <c r="S61" s="174"/>
    </row>
    <row r="62" spans="1:19" ht="17.25" customHeight="1">
      <c r="A62" s="17" t="s">
        <v>126</v>
      </c>
      <c r="B62" s="15">
        <v>70.7</v>
      </c>
      <c r="C62" s="32">
        <v>-4.9731182800000003E-2</v>
      </c>
      <c r="D62" s="15">
        <v>68</v>
      </c>
      <c r="E62" s="32">
        <f t="shared" si="26"/>
        <v>-3.8189533239038231E-2</v>
      </c>
      <c r="F62" s="18">
        <f>IF(ISNUMBER(D62), $B64 * E62, "")</f>
        <v>-11456.85997171147</v>
      </c>
      <c r="G62" s="31">
        <v>68</v>
      </c>
      <c r="H62" s="32">
        <f t="shared" si="27"/>
        <v>-3.8189533239038231E-2</v>
      </c>
      <c r="I62" s="101">
        <f>IF(ISNUMBER(G62), $B64 * H62, "")</f>
        <v>-11456.85997171147</v>
      </c>
      <c r="J62" s="15">
        <v>68.5</v>
      </c>
      <c r="K62" s="32">
        <f t="shared" si="28"/>
        <v>-3.1117397454031158E-2</v>
      </c>
      <c r="L62" s="18">
        <f>IF(ISNUMBER(J62), $B64 * K62, "")</f>
        <v>-9335.2192362093465</v>
      </c>
      <c r="M62" s="31">
        <v>68.7</v>
      </c>
      <c r="N62" s="32">
        <f t="shared" si="29"/>
        <v>-2.8288543140028287E-2</v>
      </c>
      <c r="O62" s="18">
        <f>IF(ISNUMBER(M62), $B64 * N62, "")</f>
        <v>-8486.5629420084861</v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-1.594483220477585E-3</v>
      </c>
      <c r="F64" s="28">
        <f>SUM(F44:F63)</f>
        <v>-9088.5543567222303</v>
      </c>
      <c r="G64" s="26" t="s">
        <v>302</v>
      </c>
      <c r="H64" s="27">
        <f>IF(COUNT(H44:H63), SUM(H44:H63) / COUNT(H44:H63), 0)</f>
        <v>-1.666929022124089E-3</v>
      </c>
      <c r="I64" s="28">
        <f>SUM(I44:I63)</f>
        <v>-9501.4954261073035</v>
      </c>
      <c r="J64" s="26" t="s">
        <v>302</v>
      </c>
      <c r="K64" s="27">
        <f>IF(COUNT(K44:K63), SUM(K44:K63) / COUNT(K44:K63), 0)</f>
        <v>4.437281425962906E-3</v>
      </c>
      <c r="L64" s="28">
        <f>SUM(L44:L63)</f>
        <v>25292.50412798857</v>
      </c>
      <c r="M64" s="26" t="s">
        <v>302</v>
      </c>
      <c r="N64" s="27">
        <f>IF(COUNT(N44:N63), SUM(N44:N63) / COUNT(N44:N63), 0)</f>
        <v>1.1216465471141364E-2</v>
      </c>
      <c r="O64" s="28">
        <f>SUM(O44:O63)</f>
        <v>63933.853185505781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2021-05-02(일) 오전 00:00</v>
      </c>
      <c r="C69" s="197"/>
      <c r="D69" s="198" t="str">
        <f>TEXT($G$1, "[$-ko-KR]yyyy-mm-dd(ddd) ") &amp; "오후 14:00"</f>
        <v>2021-05-02(일) 오후 14:00</v>
      </c>
      <c r="E69" s="199"/>
      <c r="F69" s="200"/>
      <c r="G69" s="198" t="str">
        <f>TEXT($G$1, "[$-ko-KR]yyyy-mm-dd(ddd) ") &amp; "오후 19:00"</f>
        <v>2021-05-02(일) 오후 19:00</v>
      </c>
      <c r="H69" s="199"/>
      <c r="I69" s="200"/>
      <c r="J69" s="198" t="str">
        <f>TEXT($G$1, "[$-ko-KR]yyyy-mm-dd(ddd) ") &amp; "오후 21:00"</f>
        <v>2021-05-02(일) 오후 21:00</v>
      </c>
      <c r="K69" s="199"/>
      <c r="L69" s="200"/>
      <c r="M69" s="198" t="str">
        <f>TEXT($G$1+1, "[$-ko-KR]yyyy-mm-dd(ddd) ") &amp; "오전 00:00"</f>
        <v>2021-05-03(월)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250</v>
      </c>
      <c r="B71" s="13">
        <v>255</v>
      </c>
      <c r="C71" s="14">
        <v>0.10869565220000001</v>
      </c>
      <c r="D71" s="13">
        <v>240</v>
      </c>
      <c r="E71" s="14">
        <f>IF(ISNUMBER(D71), (D71 - $B71) / $B71, "")</f>
        <v>-5.8823529411764705E-2</v>
      </c>
      <c r="F71" s="16">
        <f>IF(ISNUMBER(D71), $B91 * E71, "")</f>
        <v>-17647.058823529413</v>
      </c>
      <c r="G71" s="29">
        <v>241</v>
      </c>
      <c r="H71" s="14">
        <f>IF(ISNUMBER(G71), (G71 - $B71) / $B71, "")</f>
        <v>-5.4901960784313725E-2</v>
      </c>
      <c r="I71" s="100">
        <f>IF(ISNUMBER(G71), $B91 * H71, "")</f>
        <v>-16470.588235294119</v>
      </c>
      <c r="J71" s="13">
        <v>242</v>
      </c>
      <c r="K71" s="14">
        <f>IF(ISNUMBER(J71), (J71 - $B71) / $B71, "")</f>
        <v>-5.0980392156862744E-2</v>
      </c>
      <c r="L71" s="16">
        <f>IF(ISNUMBER(J71), $B91 * K71, "")</f>
        <v>-15294.117647058823</v>
      </c>
      <c r="M71" s="29">
        <v>242</v>
      </c>
      <c r="N71" s="14">
        <f>IF(ISNUMBER(M71), (M71 - $B71) / $B71, "")</f>
        <v>-5.0980392156862744E-2</v>
      </c>
      <c r="O71" s="16">
        <f>IF(ISNUMBER(M71), $B91 * N71, "")</f>
        <v>-15294.117647058823</v>
      </c>
      <c r="Q71" s="184"/>
      <c r="R71" s="184"/>
      <c r="S71" s="184"/>
    </row>
    <row r="72" spans="1:19" ht="17.25" thickBot="1">
      <c r="A72" s="17" t="s">
        <v>216</v>
      </c>
      <c r="B72" s="15">
        <v>501</v>
      </c>
      <c r="C72" s="32">
        <v>0.1035242291</v>
      </c>
      <c r="D72" s="15">
        <v>476</v>
      </c>
      <c r="E72" s="32">
        <f t="shared" ref="E72:E75" si="30">IF(ISNUMBER(D72), (D72 - $B72) / $B72, "")</f>
        <v>-4.9900199600798403E-2</v>
      </c>
      <c r="F72" s="18">
        <f>IF(ISNUMBER(D72), $B91 * E72, "")</f>
        <v>-14970.059880239522</v>
      </c>
      <c r="G72" s="31">
        <v>476</v>
      </c>
      <c r="H72" s="32">
        <f t="shared" ref="H72:H75" si="31">IF(ISNUMBER(G72), (G72 - $B72) / $B72, "")</f>
        <v>-4.9900199600798403E-2</v>
      </c>
      <c r="I72" s="101">
        <f>IF(ISNUMBER(G72), $B91 * H72, "")</f>
        <v>-14970.059880239522</v>
      </c>
      <c r="J72" s="15">
        <v>477</v>
      </c>
      <c r="K72" s="32">
        <f t="shared" ref="K72:K75" si="32">IF(ISNUMBER(J72), (J72 - $B72) / $B72, "")</f>
        <v>-4.790419161676647E-2</v>
      </c>
      <c r="L72" s="18">
        <f>IF(ISNUMBER(J72), $B91 * K72, "")</f>
        <v>-14371.257485029941</v>
      </c>
      <c r="M72" s="31">
        <v>477</v>
      </c>
      <c r="N72" s="32">
        <f t="shared" ref="N72:N75" si="33">IF(ISNUMBER(M72), (M72 - $B72) / $B72, "")</f>
        <v>-4.790419161676647E-2</v>
      </c>
      <c r="O72" s="18">
        <f>IF(ISNUMBER(M72), $B91 * N72, "")</f>
        <v>-14371.257485029941</v>
      </c>
      <c r="Q72" s="184"/>
      <c r="R72" s="184"/>
      <c r="S72" s="184"/>
    </row>
    <row r="73" spans="1:19" ht="17.25" thickBot="1">
      <c r="A73" s="17" t="s">
        <v>232</v>
      </c>
      <c r="B73" s="15">
        <v>202</v>
      </c>
      <c r="C73" s="32">
        <v>8.6021505400000003E-2</v>
      </c>
      <c r="D73" s="15">
        <v>194</v>
      </c>
      <c r="E73" s="32">
        <f t="shared" si="30"/>
        <v>-3.9603960396039604E-2</v>
      </c>
      <c r="F73" s="18">
        <f>IF(ISNUMBER(D73), $B91 * E73, "")</f>
        <v>-11881.18811881188</v>
      </c>
      <c r="G73" s="31">
        <v>194</v>
      </c>
      <c r="H73" s="32">
        <f t="shared" si="31"/>
        <v>-3.9603960396039604E-2</v>
      </c>
      <c r="I73" s="101">
        <f>IF(ISNUMBER(G73), $B91 * H73, "")</f>
        <v>-11881.18811881188</v>
      </c>
      <c r="J73" s="15">
        <v>194</v>
      </c>
      <c r="K73" s="32">
        <f t="shared" si="32"/>
        <v>-3.9603960396039604E-2</v>
      </c>
      <c r="L73" s="18">
        <f>IF(ISNUMBER(J73), $B91 * K73, "")</f>
        <v>-11881.18811881188</v>
      </c>
      <c r="M73" s="31">
        <v>196</v>
      </c>
      <c r="N73" s="32">
        <f t="shared" si="33"/>
        <v>-2.9702970297029702E-2</v>
      </c>
      <c r="O73" s="18">
        <f>IF(ISNUMBER(M73), $B91 * N73, "")</f>
        <v>-8910.8910891089108</v>
      </c>
      <c r="Q73" s="174"/>
      <c r="R73" s="174"/>
      <c r="S73" s="174"/>
    </row>
    <row r="74" spans="1:19" ht="17.25" thickBot="1">
      <c r="A74" s="17" t="s">
        <v>296</v>
      </c>
      <c r="B74" s="15">
        <v>427</v>
      </c>
      <c r="C74" s="32">
        <v>7.2864321600000004E-2</v>
      </c>
      <c r="D74" s="15">
        <v>456</v>
      </c>
      <c r="E74" s="32">
        <f t="shared" si="30"/>
        <v>6.7915690866510545E-2</v>
      </c>
      <c r="F74" s="18">
        <f>IF(ISNUMBER(D74), $B91 * E74, "")</f>
        <v>20374.707259953164</v>
      </c>
      <c r="G74" s="31">
        <v>457</v>
      </c>
      <c r="H74" s="32">
        <f t="shared" si="31"/>
        <v>7.0257611241217793E-2</v>
      </c>
      <c r="I74" s="101">
        <f>IF(ISNUMBER(G74), $B91 * H74, "")</f>
        <v>21077.283372365338</v>
      </c>
      <c r="J74" s="15">
        <v>455</v>
      </c>
      <c r="K74" s="32">
        <f t="shared" si="32"/>
        <v>6.5573770491803282E-2</v>
      </c>
      <c r="L74" s="18">
        <f>IF(ISNUMBER(J74), $B91 * K74, "")</f>
        <v>19672.131147540986</v>
      </c>
      <c r="M74" s="31">
        <v>454</v>
      </c>
      <c r="N74" s="32">
        <f t="shared" si="33"/>
        <v>6.323185011709602E-2</v>
      </c>
      <c r="O74" s="18">
        <f>IF(ISNUMBER(M74), $B91 * N74, "")</f>
        <v>18969.555035128808</v>
      </c>
      <c r="Q74" s="174"/>
      <c r="R74" s="174"/>
      <c r="S74" s="174"/>
    </row>
    <row r="75" spans="1:19" ht="17.25" thickBot="1">
      <c r="A75" s="19" t="s">
        <v>54</v>
      </c>
      <c r="B75" s="20">
        <v>369</v>
      </c>
      <c r="C75" s="21">
        <v>4.5325778999999997E-2</v>
      </c>
      <c r="D75" s="20">
        <v>369</v>
      </c>
      <c r="E75" s="21">
        <f t="shared" si="30"/>
        <v>0</v>
      </c>
      <c r="F75" s="22">
        <f>IF(ISNUMBER(D75), $B91 * E75, "")</f>
        <v>0</v>
      </c>
      <c r="G75" s="30">
        <v>378</v>
      </c>
      <c r="H75" s="21">
        <f t="shared" si="31"/>
        <v>2.4390243902439025E-2</v>
      </c>
      <c r="I75" s="105">
        <f>IF(ISNUMBER(G75), $B91 * H75, "")</f>
        <v>7317.0731707317073</v>
      </c>
      <c r="J75" s="20">
        <v>381</v>
      </c>
      <c r="K75" s="21">
        <f t="shared" si="32"/>
        <v>3.2520325203252036E-2</v>
      </c>
      <c r="L75" s="22">
        <f>IF(ISNUMBER(J75), $B91 * K75, "")</f>
        <v>9756.0975609756115</v>
      </c>
      <c r="M75" s="30">
        <v>393</v>
      </c>
      <c r="N75" s="21">
        <f t="shared" si="33"/>
        <v>6.5040650406504072E-2</v>
      </c>
      <c r="O75" s="22">
        <f>IF(ISNUMBER(M75), $B91 * N75, "")</f>
        <v>19512.195121951223</v>
      </c>
      <c r="Q75" s="174"/>
      <c r="R75" s="174"/>
      <c r="S75" s="174"/>
    </row>
    <row r="76" spans="1:19" ht="17.25" thickBot="1">
      <c r="A76" s="17" t="s">
        <v>226</v>
      </c>
      <c r="B76" s="106">
        <v>563</v>
      </c>
      <c r="C76" s="107">
        <v>3.8745387499999999E-2</v>
      </c>
      <c r="D76" s="106">
        <v>539</v>
      </c>
      <c r="E76" s="107">
        <f>IF(ISNUMBER(D76), (D76 - $B76) / $B76, "")</f>
        <v>-4.2628774422735348E-2</v>
      </c>
      <c r="F76" s="108">
        <f>IF(ISNUMBER(D76), $B91 * E76, "")</f>
        <v>-12788.632326820605</v>
      </c>
      <c r="G76" s="109">
        <v>535</v>
      </c>
      <c r="H76" s="107">
        <f>IF(ISNUMBER(G76), (G76 - $B76) / $B76, "")</f>
        <v>-4.9733570159857902E-2</v>
      </c>
      <c r="I76" s="110">
        <f>IF(ISNUMBER(G76), $B91 * H76, "")</f>
        <v>-14920.07104795737</v>
      </c>
      <c r="J76" s="106">
        <v>541</v>
      </c>
      <c r="K76" s="107">
        <f>IF(ISNUMBER(J76), (J76 - $B76) / $B76, "")</f>
        <v>-3.9076376554174071E-2</v>
      </c>
      <c r="L76" s="108">
        <f>IF(ISNUMBER(J76), $B91 * K76, "")</f>
        <v>-11722.912966252221</v>
      </c>
      <c r="M76" s="109">
        <v>543</v>
      </c>
      <c r="N76" s="107">
        <f>IF(ISNUMBER(M76), (M76 - $B76) / $B76, "")</f>
        <v>-3.5523978685612786E-2</v>
      </c>
      <c r="O76" s="108">
        <f>IF(ISNUMBER(M76), $B91 * N76, "")</f>
        <v>-10657.193605683837</v>
      </c>
      <c r="Q76" s="174"/>
      <c r="R76" s="174"/>
      <c r="S76" s="174"/>
    </row>
    <row r="77" spans="1:19" ht="17.25" thickBot="1">
      <c r="A77" s="17" t="s">
        <v>212</v>
      </c>
      <c r="B77" s="15">
        <v>164</v>
      </c>
      <c r="C77" s="32">
        <v>3.7974683500000002E-2</v>
      </c>
      <c r="D77" s="15">
        <v>177</v>
      </c>
      <c r="E77" s="32">
        <f t="shared" ref="E77:E80" si="34">IF(ISNUMBER(D77), (D77 - $B77) / $B77, "")</f>
        <v>7.926829268292683E-2</v>
      </c>
      <c r="F77" s="18">
        <f>IF(ISNUMBER(D77), $B91 * E77, "")</f>
        <v>23780.487804878048</v>
      </c>
      <c r="G77" s="31">
        <v>176</v>
      </c>
      <c r="H77" s="32">
        <f t="shared" ref="H77:H80" si="35">IF(ISNUMBER(G77), (G77 - $B77) / $B77, "")</f>
        <v>7.3170731707317069E-2</v>
      </c>
      <c r="I77" s="101">
        <f>IF(ISNUMBER(G77), $B91 * H77, "")</f>
        <v>21951.219512195119</v>
      </c>
      <c r="J77" s="15">
        <v>179</v>
      </c>
      <c r="K77" s="32">
        <f t="shared" ref="K77:K80" si="36">IF(ISNUMBER(J77), (J77 - $B77) / $B77, "")</f>
        <v>9.1463414634146339E-2</v>
      </c>
      <c r="L77" s="18">
        <f>IF(ISNUMBER(J77), $B91 * K77, "")</f>
        <v>27439.024390243903</v>
      </c>
      <c r="M77" s="31">
        <v>181</v>
      </c>
      <c r="N77" s="32">
        <f t="shared" ref="N77:N80" si="37">IF(ISNUMBER(M77), (M77 - $B77) / $B77, "")</f>
        <v>0.10365853658536585</v>
      </c>
      <c r="O77" s="18">
        <f>IF(ISNUMBER(M77), $B91 * N77, "")</f>
        <v>31097.560975609755</v>
      </c>
      <c r="Q77" s="174"/>
      <c r="R77" s="174"/>
      <c r="S77" s="174"/>
    </row>
    <row r="78" spans="1:19" ht="17.25" thickBot="1">
      <c r="A78" s="17" t="s">
        <v>136</v>
      </c>
      <c r="B78" s="15">
        <v>250</v>
      </c>
      <c r="C78" s="32">
        <v>3.3057851200000002E-2</v>
      </c>
      <c r="D78" s="15">
        <v>245</v>
      </c>
      <c r="E78" s="32">
        <f t="shared" si="34"/>
        <v>-0.02</v>
      </c>
      <c r="F78" s="18">
        <f>IF(ISNUMBER(D78), $B91 * E78, "")</f>
        <v>-6000</v>
      </c>
      <c r="G78" s="31">
        <v>244</v>
      </c>
      <c r="H78" s="32">
        <f t="shared" si="35"/>
        <v>-2.4E-2</v>
      </c>
      <c r="I78" s="101">
        <f>IF(ISNUMBER(G78), $B91 * H78, "")</f>
        <v>-7200</v>
      </c>
      <c r="J78" s="15">
        <v>246</v>
      </c>
      <c r="K78" s="32">
        <f t="shared" si="36"/>
        <v>-1.6E-2</v>
      </c>
      <c r="L78" s="18">
        <f>IF(ISNUMBER(J78), $B91 * K78, "")</f>
        <v>-4800</v>
      </c>
      <c r="M78" s="31">
        <v>246</v>
      </c>
      <c r="N78" s="32">
        <f t="shared" si="37"/>
        <v>-1.6E-2</v>
      </c>
      <c r="O78" s="18">
        <f>IF(ISNUMBER(M78), $B91 * N78, "")</f>
        <v>-4800</v>
      </c>
      <c r="Q78" s="174"/>
      <c r="R78" s="174"/>
      <c r="S78" s="174"/>
    </row>
    <row r="79" spans="1:19" ht="17.25" thickBot="1">
      <c r="A79" s="17" t="s">
        <v>122</v>
      </c>
      <c r="B79" s="15">
        <v>126</v>
      </c>
      <c r="C79" s="32">
        <v>3.2786885199999997E-2</v>
      </c>
      <c r="D79" s="15">
        <v>129</v>
      </c>
      <c r="E79" s="32">
        <f t="shared" si="34"/>
        <v>2.3809523809523808E-2</v>
      </c>
      <c r="F79" s="18">
        <f>IF(ISNUMBER(D79), $B91 * E79, "")</f>
        <v>7142.8571428571422</v>
      </c>
      <c r="G79" s="31">
        <v>129</v>
      </c>
      <c r="H79" s="32">
        <f t="shared" si="35"/>
        <v>2.3809523809523808E-2</v>
      </c>
      <c r="I79" s="101">
        <f>IF(ISNUMBER(G79), $B91 * H79, "")</f>
        <v>7142.8571428571422</v>
      </c>
      <c r="J79" s="15">
        <v>130</v>
      </c>
      <c r="K79" s="32">
        <f t="shared" si="36"/>
        <v>3.1746031746031744E-2</v>
      </c>
      <c r="L79" s="18">
        <f>IF(ISNUMBER(J79), $B91 * K79, "")</f>
        <v>9523.8095238095229</v>
      </c>
      <c r="M79" s="31">
        <v>130</v>
      </c>
      <c r="N79" s="32">
        <f t="shared" si="37"/>
        <v>3.1746031746031744E-2</v>
      </c>
      <c r="O79" s="18">
        <f>IF(ISNUMBER(M79), $B91 * N79, "")</f>
        <v>9523.8095238095229</v>
      </c>
      <c r="Q79" s="33"/>
      <c r="R79" s="33"/>
    </row>
    <row r="80" spans="1:19" ht="17.25" thickBot="1">
      <c r="A80" s="23" t="s">
        <v>128</v>
      </c>
      <c r="B80" s="24">
        <v>637</v>
      </c>
      <c r="C80" s="25">
        <v>1.9199999999999998E-2</v>
      </c>
      <c r="D80" s="24">
        <v>621</v>
      </c>
      <c r="E80" s="25">
        <f t="shared" si="34"/>
        <v>-2.5117739403453691E-2</v>
      </c>
      <c r="F80" s="104">
        <f>IF(ISNUMBER(D80), $B91 * E80, "")</f>
        <v>-7535.3218210361074</v>
      </c>
      <c r="G80" s="102">
        <v>619</v>
      </c>
      <c r="H80" s="25">
        <f t="shared" si="35"/>
        <v>-2.8257456828885402E-2</v>
      </c>
      <c r="I80" s="103">
        <f>IF(ISNUMBER(G80), $B91 * H80, "")</f>
        <v>-8477.23704866562</v>
      </c>
      <c r="J80" s="24">
        <v>623</v>
      </c>
      <c r="K80" s="25">
        <f t="shared" si="36"/>
        <v>-2.197802197802198E-2</v>
      </c>
      <c r="L80" s="104">
        <f>IF(ISNUMBER(J80), $B91 * K80, "")</f>
        <v>-6593.4065934065939</v>
      </c>
      <c r="M80" s="102">
        <v>626</v>
      </c>
      <c r="N80" s="25">
        <f t="shared" si="37"/>
        <v>-1.726844583987441E-2</v>
      </c>
      <c r="O80" s="104">
        <f>IF(ISNUMBER(M80), $B91 * N80, "")</f>
        <v>-5180.5337519623226</v>
      </c>
      <c r="Q80" s="175"/>
      <c r="R80" s="176"/>
      <c r="S80" s="177"/>
    </row>
    <row r="81" spans="1:19">
      <c r="A81" s="12" t="s">
        <v>142</v>
      </c>
      <c r="B81" s="13">
        <v>428</v>
      </c>
      <c r="C81" s="14">
        <v>1.6627078399999998E-2</v>
      </c>
      <c r="D81" s="13">
        <v>418</v>
      </c>
      <c r="E81" s="14">
        <f>IF(ISNUMBER(D81), (D81 - $B81) / $B81, "")</f>
        <v>-2.336448598130841E-2</v>
      </c>
      <c r="F81" s="16">
        <f>IF(ISNUMBER(D81), $B91 * E81, "")</f>
        <v>-7009.3457943925232</v>
      </c>
      <c r="G81" s="29">
        <v>419</v>
      </c>
      <c r="H81" s="14">
        <f>IF(ISNUMBER(G81), (G81 - $B81) / $B81, "")</f>
        <v>-2.1028037383177569E-2</v>
      </c>
      <c r="I81" s="100">
        <f>IF(ISNUMBER(G81), $B91 * H81, "")</f>
        <v>-6308.4112149532702</v>
      </c>
      <c r="J81" s="13">
        <v>421</v>
      </c>
      <c r="K81" s="14">
        <f>IF(ISNUMBER(J81), (J81 - $B81) / $B81, "")</f>
        <v>-1.6355140186915886E-2</v>
      </c>
      <c r="L81" s="16">
        <f>IF(ISNUMBER(J81), $B91 * K81, "")</f>
        <v>-4906.5420560747662</v>
      </c>
      <c r="M81" s="29">
        <v>424</v>
      </c>
      <c r="N81" s="14">
        <f>IF(ISNUMBER(M81), (M81 - $B81) / $B81, "")</f>
        <v>-9.3457943925233638E-3</v>
      </c>
      <c r="O81" s="16">
        <f>IF(ISNUMBER(M81), $B91 * N81, "")</f>
        <v>-2803.7383177570091</v>
      </c>
      <c r="Q81" s="178"/>
      <c r="R81" s="179"/>
      <c r="S81" s="180"/>
    </row>
    <row r="82" spans="1:19" ht="17.25" thickBot="1">
      <c r="A82" s="17" t="s">
        <v>182</v>
      </c>
      <c r="B82" s="15">
        <v>497</v>
      </c>
      <c r="C82" s="32">
        <v>8.1135902999999992E-3</v>
      </c>
      <c r="D82" s="15">
        <v>487</v>
      </c>
      <c r="E82" s="32">
        <f t="shared" ref="E82:E85" si="38">IF(ISNUMBER(D82), (D82 - $B82) / $B82, "")</f>
        <v>-2.0120724346076459E-2</v>
      </c>
      <c r="F82" s="18">
        <f>IF(ISNUMBER(D82), $B91 * E82, "")</f>
        <v>-6036.2173038229375</v>
      </c>
      <c r="G82" s="31">
        <v>488</v>
      </c>
      <c r="H82" s="32">
        <f t="shared" ref="H82:H85" si="39">IF(ISNUMBER(G82), (G82 - $B82) / $B82, "")</f>
        <v>-1.8108651911468814E-2</v>
      </c>
      <c r="I82" s="101">
        <f>IF(ISNUMBER(G82), $B91 * H82, "")</f>
        <v>-5432.5955734406443</v>
      </c>
      <c r="J82" s="15">
        <v>489</v>
      </c>
      <c r="K82" s="32">
        <f t="shared" ref="K82:K85" si="40">IF(ISNUMBER(J82), (J82 - $B82) / $B82, "")</f>
        <v>-1.6096579476861168E-2</v>
      </c>
      <c r="L82" s="18">
        <f>IF(ISNUMBER(J82), $B91 * K82, "")</f>
        <v>-4828.9738430583502</v>
      </c>
      <c r="M82" s="31">
        <v>494</v>
      </c>
      <c r="N82" s="32">
        <f t="shared" ref="N82:N85" si="41">IF(ISNUMBER(M82), (M82 - $B82) / $B82, "")</f>
        <v>-6.0362173038229373E-3</v>
      </c>
      <c r="O82" s="18">
        <f>IF(ISNUMBER(M82), $B91 * N82, "")</f>
        <v>-1810.8651911468812</v>
      </c>
      <c r="Q82" s="181"/>
      <c r="R82" s="182"/>
      <c r="S82" s="183"/>
    </row>
    <row r="83" spans="1:19" ht="17.25" thickBot="1">
      <c r="A83" s="17" t="s">
        <v>168</v>
      </c>
      <c r="B83" s="15">
        <v>205</v>
      </c>
      <c r="C83" s="32">
        <v>0</v>
      </c>
      <c r="D83" s="15">
        <v>205</v>
      </c>
      <c r="E83" s="32">
        <f t="shared" si="38"/>
        <v>0</v>
      </c>
      <c r="F83" s="18">
        <f>IF(ISNUMBER(D83), $B91 * E83, "")</f>
        <v>0</v>
      </c>
      <c r="G83" s="31">
        <v>205</v>
      </c>
      <c r="H83" s="32">
        <f t="shared" si="39"/>
        <v>0</v>
      </c>
      <c r="I83" s="101">
        <f>IF(ISNUMBER(G83), $B91 * H83, "")</f>
        <v>0</v>
      </c>
      <c r="J83" s="15">
        <v>205</v>
      </c>
      <c r="K83" s="32">
        <f t="shared" si="40"/>
        <v>0</v>
      </c>
      <c r="L83" s="18">
        <f>IF(ISNUMBER(J83), $B91 * K83, "")</f>
        <v>0</v>
      </c>
      <c r="M83" s="31">
        <v>207</v>
      </c>
      <c r="N83" s="32">
        <f t="shared" si="41"/>
        <v>9.7560975609756097E-3</v>
      </c>
      <c r="O83" s="18">
        <f>IF(ISNUMBER(M83), $B91 * N83, "")</f>
        <v>2926.8292682926831</v>
      </c>
      <c r="Q83" s="174"/>
      <c r="R83" s="174"/>
      <c r="S83" s="174"/>
    </row>
    <row r="84" spans="1:19" ht="17.25" thickBot="1">
      <c r="A84" s="17" t="s">
        <v>240</v>
      </c>
      <c r="B84" s="15">
        <v>214</v>
      </c>
      <c r="C84" s="32">
        <v>0</v>
      </c>
      <c r="D84" s="15">
        <v>207</v>
      </c>
      <c r="E84" s="32">
        <f t="shared" si="38"/>
        <v>-3.2710280373831772E-2</v>
      </c>
      <c r="F84" s="18">
        <f>IF(ISNUMBER(D84), $B91 * E84, "")</f>
        <v>-9813.0841121495323</v>
      </c>
      <c r="G84" s="31">
        <v>207</v>
      </c>
      <c r="H84" s="32">
        <f t="shared" si="39"/>
        <v>-3.2710280373831772E-2</v>
      </c>
      <c r="I84" s="101">
        <f>IF(ISNUMBER(G84), $B91 * H84, "")</f>
        <v>-9813.0841121495323</v>
      </c>
      <c r="J84" s="15">
        <v>210</v>
      </c>
      <c r="K84" s="32">
        <f t="shared" si="40"/>
        <v>-1.8691588785046728E-2</v>
      </c>
      <c r="L84" s="18">
        <f>IF(ISNUMBER(J84), $B91 * K84, "")</f>
        <v>-5607.4766355140182</v>
      </c>
      <c r="M84" s="31">
        <v>210</v>
      </c>
      <c r="N84" s="32">
        <f t="shared" si="41"/>
        <v>-1.8691588785046728E-2</v>
      </c>
      <c r="O84" s="18">
        <f>IF(ISNUMBER(M84), $B91 * N84, "")</f>
        <v>-5607.4766355140182</v>
      </c>
      <c r="Q84" s="184"/>
      <c r="R84" s="184"/>
      <c r="S84" s="184"/>
    </row>
    <row r="85" spans="1:19" ht="17.25" thickBot="1">
      <c r="A85" s="19" t="s">
        <v>148</v>
      </c>
      <c r="B85" s="20">
        <v>209</v>
      </c>
      <c r="C85" s="21">
        <v>0</v>
      </c>
      <c r="D85" s="20">
        <v>207</v>
      </c>
      <c r="E85" s="21">
        <f t="shared" si="38"/>
        <v>-9.5693779904306216E-3</v>
      </c>
      <c r="F85" s="22">
        <f>IF(ISNUMBER(D85), $B91 * E85, "")</f>
        <v>-2870.8133971291863</v>
      </c>
      <c r="G85" s="30">
        <v>206</v>
      </c>
      <c r="H85" s="21">
        <f t="shared" si="39"/>
        <v>-1.4354066985645933E-2</v>
      </c>
      <c r="I85" s="105">
        <f>IF(ISNUMBER(G85), $B91 * H85, "")</f>
        <v>-4306.2200956937804</v>
      </c>
      <c r="J85" s="20">
        <v>207</v>
      </c>
      <c r="K85" s="21">
        <f t="shared" si="40"/>
        <v>-9.5693779904306216E-3</v>
      </c>
      <c r="L85" s="22">
        <f>IF(ISNUMBER(J85), $B91 * K85, "")</f>
        <v>-2870.8133971291863</v>
      </c>
      <c r="M85" s="30">
        <v>207</v>
      </c>
      <c r="N85" s="21">
        <f t="shared" si="41"/>
        <v>-9.5693779904306216E-3</v>
      </c>
      <c r="O85" s="22">
        <f>IF(ISNUMBER(M85), $B91 * N85, "")</f>
        <v>-2870.8133971291863</v>
      </c>
      <c r="Q85" s="184"/>
      <c r="R85" s="184"/>
      <c r="S85" s="184"/>
    </row>
    <row r="86" spans="1:19" ht="17.25" thickBot="1">
      <c r="A86" s="17" t="s">
        <v>120</v>
      </c>
      <c r="B86" s="106">
        <v>230</v>
      </c>
      <c r="C86" s="107">
        <v>0</v>
      </c>
      <c r="D86" s="106">
        <v>228</v>
      </c>
      <c r="E86" s="107">
        <f>IF(ISNUMBER(D86), (D86 - $B86) / $B86, "")</f>
        <v>-8.6956521739130436E-3</v>
      </c>
      <c r="F86" s="108">
        <f>IF(ISNUMBER(D86), $B91 * E86, "")</f>
        <v>-2608.695652173913</v>
      </c>
      <c r="G86" s="109">
        <v>227</v>
      </c>
      <c r="H86" s="107">
        <f>IF(ISNUMBER(G86), (G86 - $B86) / $B86, "")</f>
        <v>-1.3043478260869565E-2</v>
      </c>
      <c r="I86" s="110">
        <f>IF(ISNUMBER(G86), $B91 * H86, "")</f>
        <v>-3913.0434782608695</v>
      </c>
      <c r="J86" s="106">
        <v>227</v>
      </c>
      <c r="K86" s="107">
        <f>IF(ISNUMBER(J86), (J86 - $B86) / $B86, "")</f>
        <v>-1.3043478260869565E-2</v>
      </c>
      <c r="L86" s="108">
        <f>IF(ISNUMBER(J86), $B91 * K86, "")</f>
        <v>-3913.0434782608695</v>
      </c>
      <c r="M86" s="109">
        <v>226</v>
      </c>
      <c r="N86" s="107">
        <f>IF(ISNUMBER(M86), (M86 - $B86) / $B86, "")</f>
        <v>-1.7391304347826087E-2</v>
      </c>
      <c r="O86" s="108">
        <f>IF(ISNUMBER(M86), $B91 * N86, "")</f>
        <v>-5217.391304347826</v>
      </c>
      <c r="Q86" s="174"/>
      <c r="R86" s="174"/>
      <c r="S86" s="174"/>
    </row>
    <row r="87" spans="1:19" ht="17.25" thickBot="1">
      <c r="A87" s="17" t="s">
        <v>230</v>
      </c>
      <c r="B87" s="15">
        <v>186</v>
      </c>
      <c r="C87" s="32">
        <v>0</v>
      </c>
      <c r="D87" s="15">
        <v>190</v>
      </c>
      <c r="E87" s="32">
        <f t="shared" ref="E87:E90" si="42">IF(ISNUMBER(D87), (D87 - $B87) / $B87, "")</f>
        <v>2.1505376344086023E-2</v>
      </c>
      <c r="F87" s="18">
        <f>IF(ISNUMBER(D87), $B91 * E87, "")</f>
        <v>6451.6129032258068</v>
      </c>
      <c r="G87" s="31">
        <v>191</v>
      </c>
      <c r="H87" s="32">
        <f t="shared" ref="H87:H90" si="43">IF(ISNUMBER(G87), (G87 - $B87) / $B87, "")</f>
        <v>2.6881720430107527E-2</v>
      </c>
      <c r="I87" s="101">
        <f>IF(ISNUMBER(G87), $B91 * H87, "")</f>
        <v>8064.5161290322585</v>
      </c>
      <c r="J87" s="15">
        <v>194</v>
      </c>
      <c r="K87" s="32">
        <f t="shared" ref="K87:K90" si="44">IF(ISNUMBER(J87), (J87 - $B87) / $B87, "")</f>
        <v>4.3010752688172046E-2</v>
      </c>
      <c r="L87" s="18">
        <f>IF(ISNUMBER(J87), $B91 * K87, "")</f>
        <v>12903.225806451614</v>
      </c>
      <c r="M87" s="31">
        <v>198</v>
      </c>
      <c r="N87" s="32">
        <f t="shared" ref="N87:N90" si="45">IF(ISNUMBER(M87), (M87 - $B87) / $B87, "")</f>
        <v>6.4516129032258063E-2</v>
      </c>
      <c r="O87" s="18">
        <f>IF(ISNUMBER(M87), $B91 * N87, "")</f>
        <v>19354.83870967742</v>
      </c>
      <c r="Q87" s="174"/>
      <c r="R87" s="174"/>
      <c r="S87" s="174"/>
    </row>
    <row r="88" spans="1:19" ht="17.25" thickBot="1">
      <c r="A88" s="17" t="s">
        <v>51</v>
      </c>
      <c r="B88" s="15">
        <v>620</v>
      </c>
      <c r="C88" s="32">
        <v>-4.8154093000000002E-3</v>
      </c>
      <c r="D88" s="15">
        <v>628</v>
      </c>
      <c r="E88" s="32">
        <f t="shared" si="42"/>
        <v>1.2903225806451613E-2</v>
      </c>
      <c r="F88" s="18">
        <f>IF(ISNUMBER(D88), $B91 * E88, "")</f>
        <v>3870.9677419354839</v>
      </c>
      <c r="G88" s="31">
        <v>630</v>
      </c>
      <c r="H88" s="32">
        <f t="shared" si="43"/>
        <v>1.6129032258064516E-2</v>
      </c>
      <c r="I88" s="101">
        <f>IF(ISNUMBER(G88), $B91 * H88, "")</f>
        <v>4838.7096774193551</v>
      </c>
      <c r="J88" s="15">
        <v>632</v>
      </c>
      <c r="K88" s="32">
        <f t="shared" si="44"/>
        <v>1.935483870967742E-2</v>
      </c>
      <c r="L88" s="18">
        <f>IF(ISNUMBER(J88), $B91 * K88, "")</f>
        <v>5806.4516129032263</v>
      </c>
      <c r="M88" s="31">
        <v>631</v>
      </c>
      <c r="N88" s="32">
        <f t="shared" si="45"/>
        <v>1.7741935483870968E-2</v>
      </c>
      <c r="O88" s="18">
        <f>IF(ISNUMBER(M88), $B91 * N88, "")</f>
        <v>5322.5806451612907</v>
      </c>
      <c r="Q88" s="174"/>
      <c r="R88" s="174"/>
      <c r="S88" s="174"/>
    </row>
    <row r="89" spans="1:19">
      <c r="A89" s="17" t="s">
        <v>278</v>
      </c>
      <c r="B89" s="15">
        <v>154</v>
      </c>
      <c r="C89" s="32">
        <v>-6.4516128999999997E-3</v>
      </c>
      <c r="D89" s="15">
        <v>152</v>
      </c>
      <c r="E89" s="32">
        <f t="shared" si="42"/>
        <v>-1.2987012987012988E-2</v>
      </c>
      <c r="F89" s="18">
        <f>IF(ISNUMBER(D89), $B91 * E89, "")</f>
        <v>-3896.1038961038962</v>
      </c>
      <c r="G89" s="31">
        <v>153</v>
      </c>
      <c r="H89" s="32">
        <f t="shared" si="43"/>
        <v>-6.4935064935064939E-3</v>
      </c>
      <c r="I89" s="101">
        <f>IF(ISNUMBER(G89), $B91 * H89, "")</f>
        <v>-1948.0519480519481</v>
      </c>
      <c r="J89" s="15">
        <v>153</v>
      </c>
      <c r="K89" s="32">
        <f t="shared" si="44"/>
        <v>-6.4935064935064939E-3</v>
      </c>
      <c r="L89" s="18">
        <f>IF(ISNUMBER(J89), $B91 * K89, "")</f>
        <v>-1948.0519480519481</v>
      </c>
      <c r="M89" s="31">
        <v>153</v>
      </c>
      <c r="N89" s="32">
        <f t="shared" si="45"/>
        <v>-6.4935064935064939E-3</v>
      </c>
      <c r="O89" s="18">
        <f>IF(ISNUMBER(M89), $B91 * N89, "")</f>
        <v>-1948.0519480519481</v>
      </c>
      <c r="Q89" s="163"/>
      <c r="R89" s="164"/>
      <c r="S89" s="165"/>
    </row>
    <row r="90" spans="1:19" ht="17.25" thickBot="1">
      <c r="A90" s="23" t="s">
        <v>132</v>
      </c>
      <c r="B90" s="24">
        <v>235</v>
      </c>
      <c r="C90" s="25">
        <v>-8.4388186E-3</v>
      </c>
      <c r="D90" s="24">
        <v>254</v>
      </c>
      <c r="E90" s="25">
        <f t="shared" si="42"/>
        <v>8.085106382978724E-2</v>
      </c>
      <c r="F90" s="104">
        <f>IF(ISNUMBER(D90), $B91 * E90, "")</f>
        <v>24255.319148936171</v>
      </c>
      <c r="G90" s="102">
        <v>255</v>
      </c>
      <c r="H90" s="25">
        <f t="shared" si="43"/>
        <v>8.5106382978723402E-2</v>
      </c>
      <c r="I90" s="103">
        <f>IF(ISNUMBER(G90), $B91 * H90, "")</f>
        <v>25531.91489361702</v>
      </c>
      <c r="J90" s="24">
        <v>255</v>
      </c>
      <c r="K90" s="25">
        <f t="shared" si="44"/>
        <v>8.5106382978723402E-2</v>
      </c>
      <c r="L90" s="104">
        <f>IF(ISNUMBER(J90), $B91 * K90, "")</f>
        <v>25531.91489361702</v>
      </c>
      <c r="M90" s="102">
        <v>254</v>
      </c>
      <c r="N90" s="25">
        <f t="shared" si="45"/>
        <v>8.085106382978724E-2</v>
      </c>
      <c r="O90" s="104">
        <f>IF(ISNUMBER(M90), $B91 * N90, "")</f>
        <v>24255.319148936171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-2.863428187403949E-3</v>
      </c>
      <c r="F91" s="28">
        <f>SUM(F71:F90)</f>
        <v>-17180.569124423695</v>
      </c>
      <c r="G91" s="26" t="s">
        <v>302</v>
      </c>
      <c r="H91" s="27">
        <f>IF(COUNT(H71:H90), SUM(H71:H90) / COUNT(H71:H90), 0)</f>
        <v>-1.6194961425501017E-3</v>
      </c>
      <c r="I91" s="28">
        <f>SUM(I71:I90)</f>
        <v>-9716.9768553006252</v>
      </c>
      <c r="J91" s="26" t="s">
        <v>302</v>
      </c>
      <c r="K91" s="27">
        <f>IF(COUNT(K71:K90), SUM(K71:K90) / COUNT(K71:K90), 0)</f>
        <v>3.6491451278155467E-3</v>
      </c>
      <c r="L91" s="28">
        <f>SUM(L71:L90)</f>
        <v>21894.870766893284</v>
      </c>
      <c r="M91" s="26" t="s">
        <v>302</v>
      </c>
      <c r="N91" s="27">
        <f>IF(COUNT(N71:N90), SUM(N71:N90) / COUNT(N71:N90), 0)</f>
        <v>8.581726342629362E-3</v>
      </c>
      <c r="O91" s="28">
        <f>SUM(O71:O90)</f>
        <v>51490.358055776174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2021-05-02(일) 오전 00:00</v>
      </c>
      <c r="C96" s="197"/>
      <c r="D96" s="198" t="str">
        <f>TEXT($G$1, "[$-ko-KR]yyyy-mm-dd(ddd) ") &amp; "오후 14:00"</f>
        <v>2021-05-02(일) 오후 14:00</v>
      </c>
      <c r="E96" s="199"/>
      <c r="F96" s="200"/>
      <c r="G96" s="198" t="str">
        <f>TEXT($G$1, "[$-ko-KR]yyyy-mm-dd(ddd) ") &amp; "오후 19:00"</f>
        <v>2021-05-02(일) 오후 19:00</v>
      </c>
      <c r="H96" s="199"/>
      <c r="I96" s="200"/>
      <c r="J96" s="198" t="str">
        <f>TEXT($G$1, "[$-ko-KR]yyyy-mm-dd(ddd) ") &amp; "오후 21:00"</f>
        <v>2021-05-02(일) 오후 21:00</v>
      </c>
      <c r="K96" s="199"/>
      <c r="L96" s="200"/>
      <c r="M96" s="198" t="str">
        <f>TEXT($G$1+1, "[$-ko-KR]yyyy-mm-dd(ddd) ") &amp; "오전 00:00"</f>
        <v>2021-05-03(월)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102</v>
      </c>
      <c r="B98" s="13">
        <v>48140</v>
      </c>
      <c r="C98" s="14">
        <v>0.12608187130000001</v>
      </c>
      <c r="D98" s="13">
        <v>53980</v>
      </c>
      <c r="E98" s="14">
        <f>IF(ISNUMBER(D98), (D98 - $B98) / $B98, "")</f>
        <v>0.12131283755712505</v>
      </c>
      <c r="F98" s="16">
        <f>IF(ISNUMBER(D98), $B118 * E98, "")</f>
        <v>36393.851267137514</v>
      </c>
      <c r="G98" s="29">
        <v>54610</v>
      </c>
      <c r="H98" s="14">
        <f>IF(ISNUMBER(G98), (G98 - $B98) / $B98, "")</f>
        <v>0.13439966763606148</v>
      </c>
      <c r="I98" s="100">
        <f>IF(ISNUMBER(G98), $B118 * H98, "")</f>
        <v>40319.900290818441</v>
      </c>
      <c r="J98" s="13">
        <v>54480</v>
      </c>
      <c r="K98" s="14">
        <f>IF(ISNUMBER(J98), (J98 - $B98) / $B98, "")</f>
        <v>0.13169921063564602</v>
      </c>
      <c r="L98" s="16">
        <f>IF(ISNUMBER(J98), $B118 * K98, "")</f>
        <v>39509.763190693804</v>
      </c>
      <c r="M98" s="29">
        <v>54030</v>
      </c>
      <c r="N98" s="14">
        <f>IF(ISNUMBER(M98), (M98 - $B98) / $B98, "")</f>
        <v>0.12235147486497715</v>
      </c>
      <c r="O98" s="16">
        <f>IF(ISNUMBER(M98), $B118 * N98, "")</f>
        <v>36705.442459493141</v>
      </c>
      <c r="Q98" s="184"/>
      <c r="R98" s="184"/>
      <c r="S98" s="184"/>
    </row>
    <row r="99" spans="1:19" ht="17.25" thickBot="1">
      <c r="A99" s="17" t="s">
        <v>250</v>
      </c>
      <c r="B99" s="15">
        <v>255</v>
      </c>
      <c r="C99" s="32">
        <v>0.10869565220000001</v>
      </c>
      <c r="D99" s="15">
        <v>240</v>
      </c>
      <c r="E99" s="32">
        <f t="shared" ref="E99:E102" si="46">IF(ISNUMBER(D99), (D99 - $B99) / $B99, "")</f>
        <v>-5.8823529411764705E-2</v>
      </c>
      <c r="F99" s="18">
        <f>IF(ISNUMBER(D99), $B118 * E99, "")</f>
        <v>-17647.058823529413</v>
      </c>
      <c r="G99" s="31">
        <v>241</v>
      </c>
      <c r="H99" s="32">
        <f t="shared" ref="H99:H102" si="47">IF(ISNUMBER(G99), (G99 - $B99) / $B99, "")</f>
        <v>-5.4901960784313725E-2</v>
      </c>
      <c r="I99" s="101">
        <f>IF(ISNUMBER(G99), $B118 * H99, "")</f>
        <v>-16470.588235294119</v>
      </c>
      <c r="J99" s="15">
        <v>242</v>
      </c>
      <c r="K99" s="32">
        <f t="shared" ref="K99:K102" si="48">IF(ISNUMBER(J99), (J99 - $B99) / $B99, "")</f>
        <v>-5.0980392156862744E-2</v>
      </c>
      <c r="L99" s="18">
        <f>IF(ISNUMBER(J99), $B118 * K99, "")</f>
        <v>-15294.117647058823</v>
      </c>
      <c r="M99" s="31">
        <v>242</v>
      </c>
      <c r="N99" s="32">
        <f t="shared" ref="N99:N102" si="49">IF(ISNUMBER(M99), (M99 - $B99) / $B99, "")</f>
        <v>-5.0980392156862744E-2</v>
      </c>
      <c r="O99" s="18">
        <f>IF(ISNUMBER(M99), $B118 * N99, "")</f>
        <v>-15294.117647058823</v>
      </c>
      <c r="Q99" s="184"/>
      <c r="R99" s="184"/>
      <c r="S99" s="184"/>
    </row>
    <row r="100" spans="1:19" ht="17.25" thickBot="1">
      <c r="A100" s="17" t="s">
        <v>216</v>
      </c>
      <c r="B100" s="15">
        <v>501</v>
      </c>
      <c r="C100" s="32">
        <v>0.1035242291</v>
      </c>
      <c r="D100" s="15">
        <v>476</v>
      </c>
      <c r="E100" s="32">
        <f t="shared" si="46"/>
        <v>-4.9900199600798403E-2</v>
      </c>
      <c r="F100" s="18">
        <f>IF(ISNUMBER(D100), $B118 * E100, "")</f>
        <v>-14970.059880239522</v>
      </c>
      <c r="G100" s="31">
        <v>476</v>
      </c>
      <c r="H100" s="32">
        <f t="shared" si="47"/>
        <v>-4.9900199600798403E-2</v>
      </c>
      <c r="I100" s="101">
        <f>IF(ISNUMBER(G100), $B118 * H100, "")</f>
        <v>-14970.059880239522</v>
      </c>
      <c r="J100" s="15">
        <v>477</v>
      </c>
      <c r="K100" s="32">
        <f t="shared" si="48"/>
        <v>-4.790419161676647E-2</v>
      </c>
      <c r="L100" s="18">
        <f>IF(ISNUMBER(J100), $B118 * K100, "")</f>
        <v>-14371.257485029941</v>
      </c>
      <c r="M100" s="31">
        <v>477</v>
      </c>
      <c r="N100" s="32">
        <f t="shared" si="49"/>
        <v>-4.790419161676647E-2</v>
      </c>
      <c r="O100" s="18">
        <f>IF(ISNUMBER(M100), $B118 * N100, "")</f>
        <v>-14371.257485029941</v>
      </c>
      <c r="Q100" s="174"/>
      <c r="R100" s="174"/>
      <c r="S100" s="174"/>
    </row>
    <row r="101" spans="1:19" ht="17.25" thickBot="1">
      <c r="A101" s="17" t="s">
        <v>232</v>
      </c>
      <c r="B101" s="15">
        <v>202</v>
      </c>
      <c r="C101" s="32">
        <v>8.6021505400000003E-2</v>
      </c>
      <c r="D101" s="15">
        <v>194</v>
      </c>
      <c r="E101" s="32">
        <f t="shared" si="46"/>
        <v>-3.9603960396039604E-2</v>
      </c>
      <c r="F101" s="18">
        <f>IF(ISNUMBER(D101), $B118 * E101, "")</f>
        <v>-11881.18811881188</v>
      </c>
      <c r="G101" s="31">
        <v>194</v>
      </c>
      <c r="H101" s="32">
        <f t="shared" si="47"/>
        <v>-3.9603960396039604E-2</v>
      </c>
      <c r="I101" s="101">
        <f>IF(ISNUMBER(G101), $B118 * H101, "")</f>
        <v>-11881.18811881188</v>
      </c>
      <c r="J101" s="15">
        <v>194</v>
      </c>
      <c r="K101" s="32">
        <f t="shared" si="48"/>
        <v>-3.9603960396039604E-2</v>
      </c>
      <c r="L101" s="18">
        <f>IF(ISNUMBER(J101), $B118 * K101, "")</f>
        <v>-11881.18811881188</v>
      </c>
      <c r="M101" s="31">
        <v>196</v>
      </c>
      <c r="N101" s="32">
        <f t="shared" si="49"/>
        <v>-2.9702970297029702E-2</v>
      </c>
      <c r="O101" s="18">
        <f>IF(ISNUMBER(M101), $B118 * N101, "")</f>
        <v>-8910.8910891089108</v>
      </c>
      <c r="Q101" s="174"/>
      <c r="R101" s="174"/>
      <c r="S101" s="174"/>
    </row>
    <row r="102" spans="1:19" ht="17.25" thickBot="1">
      <c r="A102" s="19" t="s">
        <v>296</v>
      </c>
      <c r="B102" s="20">
        <v>427</v>
      </c>
      <c r="C102" s="21">
        <v>7.2864321600000004E-2</v>
      </c>
      <c r="D102" s="20">
        <v>456</v>
      </c>
      <c r="E102" s="21">
        <f t="shared" si="46"/>
        <v>6.7915690866510545E-2</v>
      </c>
      <c r="F102" s="22">
        <f>IF(ISNUMBER(D102), $B118 * E102, "")</f>
        <v>20374.707259953164</v>
      </c>
      <c r="G102" s="30">
        <v>457</v>
      </c>
      <c r="H102" s="21">
        <f t="shared" si="47"/>
        <v>7.0257611241217793E-2</v>
      </c>
      <c r="I102" s="105">
        <f>IF(ISNUMBER(G102), $B118 * H102, "")</f>
        <v>21077.283372365338</v>
      </c>
      <c r="J102" s="20">
        <v>455</v>
      </c>
      <c r="K102" s="21">
        <f t="shared" si="48"/>
        <v>6.5573770491803282E-2</v>
      </c>
      <c r="L102" s="22">
        <f>IF(ISNUMBER(J102), $B118 * K102, "")</f>
        <v>19672.131147540986</v>
      </c>
      <c r="M102" s="30">
        <v>454</v>
      </c>
      <c r="N102" s="21">
        <f t="shared" si="49"/>
        <v>6.323185011709602E-2</v>
      </c>
      <c r="O102" s="22">
        <f>IF(ISNUMBER(M102), $B118 * N102, "")</f>
        <v>18969.555035128808</v>
      </c>
      <c r="Q102" s="174"/>
      <c r="R102" s="174"/>
      <c r="S102" s="174"/>
    </row>
    <row r="103" spans="1:19" ht="17.25" thickBot="1">
      <c r="A103" s="17" t="s">
        <v>74</v>
      </c>
      <c r="B103" s="106">
        <v>28460</v>
      </c>
      <c r="C103" s="107">
        <v>6.5518532399999996E-2</v>
      </c>
      <c r="D103" s="106">
        <v>27500</v>
      </c>
      <c r="E103" s="107">
        <f>IF(ISNUMBER(D103), (D103 - $B103) / $B103, "")</f>
        <v>-3.3731553056921992E-2</v>
      </c>
      <c r="F103" s="108">
        <f>IF(ISNUMBER(D103), $B118 * E103, "")</f>
        <v>-10119.465917076597</v>
      </c>
      <c r="G103" s="109">
        <v>27400</v>
      </c>
      <c r="H103" s="107">
        <f>IF(ISNUMBER(G103), (G103 - $B103) / $B103, "")</f>
        <v>-3.7245256500351369E-2</v>
      </c>
      <c r="I103" s="110">
        <f>IF(ISNUMBER(G103), $B118 * H103, "")</f>
        <v>-11173.576950105411</v>
      </c>
      <c r="J103" s="106">
        <v>27590</v>
      </c>
      <c r="K103" s="107">
        <f>IF(ISNUMBER(J103), (J103 - $B103) / $B103, "")</f>
        <v>-3.0569219957835559E-2</v>
      </c>
      <c r="L103" s="108">
        <f>IF(ISNUMBER(J103), $B118 * K103, "")</f>
        <v>-9170.7659873506673</v>
      </c>
      <c r="M103" s="109">
        <v>27670</v>
      </c>
      <c r="N103" s="107">
        <f>IF(ISNUMBER(M103), (M103 - $B103) / $B103, "")</f>
        <v>-2.7758257203092059E-2</v>
      </c>
      <c r="O103" s="108">
        <f>IF(ISNUMBER(M103), $B118 * N103, "")</f>
        <v>-8327.4771609276177</v>
      </c>
      <c r="Q103" s="174"/>
      <c r="R103" s="174"/>
      <c r="S103" s="174"/>
    </row>
    <row r="104" spans="1:19" ht="17.25" thickBot="1">
      <c r="A104" s="17" t="s">
        <v>108</v>
      </c>
      <c r="B104" s="15">
        <v>50100</v>
      </c>
      <c r="C104" s="32">
        <v>4.7678795500000003E-2</v>
      </c>
      <c r="D104" s="15">
        <v>49320</v>
      </c>
      <c r="E104" s="32">
        <f t="shared" ref="E104:E107" si="50">IF(ISNUMBER(D104), (D104 - $B104) / $B104, "")</f>
        <v>-1.5568862275449102E-2</v>
      </c>
      <c r="F104" s="18">
        <f>IF(ISNUMBER(D104), $B118 * E104, "")</f>
        <v>-4670.6586826347302</v>
      </c>
      <c r="G104" s="31">
        <v>49360</v>
      </c>
      <c r="H104" s="32">
        <f t="shared" ref="H104:H107" si="51">IF(ISNUMBER(G104), (G104 - $B104) / $B104, "")</f>
        <v>-1.4770459081836327E-2</v>
      </c>
      <c r="I104" s="101">
        <f>IF(ISNUMBER(G104), $B118 * H104, "")</f>
        <v>-4431.1377245508984</v>
      </c>
      <c r="J104" s="15">
        <v>49590</v>
      </c>
      <c r="K104" s="32">
        <f t="shared" ref="K104:K107" si="52">IF(ISNUMBER(J104), (J104 - $B104) / $B104, "")</f>
        <v>-1.0179640718562874E-2</v>
      </c>
      <c r="L104" s="18">
        <f>IF(ISNUMBER(J104), $B118 * K104, "")</f>
        <v>-3053.8922155688624</v>
      </c>
      <c r="M104" s="31">
        <v>49760</v>
      </c>
      <c r="N104" s="32">
        <f t="shared" ref="N104:N107" si="53">IF(ISNUMBER(M104), (M104 - $B104) / $B104, "")</f>
        <v>-6.7864271457085826E-3</v>
      </c>
      <c r="O104" s="18">
        <f>IF(ISNUMBER(M104), $B118 * N104, "")</f>
        <v>-2035.9281437125749</v>
      </c>
      <c r="Q104" s="174"/>
      <c r="R104" s="174"/>
      <c r="S104" s="174"/>
    </row>
    <row r="105" spans="1:19" ht="17.25" thickBot="1">
      <c r="A105" s="17" t="s">
        <v>54</v>
      </c>
      <c r="B105" s="15">
        <v>369</v>
      </c>
      <c r="C105" s="32">
        <v>4.5325778999999997E-2</v>
      </c>
      <c r="D105" s="15">
        <v>369</v>
      </c>
      <c r="E105" s="32">
        <f t="shared" si="50"/>
        <v>0</v>
      </c>
      <c r="F105" s="18">
        <f>IF(ISNUMBER(D105), $B118 * E105, "")</f>
        <v>0</v>
      </c>
      <c r="G105" s="31">
        <v>378</v>
      </c>
      <c r="H105" s="32">
        <f t="shared" si="51"/>
        <v>2.4390243902439025E-2</v>
      </c>
      <c r="I105" s="101">
        <f>IF(ISNUMBER(G105), $B118 * H105, "")</f>
        <v>7317.0731707317073</v>
      </c>
      <c r="J105" s="15">
        <v>381</v>
      </c>
      <c r="K105" s="32">
        <f t="shared" si="52"/>
        <v>3.2520325203252036E-2</v>
      </c>
      <c r="L105" s="18">
        <f>IF(ISNUMBER(J105), $B118 * K105, "")</f>
        <v>9756.0975609756115</v>
      </c>
      <c r="M105" s="31">
        <v>393</v>
      </c>
      <c r="N105" s="32">
        <f t="shared" si="53"/>
        <v>6.5040650406504072E-2</v>
      </c>
      <c r="O105" s="18">
        <f>IF(ISNUMBER(M105), $B118 * N105, "")</f>
        <v>19512.195121951223</v>
      </c>
      <c r="Q105" s="174"/>
      <c r="R105" s="174"/>
      <c r="S105" s="174"/>
    </row>
    <row r="106" spans="1:19" ht="17.25" thickBot="1">
      <c r="A106" s="17" t="s">
        <v>96</v>
      </c>
      <c r="B106" s="15">
        <v>3418000</v>
      </c>
      <c r="C106" s="32">
        <v>4.4940385200000002E-2</v>
      </c>
      <c r="D106" s="15">
        <v>3490000</v>
      </c>
      <c r="E106" s="32">
        <f t="shared" si="50"/>
        <v>2.1064950263311878E-2</v>
      </c>
      <c r="F106" s="18">
        <f>IF(ISNUMBER(D106), $B118 * E106, "")</f>
        <v>6319.4850789935635</v>
      </c>
      <c r="G106" s="31">
        <v>3508000</v>
      </c>
      <c r="H106" s="32">
        <f t="shared" si="51"/>
        <v>2.6331187829139849E-2</v>
      </c>
      <c r="I106" s="101">
        <f>IF(ISNUMBER(G106), $B118 * H106, "")</f>
        <v>7899.3563487419551</v>
      </c>
      <c r="J106" s="15">
        <v>3518000</v>
      </c>
      <c r="K106" s="32">
        <f t="shared" si="52"/>
        <v>2.9256875365710942E-2</v>
      </c>
      <c r="L106" s="18">
        <f>IF(ISNUMBER(J106), $B118 * K106, "")</f>
        <v>8777.0626097132827</v>
      </c>
      <c r="M106" s="31">
        <v>3509000</v>
      </c>
      <c r="N106" s="32">
        <f t="shared" si="53"/>
        <v>2.6623756582796958E-2</v>
      </c>
      <c r="O106" s="18">
        <f>IF(ISNUMBER(M106), $B118 * N106, "")</f>
        <v>7987.1269748390878</v>
      </c>
      <c r="Q106" s="33"/>
      <c r="R106" s="33"/>
    </row>
    <row r="107" spans="1:19" ht="17.25" thickBot="1">
      <c r="A107" s="23" t="s">
        <v>118</v>
      </c>
      <c r="B107" s="24">
        <v>6865</v>
      </c>
      <c r="C107" s="25">
        <v>4.0151515200000001E-2</v>
      </c>
      <c r="D107" s="24">
        <v>6710</v>
      </c>
      <c r="E107" s="25">
        <f t="shared" si="50"/>
        <v>-2.2578295702840496E-2</v>
      </c>
      <c r="F107" s="104">
        <f>IF(ISNUMBER(D107), $B118 * E107, "")</f>
        <v>-6773.4887108521489</v>
      </c>
      <c r="G107" s="102">
        <v>6785</v>
      </c>
      <c r="H107" s="25">
        <f t="shared" si="51"/>
        <v>-1.1653313911143482E-2</v>
      </c>
      <c r="I107" s="103">
        <f>IF(ISNUMBER(G107), $B118 * H107, "")</f>
        <v>-3495.9941733430446</v>
      </c>
      <c r="J107" s="24">
        <v>6730</v>
      </c>
      <c r="K107" s="25">
        <f t="shared" si="52"/>
        <v>-1.9664967225054626E-2</v>
      </c>
      <c r="L107" s="104">
        <f>IF(ISNUMBER(J107), $B118 * K107, "")</f>
        <v>-5899.4901675163883</v>
      </c>
      <c r="M107" s="102">
        <v>6780</v>
      </c>
      <c r="N107" s="25">
        <f t="shared" si="53"/>
        <v>-1.2381646030589949E-2</v>
      </c>
      <c r="O107" s="104">
        <f>IF(ISNUMBER(M107), $B118 * N107, "")</f>
        <v>-3714.4938091769845</v>
      </c>
      <c r="Q107" s="175"/>
      <c r="R107" s="176"/>
      <c r="S107" s="177"/>
    </row>
    <row r="108" spans="1:19">
      <c r="A108" s="12" t="s">
        <v>226</v>
      </c>
      <c r="B108" s="13">
        <v>563</v>
      </c>
      <c r="C108" s="14">
        <v>3.8745387499999999E-2</v>
      </c>
      <c r="D108" s="13">
        <v>539</v>
      </c>
      <c r="E108" s="14">
        <f>IF(ISNUMBER(D108), (D108 - $B108) / $B108, "")</f>
        <v>-4.2628774422735348E-2</v>
      </c>
      <c r="F108" s="16">
        <f>IF(ISNUMBER(D108), $B118 * E108, "")</f>
        <v>-12788.632326820605</v>
      </c>
      <c r="G108" s="29">
        <v>535</v>
      </c>
      <c r="H108" s="14">
        <f>IF(ISNUMBER(G108), (G108 - $B108) / $B108, "")</f>
        <v>-4.9733570159857902E-2</v>
      </c>
      <c r="I108" s="100">
        <f>IF(ISNUMBER(G108), $B118 * H108, "")</f>
        <v>-14920.07104795737</v>
      </c>
      <c r="J108" s="13">
        <v>541</v>
      </c>
      <c r="K108" s="14">
        <f>IF(ISNUMBER(J108), (J108 - $B108) / $B108, "")</f>
        <v>-3.9076376554174071E-2</v>
      </c>
      <c r="L108" s="16">
        <f>IF(ISNUMBER(J108), $B118 * K108, "")</f>
        <v>-11722.912966252221</v>
      </c>
      <c r="M108" s="29">
        <v>543</v>
      </c>
      <c r="N108" s="14">
        <f>IF(ISNUMBER(M108), (M108 - $B108) / $B108, "")</f>
        <v>-3.5523978685612786E-2</v>
      </c>
      <c r="O108" s="16">
        <f>IF(ISNUMBER(M108), $B118 * N108, "")</f>
        <v>-10657.193605683837</v>
      </c>
      <c r="Q108" s="178"/>
      <c r="R108" s="179"/>
      <c r="S108" s="180"/>
    </row>
    <row r="109" spans="1:19" ht="17.25" thickBot="1">
      <c r="A109" s="17" t="s">
        <v>212</v>
      </c>
      <c r="B109" s="15">
        <v>164</v>
      </c>
      <c r="C109" s="32">
        <v>3.7974683500000002E-2</v>
      </c>
      <c r="D109" s="15">
        <v>177</v>
      </c>
      <c r="E109" s="32">
        <f t="shared" ref="E109:E112" si="54">IF(ISNUMBER(D109), (D109 - $B109) / $B109, "")</f>
        <v>7.926829268292683E-2</v>
      </c>
      <c r="F109" s="18">
        <f>IF(ISNUMBER(D109), $B118 * E109, "")</f>
        <v>23780.487804878048</v>
      </c>
      <c r="G109" s="31">
        <v>176</v>
      </c>
      <c r="H109" s="32">
        <f t="shared" ref="H109:H112" si="55">IF(ISNUMBER(G109), (G109 - $B109) / $B109, "")</f>
        <v>7.3170731707317069E-2</v>
      </c>
      <c r="I109" s="101">
        <f>IF(ISNUMBER(G109), $B118 * H109, "")</f>
        <v>21951.219512195119</v>
      </c>
      <c r="J109" s="15">
        <v>179</v>
      </c>
      <c r="K109" s="32">
        <f t="shared" ref="K109:K112" si="56">IF(ISNUMBER(J109), (J109 - $B109) / $B109, "")</f>
        <v>9.1463414634146339E-2</v>
      </c>
      <c r="L109" s="18">
        <f>IF(ISNUMBER(J109), $B118 * K109, "")</f>
        <v>27439.024390243903</v>
      </c>
      <c r="M109" s="31">
        <v>181</v>
      </c>
      <c r="N109" s="32">
        <f t="shared" ref="N109:N112" si="57">IF(ISNUMBER(M109), (M109 - $B109) / $B109, "")</f>
        <v>0.10365853658536585</v>
      </c>
      <c r="O109" s="18">
        <f>IF(ISNUMBER(M109), $B118 * N109, "")</f>
        <v>31097.560975609755</v>
      </c>
      <c r="Q109" s="181"/>
      <c r="R109" s="182"/>
      <c r="S109" s="183"/>
    </row>
    <row r="110" spans="1:19" ht="17.25" thickBot="1">
      <c r="A110" s="17" t="s">
        <v>69</v>
      </c>
      <c r="B110" s="15">
        <v>11710</v>
      </c>
      <c r="C110" s="32">
        <v>3.6283185799999999E-2</v>
      </c>
      <c r="D110" s="15">
        <v>12470</v>
      </c>
      <c r="E110" s="32">
        <f t="shared" si="54"/>
        <v>6.4901793339026473E-2</v>
      </c>
      <c r="F110" s="18">
        <f>IF(ISNUMBER(D110), $B118 * E110, "")</f>
        <v>19470.538001707941</v>
      </c>
      <c r="G110" s="31">
        <v>12400</v>
      </c>
      <c r="H110" s="32">
        <f t="shared" si="55"/>
        <v>5.8923996584116137E-2</v>
      </c>
      <c r="I110" s="101">
        <f>IF(ISNUMBER(G110), $B118 * H110, "")</f>
        <v>17677.198975234842</v>
      </c>
      <c r="J110" s="15">
        <v>12340</v>
      </c>
      <c r="K110" s="32">
        <f t="shared" si="56"/>
        <v>5.3800170794192997E-2</v>
      </c>
      <c r="L110" s="18">
        <f>IF(ISNUMBER(J110), $B118 * K110, "")</f>
        <v>16140.0512382579</v>
      </c>
      <c r="M110" s="31">
        <v>12440</v>
      </c>
      <c r="N110" s="32">
        <f t="shared" si="57"/>
        <v>6.2339880444064903E-2</v>
      </c>
      <c r="O110" s="18">
        <f>IF(ISNUMBER(M110), $B118 * N110, "")</f>
        <v>18701.96413321947</v>
      </c>
      <c r="Q110" s="174"/>
      <c r="R110" s="174"/>
      <c r="S110" s="174"/>
    </row>
    <row r="111" spans="1:19" ht="17.25" thickBot="1">
      <c r="A111" s="17" t="s">
        <v>76</v>
      </c>
      <c r="B111" s="15">
        <v>46510</v>
      </c>
      <c r="C111" s="32">
        <v>3.4705227999999998E-2</v>
      </c>
      <c r="D111" s="15">
        <v>47930</v>
      </c>
      <c r="E111" s="32">
        <f t="shared" si="54"/>
        <v>3.053106858740056E-2</v>
      </c>
      <c r="F111" s="18">
        <f>IF(ISNUMBER(D111), $B118 * E111, "")</f>
        <v>9159.3205762201687</v>
      </c>
      <c r="G111" s="31">
        <v>47750</v>
      </c>
      <c r="H111" s="32">
        <f t="shared" si="55"/>
        <v>2.6660933132659641E-2</v>
      </c>
      <c r="I111" s="101">
        <f>IF(ISNUMBER(G111), $B118 * H111, "")</f>
        <v>7998.2799397978924</v>
      </c>
      <c r="J111" s="15">
        <v>47620</v>
      </c>
      <c r="K111" s="32">
        <f t="shared" si="56"/>
        <v>2.3865835304235649E-2</v>
      </c>
      <c r="L111" s="18">
        <f>IF(ISNUMBER(J111), $B118 * K111, "")</f>
        <v>7159.7505912706947</v>
      </c>
      <c r="M111" s="31">
        <v>47740</v>
      </c>
      <c r="N111" s="32">
        <f t="shared" si="57"/>
        <v>2.644592560739626E-2</v>
      </c>
      <c r="O111" s="18">
        <f>IF(ISNUMBER(M111), $B118 * N111, "")</f>
        <v>7933.777682218878</v>
      </c>
      <c r="Q111" s="184"/>
      <c r="R111" s="184"/>
      <c r="S111" s="184"/>
    </row>
    <row r="112" spans="1:19" ht="17.25" thickBot="1">
      <c r="A112" s="19" t="s">
        <v>136</v>
      </c>
      <c r="B112" s="20">
        <v>250</v>
      </c>
      <c r="C112" s="21">
        <v>3.3057851200000002E-2</v>
      </c>
      <c r="D112" s="20">
        <v>245</v>
      </c>
      <c r="E112" s="21">
        <f t="shared" si="54"/>
        <v>-0.02</v>
      </c>
      <c r="F112" s="22">
        <f>IF(ISNUMBER(D112), $B118 * E112, "")</f>
        <v>-6000</v>
      </c>
      <c r="G112" s="30">
        <v>244</v>
      </c>
      <c r="H112" s="21">
        <f t="shared" si="55"/>
        <v>-2.4E-2</v>
      </c>
      <c r="I112" s="105">
        <f>IF(ISNUMBER(G112), $B118 * H112, "")</f>
        <v>-7200</v>
      </c>
      <c r="J112" s="20">
        <v>246</v>
      </c>
      <c r="K112" s="21">
        <f t="shared" si="56"/>
        <v>-1.6E-2</v>
      </c>
      <c r="L112" s="22">
        <f>IF(ISNUMBER(J112), $B118 * K112, "")</f>
        <v>-4800</v>
      </c>
      <c r="M112" s="30">
        <v>246</v>
      </c>
      <c r="N112" s="21">
        <f t="shared" si="57"/>
        <v>-1.6E-2</v>
      </c>
      <c r="O112" s="22">
        <f>IF(ISNUMBER(M112), $B118 * N112, "")</f>
        <v>-4800</v>
      </c>
      <c r="Q112" s="184"/>
      <c r="R112" s="184"/>
      <c r="S112" s="184"/>
    </row>
    <row r="113" spans="1:19" ht="17.25" thickBot="1">
      <c r="A113" s="17" t="s">
        <v>122</v>
      </c>
      <c r="B113" s="106">
        <v>126</v>
      </c>
      <c r="C113" s="107">
        <v>3.2786885199999997E-2</v>
      </c>
      <c r="D113" s="106">
        <v>129</v>
      </c>
      <c r="E113" s="107">
        <f>IF(ISNUMBER(D113), (D113 - $B113) / $B113, "")</f>
        <v>2.3809523809523808E-2</v>
      </c>
      <c r="F113" s="108">
        <f>IF(ISNUMBER(D113), $B118 * E113, "")</f>
        <v>7142.8571428571422</v>
      </c>
      <c r="G113" s="109">
        <v>129</v>
      </c>
      <c r="H113" s="107">
        <f>IF(ISNUMBER(G113), (G113 - $B113) / $B113, "")</f>
        <v>2.3809523809523808E-2</v>
      </c>
      <c r="I113" s="110">
        <f>IF(ISNUMBER(G113), $B118 * H113, "")</f>
        <v>7142.8571428571422</v>
      </c>
      <c r="J113" s="106">
        <v>130</v>
      </c>
      <c r="K113" s="107">
        <f>IF(ISNUMBER(J113), (J113 - $B113) / $B113, "")</f>
        <v>3.1746031746031744E-2</v>
      </c>
      <c r="L113" s="108">
        <f>IF(ISNUMBER(J113), $B118 * K113, "")</f>
        <v>9523.8095238095229</v>
      </c>
      <c r="M113" s="109">
        <v>130</v>
      </c>
      <c r="N113" s="107">
        <f>IF(ISNUMBER(M113), (M113 - $B113) / $B113, "")</f>
        <v>3.1746031746031744E-2</v>
      </c>
      <c r="O113" s="108">
        <f>IF(ISNUMBER(M113), $B118 * N113, "")</f>
        <v>9523.8095238095229</v>
      </c>
      <c r="Q113" s="174"/>
      <c r="R113" s="174"/>
      <c r="S113" s="174"/>
    </row>
    <row r="114" spans="1:19" ht="17.25" thickBot="1">
      <c r="A114" s="17" t="s">
        <v>72</v>
      </c>
      <c r="B114" s="15">
        <v>37.4</v>
      </c>
      <c r="C114" s="32">
        <v>3.0303030299999999E-2</v>
      </c>
      <c r="D114" s="15">
        <v>36.5</v>
      </c>
      <c r="E114" s="32">
        <f t="shared" ref="E114:E117" si="58">IF(ISNUMBER(D114), (D114 - $B114) / $B114, "")</f>
        <v>-2.4064171122994617E-2</v>
      </c>
      <c r="F114" s="18">
        <f>IF(ISNUMBER(D114), $B118 * E114, "")</f>
        <v>-7219.2513368983846</v>
      </c>
      <c r="G114" s="31">
        <v>36.5</v>
      </c>
      <c r="H114" s="32">
        <f t="shared" ref="H114:H117" si="59">IF(ISNUMBER(G114), (G114 - $B114) / $B114, "")</f>
        <v>-2.4064171122994617E-2</v>
      </c>
      <c r="I114" s="101">
        <f>IF(ISNUMBER(G114), $B118 * H114, "")</f>
        <v>-7219.2513368983846</v>
      </c>
      <c r="J114" s="15">
        <v>36.700000000000003</v>
      </c>
      <c r="K114" s="32">
        <f t="shared" ref="K114:K117" si="60">IF(ISNUMBER(J114), (J114 - $B114) / $B114, "")</f>
        <v>-1.8716577540106839E-2</v>
      </c>
      <c r="L114" s="18">
        <f>IF(ISNUMBER(J114), $B118 * K114, "")</f>
        <v>-5614.9732620320519</v>
      </c>
      <c r="M114" s="31">
        <v>36.799999999999997</v>
      </c>
      <c r="N114" s="32">
        <f t="shared" ref="N114:N117" si="61">IF(ISNUMBER(M114), (M114 - $B114) / $B114, "")</f>
        <v>-1.6042780748663141E-2</v>
      </c>
      <c r="O114" s="18">
        <f>IF(ISNUMBER(M114), $B118 * N114, "")</f>
        <v>-4812.8342245989425</v>
      </c>
      <c r="Q114" s="174"/>
      <c r="R114" s="174"/>
      <c r="S114" s="174"/>
    </row>
    <row r="115" spans="1:19" ht="17.25" thickBot="1">
      <c r="A115" s="17" t="s">
        <v>110</v>
      </c>
      <c r="B115" s="15">
        <v>3140</v>
      </c>
      <c r="C115" s="32">
        <v>2.78232406E-2</v>
      </c>
      <c r="D115" s="15">
        <v>3055</v>
      </c>
      <c r="E115" s="32">
        <f t="shared" si="58"/>
        <v>-2.7070063694267517E-2</v>
      </c>
      <c r="F115" s="18">
        <f>IF(ISNUMBER(D115), $B118 * E115, "")</f>
        <v>-8121.0191082802548</v>
      </c>
      <c r="G115" s="31">
        <v>3030</v>
      </c>
      <c r="H115" s="32">
        <f t="shared" si="59"/>
        <v>-3.5031847133757961E-2</v>
      </c>
      <c r="I115" s="101">
        <f>IF(ISNUMBER(G115), $B118 * H115, "")</f>
        <v>-10509.554140127388</v>
      </c>
      <c r="J115" s="15">
        <v>3070</v>
      </c>
      <c r="K115" s="32">
        <f t="shared" si="60"/>
        <v>-2.2292993630573247E-2</v>
      </c>
      <c r="L115" s="18">
        <f>IF(ISNUMBER(J115), $B118 * K115, "")</f>
        <v>-6687.8980891719739</v>
      </c>
      <c r="M115" s="31">
        <v>3120</v>
      </c>
      <c r="N115" s="32">
        <f t="shared" si="61"/>
        <v>-6.369426751592357E-3</v>
      </c>
      <c r="O115" s="18">
        <f>IF(ISNUMBER(M115), $B118 * N115, "")</f>
        <v>-1910.8280254777071</v>
      </c>
      <c r="Q115" s="174"/>
      <c r="R115" s="174"/>
      <c r="S115" s="174"/>
    </row>
    <row r="116" spans="1:19">
      <c r="A116" s="17" t="s">
        <v>114</v>
      </c>
      <c r="B116" s="15">
        <v>13520</v>
      </c>
      <c r="C116" s="32">
        <v>2.57966616E-2</v>
      </c>
      <c r="D116" s="15">
        <v>13180</v>
      </c>
      <c r="E116" s="32">
        <f t="shared" si="58"/>
        <v>-2.514792899408284E-2</v>
      </c>
      <c r="F116" s="18">
        <f>IF(ISNUMBER(D116), $B118 * E116, "")</f>
        <v>-7544.3786982248521</v>
      </c>
      <c r="G116" s="31">
        <v>13200</v>
      </c>
      <c r="H116" s="32">
        <f t="shared" si="59"/>
        <v>-2.3668639053254437E-2</v>
      </c>
      <c r="I116" s="101">
        <f>IF(ISNUMBER(G116), $B118 * H116, "")</f>
        <v>-7100.5917159763312</v>
      </c>
      <c r="J116" s="15">
        <v>13220</v>
      </c>
      <c r="K116" s="32">
        <f t="shared" si="60"/>
        <v>-2.2189349112426034E-2</v>
      </c>
      <c r="L116" s="18">
        <f>IF(ISNUMBER(J116), $B118 * K116, "")</f>
        <v>-6656.8047337278103</v>
      </c>
      <c r="M116" s="31">
        <v>13350</v>
      </c>
      <c r="N116" s="32">
        <f t="shared" si="61"/>
        <v>-1.257396449704142E-2</v>
      </c>
      <c r="O116" s="18">
        <f>IF(ISNUMBER(M116), $B118 * N116, "")</f>
        <v>-3772.189349112426</v>
      </c>
      <c r="Q116" s="163"/>
      <c r="R116" s="164"/>
      <c r="S116" s="165"/>
    </row>
    <row r="117" spans="1:19" ht="17.25" thickBot="1">
      <c r="A117" s="23" t="s">
        <v>166</v>
      </c>
      <c r="B117" s="24">
        <v>2510</v>
      </c>
      <c r="C117" s="25">
        <v>2.44897959E-2</v>
      </c>
      <c r="D117" s="24">
        <v>2485</v>
      </c>
      <c r="E117" s="25">
        <f t="shared" si="58"/>
        <v>-9.9601593625498006E-3</v>
      </c>
      <c r="F117" s="104">
        <f>IF(ISNUMBER(D117), $B118 * E117, "")</f>
        <v>-2988.0478087649403</v>
      </c>
      <c r="G117" s="102">
        <v>2485</v>
      </c>
      <c r="H117" s="25">
        <f t="shared" si="59"/>
        <v>-9.9601593625498006E-3</v>
      </c>
      <c r="I117" s="103">
        <f>IF(ISNUMBER(G117), $B118 * H117, "")</f>
        <v>-2988.0478087649403</v>
      </c>
      <c r="J117" s="24">
        <v>2520</v>
      </c>
      <c r="K117" s="25">
        <f t="shared" si="60"/>
        <v>3.9840637450199202E-3</v>
      </c>
      <c r="L117" s="104">
        <f>IF(ISNUMBER(J117), $B118 * K117, "")</f>
        <v>1195.2191235059761</v>
      </c>
      <c r="M117" s="102">
        <v>2545</v>
      </c>
      <c r="N117" s="25">
        <f t="shared" si="61"/>
        <v>1.3944223107569721E-2</v>
      </c>
      <c r="O117" s="104">
        <f>IF(ISNUMBER(M117), $B118 * N117, "")</f>
        <v>4183.2669322709162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1.9863329532690366E-3</v>
      </c>
      <c r="F118" s="28">
        <f>SUM(F98:F117)</f>
        <v>11917.997719614215</v>
      </c>
      <c r="G118" s="26" t="s">
        <v>302</v>
      </c>
      <c r="H118" s="27">
        <f>IF(COUNT(H98:H117), SUM(H98:H117) / COUNT(H98:H117), 0)</f>
        <v>3.1705179367788605E-3</v>
      </c>
      <c r="I118" s="28">
        <f>SUM(I98:I117)</f>
        <v>19023.107620673156</v>
      </c>
      <c r="J118" s="26" t="s">
        <v>302</v>
      </c>
      <c r="K118" s="27">
        <f>IF(COUNT(K98:K117), SUM(K98:K117) / COUNT(K98:K117), 0)</f>
        <v>7.3366014505818408E-3</v>
      </c>
      <c r="L118" s="28">
        <f>SUM(L98:L117)</f>
        <v>44019.60870349106</v>
      </c>
      <c r="M118" s="26" t="s">
        <v>302</v>
      </c>
      <c r="N118" s="27">
        <f>IF(COUNT(N98:N117), SUM(N98:N117) / COUNT(N98:N117), 0)</f>
        <v>1.2667914716442175E-2</v>
      </c>
      <c r="O118" s="28">
        <f>SUM(O98:O117)</f>
        <v>76007.488298653043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2021-05-02(일) 오전 00:00</v>
      </c>
      <c r="C123" s="197"/>
      <c r="D123" s="198" t="str">
        <f>TEXT($G$1, "[$-ko-KR]yyyy-mm-dd(ddd) ") &amp; "오후 14:00"</f>
        <v>2021-05-02(일) 오후 14:00</v>
      </c>
      <c r="E123" s="199"/>
      <c r="F123" s="200"/>
      <c r="G123" s="198" t="str">
        <f>TEXT($G$1, "[$-ko-KR]yyyy-mm-dd(ddd) ") &amp; "오후 19:00"</f>
        <v>2021-05-02(일) 오후 19:00</v>
      </c>
      <c r="H123" s="199"/>
      <c r="I123" s="200"/>
      <c r="J123" s="198" t="str">
        <f>TEXT($G$1, "[$-ko-KR]yyyy-mm-dd(ddd) ") &amp; "오후 21:00"</f>
        <v>2021-05-02(일) 오후 21:00</v>
      </c>
      <c r="K123" s="199"/>
      <c r="L123" s="200"/>
      <c r="M123" s="198" t="str">
        <f>TEXT($G$1+1, "[$-ko-KR]yyyy-mm-dd(ddd) ") &amp; "오전 00:00"</f>
        <v>2021-05-03(월)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72</v>
      </c>
      <c r="B125" s="13">
        <v>37.4</v>
      </c>
      <c r="C125" s="14">
        <v>3.0303030299999999E-2</v>
      </c>
      <c r="D125" s="13">
        <v>36.5</v>
      </c>
      <c r="E125" s="14">
        <f>IF(ISNUMBER(D125), (D125 - $B125) / $B125, "")</f>
        <v>-2.4064171122994617E-2</v>
      </c>
      <c r="F125" s="16">
        <f>IF(ISNUMBER(D125), $B145 * E125, "")</f>
        <v>-7219.2513368983846</v>
      </c>
      <c r="G125" s="29">
        <v>36.5</v>
      </c>
      <c r="H125" s="14">
        <f>IF(ISNUMBER(G125), (G125 - $B125) / $B125, "")</f>
        <v>-2.4064171122994617E-2</v>
      </c>
      <c r="I125" s="100">
        <f>IF(ISNUMBER(G125), $B145 * H125, "")</f>
        <v>-7219.2513368983846</v>
      </c>
      <c r="J125" s="13">
        <v>36.700000000000003</v>
      </c>
      <c r="K125" s="14">
        <f>IF(ISNUMBER(J125), (J125 - $B125) / $B125, "")</f>
        <v>-1.8716577540106839E-2</v>
      </c>
      <c r="L125" s="16">
        <f>IF(ISNUMBER(J125), $B145 * K125, "")</f>
        <v>-5614.9732620320519</v>
      </c>
      <c r="M125" s="29">
        <v>36.799999999999997</v>
      </c>
      <c r="N125" s="14">
        <f>IF(ISNUMBER(M125), (M125 - $B125) / $B125, "")</f>
        <v>-1.6042780748663141E-2</v>
      </c>
      <c r="O125" s="16">
        <f>IF(ISNUMBER(M125), $B145 * N125, "")</f>
        <v>-4812.8342245989425</v>
      </c>
      <c r="Q125" s="184"/>
      <c r="R125" s="184"/>
      <c r="S125" s="184"/>
    </row>
    <row r="126" spans="1:19" ht="17.25" thickBot="1">
      <c r="A126" s="17" t="s">
        <v>100</v>
      </c>
      <c r="B126" s="15">
        <v>8.5500000000000007</v>
      </c>
      <c r="C126" s="32">
        <v>2.3446659E-3</v>
      </c>
      <c r="D126" s="15">
        <v>8.4499999999999993</v>
      </c>
      <c r="E126" s="32">
        <f t="shared" ref="E126:E129" si="62">IF(ISNUMBER(D126), (D126 - $B126) / $B126, "")</f>
        <v>-1.1695906432748704E-2</v>
      </c>
      <c r="F126" s="18">
        <f>IF(ISNUMBER(D126), $B145 * E126, "")</f>
        <v>-3508.7719298246111</v>
      </c>
      <c r="G126" s="31">
        <v>8.41</v>
      </c>
      <c r="H126" s="32">
        <f t="shared" ref="H126:H129" si="63">IF(ISNUMBER(G126), (G126 - $B126) / $B126, "")</f>
        <v>-1.6374269005848017E-2</v>
      </c>
      <c r="I126" s="101">
        <f>IF(ISNUMBER(G126), $B145 * H126, "")</f>
        <v>-4912.2807017544046</v>
      </c>
      <c r="J126" s="15">
        <v>8.44</v>
      </c>
      <c r="K126" s="32">
        <f t="shared" ref="K126:K129" si="64">IF(ISNUMBER(J126), (J126 - $B126) / $B126, "")</f>
        <v>-1.2865497076023531E-2</v>
      </c>
      <c r="L126" s="18">
        <f>IF(ISNUMBER(J126), $B145 * K126, "")</f>
        <v>-3859.6491228070595</v>
      </c>
      <c r="M126" s="31">
        <v>8.44</v>
      </c>
      <c r="N126" s="32">
        <f t="shared" ref="N126:N129" si="65">IF(ISNUMBER(M126), (M126 - $B126) / $B126, "")</f>
        <v>-1.2865497076023531E-2</v>
      </c>
      <c r="O126" s="18">
        <f>IF(ISNUMBER(M126), $B145 * N126, "")</f>
        <v>-3859.6491228070595</v>
      </c>
      <c r="Q126" s="184"/>
      <c r="R126" s="184"/>
      <c r="S126" s="184"/>
    </row>
    <row r="127" spans="1:19" ht="17.25" thickBot="1">
      <c r="A127" s="17" t="s">
        <v>228</v>
      </c>
      <c r="B127" s="15">
        <v>19.899999999999999</v>
      </c>
      <c r="C127" s="32">
        <v>-9.9502488000000004E-3</v>
      </c>
      <c r="D127" s="15">
        <v>20.100000000000001</v>
      </c>
      <c r="E127" s="32">
        <f t="shared" si="62"/>
        <v>1.0050251256281551E-2</v>
      </c>
      <c r="F127" s="18">
        <f>IF(ISNUMBER(D127), $B145 * E127, "")</f>
        <v>3015.0753768844652</v>
      </c>
      <c r="G127" s="31">
        <v>20.399999999999999</v>
      </c>
      <c r="H127" s="32">
        <f t="shared" si="63"/>
        <v>2.5125628140703519E-2</v>
      </c>
      <c r="I127" s="101">
        <f>IF(ISNUMBER(G127), $B145 * H127, "")</f>
        <v>7537.6884422110561</v>
      </c>
      <c r="J127" s="15">
        <v>20.5</v>
      </c>
      <c r="K127" s="32">
        <f t="shared" si="64"/>
        <v>3.0150753768844296E-2</v>
      </c>
      <c r="L127" s="18">
        <f>IF(ISNUMBER(J127), $B145 * K127, "")</f>
        <v>9045.2261306532891</v>
      </c>
      <c r="M127" s="31">
        <v>20.6</v>
      </c>
      <c r="N127" s="32">
        <f t="shared" si="65"/>
        <v>3.517587939698507E-2</v>
      </c>
      <c r="O127" s="18">
        <f>IF(ISNUMBER(M127), $B145 * N127, "")</f>
        <v>10552.76381909552</v>
      </c>
      <c r="Q127" s="174"/>
      <c r="R127" s="174"/>
      <c r="S127" s="174"/>
    </row>
    <row r="128" spans="1:19" ht="17.25" thickBot="1">
      <c r="A128" s="17" t="s">
        <v>220</v>
      </c>
      <c r="B128" s="15">
        <v>20.2</v>
      </c>
      <c r="C128" s="32">
        <v>-1.9417475699999999E-2</v>
      </c>
      <c r="D128" s="15">
        <v>20.100000000000001</v>
      </c>
      <c r="E128" s="32">
        <f t="shared" si="62"/>
        <v>-4.9504950495048447E-3</v>
      </c>
      <c r="F128" s="18">
        <f>IF(ISNUMBER(D128), $B145 * E128, "")</f>
        <v>-1485.1485148514535</v>
      </c>
      <c r="G128" s="31">
        <v>20.100000000000001</v>
      </c>
      <c r="H128" s="32">
        <f t="shared" si="63"/>
        <v>-4.9504950495048447E-3</v>
      </c>
      <c r="I128" s="101">
        <f>IF(ISNUMBER(G128), $B145 * H128, "")</f>
        <v>-1485.1485148514535</v>
      </c>
      <c r="J128" s="15">
        <v>20.100000000000001</v>
      </c>
      <c r="K128" s="32">
        <f t="shared" si="64"/>
        <v>-4.9504950495048447E-3</v>
      </c>
      <c r="L128" s="18">
        <f>IF(ISNUMBER(J128), $B145 * K128, "")</f>
        <v>-1485.1485148514535</v>
      </c>
      <c r="M128" s="31">
        <v>20.3</v>
      </c>
      <c r="N128" s="32">
        <f t="shared" si="65"/>
        <v>4.9504950495050208E-3</v>
      </c>
      <c r="O128" s="18">
        <f>IF(ISNUMBER(M128), $B145 * N128, "")</f>
        <v>1485.1485148515062</v>
      </c>
      <c r="Q128" s="174"/>
      <c r="R128" s="174"/>
      <c r="S128" s="174"/>
    </row>
    <row r="129" spans="1:19" ht="17.25" thickBot="1">
      <c r="A129" s="19" t="s">
        <v>222</v>
      </c>
      <c r="B129" s="20">
        <v>20.100000000000001</v>
      </c>
      <c r="C129" s="21">
        <v>-1.9512195100000001E-2</v>
      </c>
      <c r="D129" s="20">
        <v>20</v>
      </c>
      <c r="E129" s="21">
        <f t="shared" si="62"/>
        <v>-4.9751243781095229E-3</v>
      </c>
      <c r="F129" s="22">
        <f>IF(ISNUMBER(D129), $B145 * E129, "")</f>
        <v>-1492.5373134328568</v>
      </c>
      <c r="G129" s="30">
        <v>19.899999999999999</v>
      </c>
      <c r="H129" s="21">
        <f t="shared" si="63"/>
        <v>-9.9502487562190458E-3</v>
      </c>
      <c r="I129" s="105">
        <f>IF(ISNUMBER(G129), $B145 * H129, "")</f>
        <v>-2985.0746268657135</v>
      </c>
      <c r="J129" s="20">
        <v>20</v>
      </c>
      <c r="K129" s="21">
        <f t="shared" si="64"/>
        <v>-4.9751243781095229E-3</v>
      </c>
      <c r="L129" s="22">
        <f>IF(ISNUMBER(J129), $B145 * K129, "")</f>
        <v>-1492.5373134328568</v>
      </c>
      <c r="M129" s="30">
        <v>20.3</v>
      </c>
      <c r="N129" s="21">
        <f t="shared" si="65"/>
        <v>9.9502487562188689E-3</v>
      </c>
      <c r="O129" s="22">
        <f>IF(ISNUMBER(M129), $B145 * N129, "")</f>
        <v>2985.0746268656608</v>
      </c>
      <c r="Q129" s="174"/>
      <c r="R129" s="174"/>
      <c r="S129" s="174"/>
    </row>
    <row r="130" spans="1:19" ht="17.25" thickBot="1">
      <c r="A130" s="17" t="s">
        <v>198</v>
      </c>
      <c r="B130" s="106">
        <v>31.7</v>
      </c>
      <c r="C130" s="107">
        <v>-2.1604938300000001E-2</v>
      </c>
      <c r="D130" s="106">
        <v>31.5</v>
      </c>
      <c r="E130" s="107">
        <f>IF(ISNUMBER(D130), (D130 - $B130) / $B130, "")</f>
        <v>-6.3091482649842053E-3</v>
      </c>
      <c r="F130" s="108">
        <f>IF(ISNUMBER(D130), $B145 * E130, "")</f>
        <v>-1892.7444794952617</v>
      </c>
      <c r="G130" s="109">
        <v>31.4</v>
      </c>
      <c r="H130" s="107">
        <f>IF(ISNUMBER(G130), (G130 - $B130) / $B130, "")</f>
        <v>-9.4637223974763634E-3</v>
      </c>
      <c r="I130" s="110">
        <f>IF(ISNUMBER(G130), $B145 * H130, "")</f>
        <v>-2839.1167192429089</v>
      </c>
      <c r="J130" s="106">
        <v>31.4</v>
      </c>
      <c r="K130" s="107">
        <f>IF(ISNUMBER(J130), (J130 - $B130) / $B130, "")</f>
        <v>-9.4637223974763634E-3</v>
      </c>
      <c r="L130" s="108">
        <f>IF(ISNUMBER(J130), $B145 * K130, "")</f>
        <v>-2839.1167192429089</v>
      </c>
      <c r="M130" s="109">
        <v>31.6</v>
      </c>
      <c r="N130" s="107">
        <f>IF(ISNUMBER(M130), (M130 - $B130) / $B130, "")</f>
        <v>-3.1545741324920462E-3</v>
      </c>
      <c r="O130" s="108">
        <f>IF(ISNUMBER(M130), $B145 * N130, "")</f>
        <v>-946.37223974761389</v>
      </c>
      <c r="Q130" s="174"/>
      <c r="R130" s="174"/>
      <c r="S130" s="174"/>
    </row>
    <row r="131" spans="1:19" ht="17.25" thickBot="1">
      <c r="A131" s="17" t="s">
        <v>266</v>
      </c>
      <c r="B131" s="15">
        <v>93.6</v>
      </c>
      <c r="C131" s="32">
        <v>-2.19435737E-2</v>
      </c>
      <c r="D131" s="15">
        <v>93.3</v>
      </c>
      <c r="E131" s="32">
        <f t="shared" ref="E131:E134" si="66">IF(ISNUMBER(D131), (D131 - $B131) / $B131, "")</f>
        <v>-3.2051282051281751E-3</v>
      </c>
      <c r="F131" s="18">
        <f>IF(ISNUMBER(D131), $B145 * E131, "")</f>
        <v>-961.53846153845257</v>
      </c>
      <c r="G131" s="31">
        <v>94</v>
      </c>
      <c r="H131" s="32">
        <f t="shared" ref="H131:H134" si="67">IF(ISNUMBER(G131), (G131 - $B131) / $B131, "")</f>
        <v>4.2735042735043346E-3</v>
      </c>
      <c r="I131" s="101">
        <f>IF(ISNUMBER(G131), $B145 * H131, "")</f>
        <v>1282.0512820513004</v>
      </c>
      <c r="J131" s="15">
        <v>94.5</v>
      </c>
      <c r="K131" s="32">
        <f t="shared" ref="K131:K134" si="68">IF(ISNUMBER(J131), (J131 - $B131) / $B131, "")</f>
        <v>9.6153846153846766E-3</v>
      </c>
      <c r="L131" s="18">
        <f>IF(ISNUMBER(J131), $B145 * K131, "")</f>
        <v>2884.6153846154029</v>
      </c>
      <c r="M131" s="31">
        <v>95.4</v>
      </c>
      <c r="N131" s="32">
        <f t="shared" ref="N131:N134" si="69">IF(ISNUMBER(M131), (M131 - $B131) / $B131, "")</f>
        <v>1.9230769230769353E-2</v>
      </c>
      <c r="O131" s="18">
        <f>IF(ISNUMBER(M131), $B145 * N131, "")</f>
        <v>5769.2307692308059</v>
      </c>
      <c r="Q131" s="174"/>
      <c r="R131" s="174"/>
      <c r="S131" s="174"/>
    </row>
    <row r="132" spans="1:19" ht="17.25" thickBot="1">
      <c r="A132" s="17" t="s">
        <v>154</v>
      </c>
      <c r="B132" s="15">
        <v>22.2</v>
      </c>
      <c r="C132" s="32">
        <v>-2.2026431700000002E-2</v>
      </c>
      <c r="D132" s="15">
        <v>21.9</v>
      </c>
      <c r="E132" s="32">
        <f t="shared" si="66"/>
        <v>-1.3513513513513545E-2</v>
      </c>
      <c r="F132" s="18">
        <f>IF(ISNUMBER(D132), $B145 * E132, "")</f>
        <v>-4054.0540540540637</v>
      </c>
      <c r="G132" s="31">
        <v>22</v>
      </c>
      <c r="H132" s="32">
        <f t="shared" si="67"/>
        <v>-9.0090090090089777E-3</v>
      </c>
      <c r="I132" s="101">
        <f>IF(ISNUMBER(G132), $B145 * H132, "")</f>
        <v>-2702.7027027026934</v>
      </c>
      <c r="J132" s="15">
        <v>22.1</v>
      </c>
      <c r="K132" s="32">
        <f t="shared" si="68"/>
        <v>-4.5045045045044091E-3</v>
      </c>
      <c r="L132" s="18">
        <f>IF(ISNUMBER(J132), $B145 * K132, "")</f>
        <v>-1351.3513513513228</v>
      </c>
      <c r="M132" s="31">
        <v>22.3</v>
      </c>
      <c r="N132" s="32">
        <f t="shared" si="69"/>
        <v>4.5045045045045687E-3</v>
      </c>
      <c r="O132" s="18">
        <f>IF(ISNUMBER(M132), $B145 * N132, "")</f>
        <v>1351.3513513513706</v>
      </c>
      <c r="Q132" s="174"/>
      <c r="R132" s="174"/>
      <c r="S132" s="174"/>
    </row>
    <row r="133" spans="1:19" ht="17.25" thickBot="1">
      <c r="A133" s="17" t="s">
        <v>236</v>
      </c>
      <c r="B133" s="15">
        <v>77.3</v>
      </c>
      <c r="C133" s="32">
        <v>-2.3989898999999999E-2</v>
      </c>
      <c r="D133" s="15">
        <v>76.099999999999994</v>
      </c>
      <c r="E133" s="32">
        <f t="shared" si="66"/>
        <v>-1.5523932729624875E-2</v>
      </c>
      <c r="F133" s="18">
        <f>IF(ISNUMBER(D133), $B145 * E133, "")</f>
        <v>-4657.1798188874627</v>
      </c>
      <c r="G133" s="31">
        <v>75.599999999999994</v>
      </c>
      <c r="H133" s="32">
        <f t="shared" si="67"/>
        <v>-2.1992238033635224E-2</v>
      </c>
      <c r="I133" s="101">
        <f>IF(ISNUMBER(G133), $B145 * H133, "")</f>
        <v>-6597.6714100905674</v>
      </c>
      <c r="J133" s="15">
        <v>76.099999999999994</v>
      </c>
      <c r="K133" s="32">
        <f t="shared" si="68"/>
        <v>-1.5523932729624875E-2</v>
      </c>
      <c r="L133" s="18">
        <f>IF(ISNUMBER(J133), $B145 * K133, "")</f>
        <v>-4657.1798188874627</v>
      </c>
      <c r="M133" s="31">
        <v>77.2</v>
      </c>
      <c r="N133" s="32">
        <f t="shared" si="69"/>
        <v>-1.2936610608019965E-3</v>
      </c>
      <c r="O133" s="18">
        <f>IF(ISNUMBER(M133), $B145 * N133, "")</f>
        <v>-388.09831824059893</v>
      </c>
      <c r="Q133" s="33"/>
      <c r="R133" s="33"/>
    </row>
    <row r="134" spans="1:19" ht="17.25" thickBot="1">
      <c r="A134" s="23" t="s">
        <v>214</v>
      </c>
      <c r="B134" s="24">
        <v>24.2</v>
      </c>
      <c r="C134" s="25">
        <v>-2.4193548400000001E-2</v>
      </c>
      <c r="D134" s="24">
        <v>24.1</v>
      </c>
      <c r="E134" s="25">
        <f t="shared" si="66"/>
        <v>-4.1322314049585893E-3</v>
      </c>
      <c r="F134" s="104">
        <f>IF(ISNUMBER(D134), $B145 * E134, "")</f>
        <v>-1239.6694214875768</v>
      </c>
      <c r="G134" s="102">
        <v>24</v>
      </c>
      <c r="H134" s="25">
        <f t="shared" si="67"/>
        <v>-8.2644628099173261E-3</v>
      </c>
      <c r="I134" s="103">
        <f>IF(ISNUMBER(G134), $B145 * H134, "")</f>
        <v>-2479.3388429751976</v>
      </c>
      <c r="J134" s="24">
        <v>24.2</v>
      </c>
      <c r="K134" s="25">
        <f t="shared" si="68"/>
        <v>0</v>
      </c>
      <c r="L134" s="104">
        <f>IF(ISNUMBER(J134), $B145 * K134, "")</f>
        <v>0</v>
      </c>
      <c r="M134" s="102">
        <v>24.5</v>
      </c>
      <c r="N134" s="25">
        <f t="shared" si="69"/>
        <v>1.2396694214876063E-2</v>
      </c>
      <c r="O134" s="104">
        <f>IF(ISNUMBER(M134), $B145 * N134, "")</f>
        <v>3719.0082644628187</v>
      </c>
      <c r="Q134" s="175"/>
      <c r="R134" s="176"/>
      <c r="S134" s="177"/>
    </row>
    <row r="135" spans="1:19">
      <c r="A135" s="12" t="s">
        <v>152</v>
      </c>
      <c r="B135" s="13">
        <v>46.9</v>
      </c>
      <c r="C135" s="14">
        <v>-2.4948024900000001E-2</v>
      </c>
      <c r="D135" s="13">
        <v>48.7</v>
      </c>
      <c r="E135" s="14">
        <f>IF(ISNUMBER(D135), (D135 - $B135) / $B135, "")</f>
        <v>3.8379530916844443E-2</v>
      </c>
      <c r="F135" s="16">
        <f>IF(ISNUMBER(D135), $B145 * E135, "")</f>
        <v>11513.859275053333</v>
      </c>
      <c r="G135" s="29">
        <v>49.2</v>
      </c>
      <c r="H135" s="14">
        <f>IF(ISNUMBER(G135), (G135 - $B135) / $B135, "")</f>
        <v>4.9040511727078982E-2</v>
      </c>
      <c r="I135" s="100">
        <f>IF(ISNUMBER(G135), $B145 * H135, "")</f>
        <v>14712.153518123694</v>
      </c>
      <c r="J135" s="13">
        <v>50</v>
      </c>
      <c r="K135" s="14">
        <f>IF(ISNUMBER(J135), (J135 - $B135) / $B135, "")</f>
        <v>6.6098081023454186E-2</v>
      </c>
      <c r="L135" s="16">
        <f>IF(ISNUMBER(J135), $B145 * K135, "")</f>
        <v>19829.424307036257</v>
      </c>
      <c r="M135" s="29">
        <v>50</v>
      </c>
      <c r="N135" s="14">
        <f>IF(ISNUMBER(M135), (M135 - $B135) / $B135, "")</f>
        <v>6.6098081023454186E-2</v>
      </c>
      <c r="O135" s="16">
        <f>IF(ISNUMBER(M135), $B145 * N135, "")</f>
        <v>19829.424307036257</v>
      </c>
      <c r="Q135" s="178"/>
      <c r="R135" s="179"/>
      <c r="S135" s="180"/>
    </row>
    <row r="136" spans="1:19" ht="17.25" thickBot="1">
      <c r="A136" s="17" t="s">
        <v>268</v>
      </c>
      <c r="B136" s="15">
        <v>97</v>
      </c>
      <c r="C136" s="32">
        <v>-2.5125628099999998E-2</v>
      </c>
      <c r="D136" s="15">
        <v>101</v>
      </c>
      <c r="E136" s="32">
        <f t="shared" ref="E136:E139" si="70">IF(ISNUMBER(D136), (D136 - $B136) / $B136, "")</f>
        <v>4.1237113402061855E-2</v>
      </c>
      <c r="F136" s="18">
        <f>IF(ISNUMBER(D136), $B145 * E136, "")</f>
        <v>12371.134020618556</v>
      </c>
      <c r="G136" s="31">
        <v>100</v>
      </c>
      <c r="H136" s="32">
        <f t="shared" ref="H136:H139" si="71">IF(ISNUMBER(G136), (G136 - $B136) / $B136, "")</f>
        <v>3.0927835051546393E-2</v>
      </c>
      <c r="I136" s="101">
        <f>IF(ISNUMBER(G136), $B145 * H136, "")</f>
        <v>9278.350515463917</v>
      </c>
      <c r="J136" s="15">
        <v>101</v>
      </c>
      <c r="K136" s="32">
        <f t="shared" ref="K136:K139" si="72">IF(ISNUMBER(J136), (J136 - $B136) / $B136, "")</f>
        <v>4.1237113402061855E-2</v>
      </c>
      <c r="L136" s="18">
        <f>IF(ISNUMBER(J136), $B145 * K136, "")</f>
        <v>12371.134020618556</v>
      </c>
      <c r="M136" s="31">
        <v>101</v>
      </c>
      <c r="N136" s="32">
        <f t="shared" ref="N136:N139" si="73">IF(ISNUMBER(M136), (M136 - $B136) / $B136, "")</f>
        <v>4.1237113402061855E-2</v>
      </c>
      <c r="O136" s="18">
        <f>IF(ISNUMBER(M136), $B145 * N136, "")</f>
        <v>12371.134020618556</v>
      </c>
      <c r="Q136" s="181"/>
      <c r="R136" s="182"/>
      <c r="S136" s="183"/>
    </row>
    <row r="137" spans="1:19" ht="17.25" thickBot="1">
      <c r="A137" s="17" t="s">
        <v>196</v>
      </c>
      <c r="B137" s="15">
        <v>21.9</v>
      </c>
      <c r="C137" s="32">
        <v>-2.6666666700000001E-2</v>
      </c>
      <c r="D137" s="15">
        <v>21.7</v>
      </c>
      <c r="E137" s="32">
        <f t="shared" si="70"/>
        <v>-9.1324200913241692E-3</v>
      </c>
      <c r="F137" s="18">
        <f>IF(ISNUMBER(D137), $B145 * E137, "")</f>
        <v>-2739.7260273972506</v>
      </c>
      <c r="G137" s="31">
        <v>21.6</v>
      </c>
      <c r="H137" s="32">
        <f t="shared" si="71"/>
        <v>-1.3698630136986172E-2</v>
      </c>
      <c r="I137" s="101">
        <f>IF(ISNUMBER(G137), $B145 * H137, "")</f>
        <v>-4109.5890410958518</v>
      </c>
      <c r="J137" s="15">
        <v>21.8</v>
      </c>
      <c r="K137" s="32">
        <f t="shared" si="72"/>
        <v>-4.5662100456620031E-3</v>
      </c>
      <c r="L137" s="18">
        <f>IF(ISNUMBER(J137), $B145 * K137, "")</f>
        <v>-1369.863013698601</v>
      </c>
      <c r="M137" s="31">
        <v>21.8</v>
      </c>
      <c r="N137" s="32">
        <f t="shared" si="73"/>
        <v>-4.5662100456620031E-3</v>
      </c>
      <c r="O137" s="18">
        <f>IF(ISNUMBER(M137), $B145 * N137, "")</f>
        <v>-1369.863013698601</v>
      </c>
      <c r="Q137" s="174"/>
      <c r="R137" s="174"/>
      <c r="S137" s="174"/>
    </row>
    <row r="138" spans="1:19" ht="17.25" thickBot="1">
      <c r="A138" s="17" t="s">
        <v>186</v>
      </c>
      <c r="B138" s="15">
        <v>26.3</v>
      </c>
      <c r="C138" s="32">
        <v>-2.9520295200000001E-2</v>
      </c>
      <c r="D138" s="15">
        <v>27.2</v>
      </c>
      <c r="E138" s="32">
        <f t="shared" si="70"/>
        <v>3.4220532319391581E-2</v>
      </c>
      <c r="F138" s="18">
        <f>IF(ISNUMBER(D138), $B145 * E138, "")</f>
        <v>10266.159695817474</v>
      </c>
      <c r="G138" s="31">
        <v>27.3</v>
      </c>
      <c r="H138" s="32">
        <f t="shared" si="71"/>
        <v>3.8022813688212927E-2</v>
      </c>
      <c r="I138" s="101">
        <f>IF(ISNUMBER(G138), $B145 * H138, "")</f>
        <v>11406.844106463877</v>
      </c>
      <c r="J138" s="15">
        <v>27.6</v>
      </c>
      <c r="K138" s="32">
        <f t="shared" si="72"/>
        <v>4.9429657794676833E-2</v>
      </c>
      <c r="L138" s="18">
        <f>IF(ISNUMBER(J138), $B145 * K138, "")</f>
        <v>14828.897338403051</v>
      </c>
      <c r="M138" s="31">
        <v>27.8</v>
      </c>
      <c r="N138" s="32">
        <f t="shared" si="73"/>
        <v>5.7034220532319393E-2</v>
      </c>
      <c r="O138" s="18">
        <f>IF(ISNUMBER(M138), $B145 * N138, "")</f>
        <v>17110.266159695817</v>
      </c>
      <c r="Q138" s="184"/>
      <c r="R138" s="184"/>
      <c r="S138" s="184"/>
    </row>
    <row r="139" spans="1:19" ht="17.25" thickBot="1">
      <c r="A139" s="19" t="s">
        <v>172</v>
      </c>
      <c r="B139" s="20">
        <v>28.2</v>
      </c>
      <c r="C139" s="21">
        <v>-3.0927835099999999E-2</v>
      </c>
      <c r="D139" s="20">
        <v>28.1</v>
      </c>
      <c r="E139" s="21">
        <f t="shared" si="70"/>
        <v>-3.5460992907800663E-3</v>
      </c>
      <c r="F139" s="22">
        <f>IF(ISNUMBER(D139), $B145 * E139, "")</f>
        <v>-1063.8297872340199</v>
      </c>
      <c r="G139" s="30">
        <v>27.9</v>
      </c>
      <c r="H139" s="21">
        <f t="shared" si="71"/>
        <v>-1.0638297872340451E-2</v>
      </c>
      <c r="I139" s="105">
        <f>IF(ISNUMBER(G139), $B145 * H139, "")</f>
        <v>-3191.4893617021353</v>
      </c>
      <c r="J139" s="20">
        <v>27.9</v>
      </c>
      <c r="K139" s="21">
        <f t="shared" si="72"/>
        <v>-1.0638297872340451E-2</v>
      </c>
      <c r="L139" s="22">
        <f>IF(ISNUMBER(J139), $B145 * K139, "")</f>
        <v>-3191.4893617021353</v>
      </c>
      <c r="M139" s="30">
        <v>28.5</v>
      </c>
      <c r="N139" s="21">
        <f t="shared" si="73"/>
        <v>1.0638297872340451E-2</v>
      </c>
      <c r="O139" s="22">
        <f>IF(ISNUMBER(M139), $B145 * N139, "")</f>
        <v>3191.4893617021353</v>
      </c>
      <c r="Q139" s="184"/>
      <c r="R139" s="184"/>
      <c r="S139" s="184"/>
    </row>
    <row r="140" spans="1:19" ht="17.25" thickBot="1">
      <c r="A140" s="17" t="s">
        <v>218</v>
      </c>
      <c r="B140" s="106">
        <v>32.1</v>
      </c>
      <c r="C140" s="107">
        <v>-3.3132530100000002E-2</v>
      </c>
      <c r="D140" s="106">
        <v>31.5</v>
      </c>
      <c r="E140" s="107">
        <f>IF(ISNUMBER(D140), (D140 - $B140) / $B140, "")</f>
        <v>-1.8691588785046773E-2</v>
      </c>
      <c r="F140" s="108">
        <f>IF(ISNUMBER(D140), $B145 * E140, "")</f>
        <v>-5607.4766355140318</v>
      </c>
      <c r="G140" s="109">
        <v>31.8</v>
      </c>
      <c r="H140" s="107">
        <f>IF(ISNUMBER(G140), (G140 - $B140) / $B140, "")</f>
        <v>-9.3457943925233863E-3</v>
      </c>
      <c r="I140" s="110">
        <f>IF(ISNUMBER(G140), $B145 * H140, "")</f>
        <v>-2803.7383177570159</v>
      </c>
      <c r="J140" s="106">
        <v>31.8</v>
      </c>
      <c r="K140" s="107">
        <f>IF(ISNUMBER(J140), (J140 - $B140) / $B140, "")</f>
        <v>-9.3457943925233863E-3</v>
      </c>
      <c r="L140" s="108">
        <f>IF(ISNUMBER(J140), $B145 * K140, "")</f>
        <v>-2803.7383177570159</v>
      </c>
      <c r="M140" s="109">
        <v>32.1</v>
      </c>
      <c r="N140" s="107">
        <f>IF(ISNUMBER(M140), (M140 - $B140) / $B140, "")</f>
        <v>0</v>
      </c>
      <c r="O140" s="108">
        <f>IF(ISNUMBER(M140), $B145 * N140, "")</f>
        <v>0</v>
      </c>
      <c r="Q140" s="174"/>
      <c r="R140" s="174"/>
      <c r="S140" s="174"/>
    </row>
    <row r="141" spans="1:19" ht="17.25" thickBot="1">
      <c r="A141" s="17" t="s">
        <v>254</v>
      </c>
      <c r="B141" s="15">
        <v>92.4</v>
      </c>
      <c r="C141" s="32">
        <v>-3.54906054E-2</v>
      </c>
      <c r="D141" s="15">
        <v>93.7</v>
      </c>
      <c r="E141" s="32">
        <f t="shared" ref="E141:E144" si="74">IF(ISNUMBER(D141), (D141 - $B141) / $B141, "")</f>
        <v>1.4069264069264037E-2</v>
      </c>
      <c r="F141" s="18">
        <f>IF(ISNUMBER(D141), $B145 * E141, "")</f>
        <v>4220.7792207792108</v>
      </c>
      <c r="G141" s="31">
        <v>93.9</v>
      </c>
      <c r="H141" s="32">
        <f t="shared" ref="H141:H144" si="75">IF(ISNUMBER(G141), (G141 - $B141) / $B141, "")</f>
        <v>1.6233766233766232E-2</v>
      </c>
      <c r="I141" s="101">
        <f>IF(ISNUMBER(G141), $B145 * H141, "")</f>
        <v>4870.1298701298692</v>
      </c>
      <c r="J141" s="15">
        <v>96</v>
      </c>
      <c r="K141" s="32">
        <f t="shared" ref="K141:K144" si="76">IF(ISNUMBER(J141), (J141 - $B141) / $B141, "")</f>
        <v>3.8961038961038898E-2</v>
      </c>
      <c r="L141" s="18">
        <f>IF(ISNUMBER(J141), $B145 * K141, "")</f>
        <v>11688.311688311669</v>
      </c>
      <c r="M141" s="31">
        <v>96.1</v>
      </c>
      <c r="N141" s="32">
        <f t="shared" ref="N141:N144" si="77">IF(ISNUMBER(M141), (M141 - $B141) / $B141, "")</f>
        <v>4.0043290043289916E-2</v>
      </c>
      <c r="O141" s="18">
        <f>IF(ISNUMBER(M141), $B145 * N141, "")</f>
        <v>12012.987012986974</v>
      </c>
      <c r="Q141" s="174"/>
      <c r="R141" s="174"/>
      <c r="S141" s="174"/>
    </row>
    <row r="142" spans="1:19" ht="17.25" thickBot="1">
      <c r="A142" s="17" t="s">
        <v>65</v>
      </c>
      <c r="B142" s="15">
        <v>77.5</v>
      </c>
      <c r="C142" s="32">
        <v>-4.6740467399999999E-2</v>
      </c>
      <c r="D142" s="15">
        <v>76.7</v>
      </c>
      <c r="E142" s="32">
        <f t="shared" si="74"/>
        <v>-1.0322580645161254E-2</v>
      </c>
      <c r="F142" s="18">
        <f>IF(ISNUMBER(D142), $B145 * E142, "")</f>
        <v>-3096.7741935483764</v>
      </c>
      <c r="G142" s="31">
        <v>76</v>
      </c>
      <c r="H142" s="32">
        <f t="shared" si="75"/>
        <v>-1.935483870967742E-2</v>
      </c>
      <c r="I142" s="101">
        <f>IF(ISNUMBER(G142), $B145 * H142, "")</f>
        <v>-5806.4516129032263</v>
      </c>
      <c r="J142" s="15">
        <v>75.599999999999994</v>
      </c>
      <c r="K142" s="32">
        <f t="shared" si="76"/>
        <v>-2.4516129032258138E-2</v>
      </c>
      <c r="L142" s="18">
        <f>IF(ISNUMBER(J142), $B145 * K142, "")</f>
        <v>-7354.8387096774413</v>
      </c>
      <c r="M142" s="31">
        <v>75.8</v>
      </c>
      <c r="N142" s="32">
        <f t="shared" si="77"/>
        <v>-2.1935483870967779E-2</v>
      </c>
      <c r="O142" s="18">
        <f>IF(ISNUMBER(M142), $B145 * N142, "")</f>
        <v>-6580.6451612903338</v>
      </c>
      <c r="Q142" s="174"/>
      <c r="R142" s="174"/>
      <c r="S142" s="174"/>
    </row>
    <row r="143" spans="1:19">
      <c r="A143" s="17" t="s">
        <v>126</v>
      </c>
      <c r="B143" s="15">
        <v>70.7</v>
      </c>
      <c r="C143" s="32">
        <v>-4.9731182800000003E-2</v>
      </c>
      <c r="D143" s="15">
        <v>68</v>
      </c>
      <c r="E143" s="32">
        <f t="shared" si="74"/>
        <v>-3.8189533239038231E-2</v>
      </c>
      <c r="F143" s="18">
        <f>IF(ISNUMBER(D143), $B145 * E143, "")</f>
        <v>-11456.85997171147</v>
      </c>
      <c r="G143" s="31">
        <v>68</v>
      </c>
      <c r="H143" s="32">
        <f t="shared" si="75"/>
        <v>-3.8189533239038231E-2</v>
      </c>
      <c r="I143" s="101">
        <f>IF(ISNUMBER(G143), $B145 * H143, "")</f>
        <v>-11456.85997171147</v>
      </c>
      <c r="J143" s="15">
        <v>68.5</v>
      </c>
      <c r="K143" s="32">
        <f t="shared" si="76"/>
        <v>-3.1117397454031158E-2</v>
      </c>
      <c r="L143" s="18">
        <f>IF(ISNUMBER(J143), $B145 * K143, "")</f>
        <v>-9335.2192362093465</v>
      </c>
      <c r="M143" s="31">
        <v>68.7</v>
      </c>
      <c r="N143" s="32">
        <f t="shared" si="77"/>
        <v>-2.8288543140028287E-2</v>
      </c>
      <c r="O143" s="18">
        <f>IF(ISNUMBER(M143), $B145 * N143, "")</f>
        <v>-8486.5629420084861</v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-1.594483220477585E-3</v>
      </c>
      <c r="F145" s="28">
        <f>SUM(F125:F144)</f>
        <v>-9088.5543567222303</v>
      </c>
      <c r="G145" s="26" t="s">
        <v>302</v>
      </c>
      <c r="H145" s="27">
        <f>IF(COUNT(H125:H144), SUM(H125:H144) / COUNT(H125:H144), 0)</f>
        <v>-1.666929022124089E-3</v>
      </c>
      <c r="I145" s="28">
        <f>SUM(I125:I144)</f>
        <v>-9501.4954261073035</v>
      </c>
      <c r="J145" s="26" t="s">
        <v>302</v>
      </c>
      <c r="K145" s="27">
        <f>IF(COUNT(K125:K144), SUM(K125:K144) / COUNT(K125:K144), 0)</f>
        <v>4.437281425962906E-3</v>
      </c>
      <c r="L145" s="28">
        <f>SUM(L125:L144)</f>
        <v>25292.50412798857</v>
      </c>
      <c r="M145" s="26" t="s">
        <v>302</v>
      </c>
      <c r="N145" s="27">
        <f>IF(COUNT(N125:N144), SUM(N125:N144) / COUNT(N125:N144), 0)</f>
        <v>1.1216465471141364E-2</v>
      </c>
      <c r="O145" s="28">
        <f>SUM(O125:O144)</f>
        <v>63933.853185505781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2021-05-02(일) 오전 00:00</v>
      </c>
      <c r="C150" s="197"/>
      <c r="D150" s="198" t="str">
        <f>TEXT($G$1, "[$-ko-KR]yyyy-mm-dd(ddd) ") &amp; "오후 14:00"</f>
        <v>2021-05-02(일) 오후 14:00</v>
      </c>
      <c r="E150" s="199"/>
      <c r="F150" s="200"/>
      <c r="G150" s="198" t="str">
        <f>TEXT($G$1, "[$-ko-KR]yyyy-mm-dd(ddd) ") &amp; "오후 19:00"</f>
        <v>2021-05-02(일) 오후 19:00</v>
      </c>
      <c r="H150" s="199"/>
      <c r="I150" s="200"/>
      <c r="J150" s="198" t="str">
        <f>TEXT($G$1, "[$-ko-KR]yyyy-mm-dd(ddd) ") &amp; "오후 21:00"</f>
        <v>2021-05-02(일) 오후 21:00</v>
      </c>
      <c r="K150" s="199"/>
      <c r="L150" s="200"/>
      <c r="M150" s="198" t="str">
        <f>TEXT($G$1+1, "[$-ko-KR]yyyy-mm-dd(ddd) ") &amp; "오전 00:00"</f>
        <v>2021-05-03(월)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238</v>
      </c>
      <c r="B152" s="13">
        <v>315</v>
      </c>
      <c r="C152" s="14">
        <v>-1.2539185E-2</v>
      </c>
      <c r="D152" s="13">
        <v>313</v>
      </c>
      <c r="E152" s="14">
        <f>IF(ISNUMBER(D152), (D152 - $B152) / $B152, "")</f>
        <v>-6.3492063492063492E-3</v>
      </c>
      <c r="F152" s="16">
        <f>IF(ISNUMBER(D152), $B172 * E152, "")</f>
        <v>-1904.7619047619048</v>
      </c>
      <c r="G152" s="29">
        <v>310</v>
      </c>
      <c r="H152" s="14">
        <f>IF(ISNUMBER(G152), (G152 - $B152) / $B152, "")</f>
        <v>-1.5873015873015872E-2</v>
      </c>
      <c r="I152" s="100">
        <f>IF(ISNUMBER(G152), $B172 * H152, "")</f>
        <v>-4761.9047619047615</v>
      </c>
      <c r="J152" s="13">
        <v>313</v>
      </c>
      <c r="K152" s="14">
        <f>IF(ISNUMBER(J152), (J152 - $B152) / $B152, "")</f>
        <v>-6.3492063492063492E-3</v>
      </c>
      <c r="L152" s="16">
        <f>IF(ISNUMBER(J152), $B172 * K152, "")</f>
        <v>-1904.7619047619048</v>
      </c>
      <c r="M152" s="29">
        <v>316</v>
      </c>
      <c r="N152" s="14">
        <f>IF(ISNUMBER(M152), (M152 - $B152) / $B152, "")</f>
        <v>3.1746031746031746E-3</v>
      </c>
      <c r="O152" s="16">
        <f>IF(ISNUMBER(M152), $B172 * N152, "")</f>
        <v>952.38095238095241</v>
      </c>
      <c r="Q152" s="184"/>
      <c r="R152" s="184"/>
      <c r="S152" s="184"/>
    </row>
    <row r="153" spans="1:19" ht="17.25" thickBot="1">
      <c r="A153" s="17" t="s">
        <v>202</v>
      </c>
      <c r="B153" s="15">
        <v>219</v>
      </c>
      <c r="C153" s="32">
        <v>-1.3513513499999999E-2</v>
      </c>
      <c r="D153" s="15">
        <v>230</v>
      </c>
      <c r="E153" s="32">
        <f t="shared" ref="E153:E156" si="78">IF(ISNUMBER(D153), (D153 - $B153) / $B153, "")</f>
        <v>5.0228310502283102E-2</v>
      </c>
      <c r="F153" s="18">
        <f>IF(ISNUMBER(D153), $B172 * E153, "")</f>
        <v>15068.49315068493</v>
      </c>
      <c r="G153" s="31">
        <v>231</v>
      </c>
      <c r="H153" s="32">
        <f t="shared" ref="H153:H156" si="79">IF(ISNUMBER(G153), (G153 - $B153) / $B153, "")</f>
        <v>5.4794520547945202E-2</v>
      </c>
      <c r="I153" s="101">
        <f>IF(ISNUMBER(G153), $B172 * H153, "")</f>
        <v>16438.35616438356</v>
      </c>
      <c r="J153" s="15">
        <v>237</v>
      </c>
      <c r="K153" s="32">
        <f t="shared" ref="K153:K156" si="80">IF(ISNUMBER(J153), (J153 - $B153) / $B153, "")</f>
        <v>8.2191780821917804E-2</v>
      </c>
      <c r="L153" s="18">
        <f>IF(ISNUMBER(J153), $B172 * K153, "")</f>
        <v>24657.534246575342</v>
      </c>
      <c r="M153" s="31">
        <v>252</v>
      </c>
      <c r="N153" s="32">
        <f t="shared" ref="N153:N156" si="81">IF(ISNUMBER(M153), (M153 - $B153) / $B153, "")</f>
        <v>0.15068493150684931</v>
      </c>
      <c r="O153" s="18">
        <f>IF(ISNUMBER(M153), $B172 * N153, "")</f>
        <v>45205.479452054795</v>
      </c>
      <c r="Q153" s="184"/>
      <c r="R153" s="184"/>
      <c r="S153" s="184"/>
    </row>
    <row r="154" spans="1:19" ht="17.25" thickBot="1">
      <c r="A154" s="17" t="s">
        <v>200</v>
      </c>
      <c r="B154" s="15">
        <v>409</v>
      </c>
      <c r="C154" s="32">
        <v>-1.44578313E-2</v>
      </c>
      <c r="D154" s="15">
        <v>401</v>
      </c>
      <c r="E154" s="32">
        <f t="shared" si="78"/>
        <v>-1.9559902200488997E-2</v>
      </c>
      <c r="F154" s="18">
        <f>IF(ISNUMBER(D154), $B172 * E154, "")</f>
        <v>-5867.9706601466996</v>
      </c>
      <c r="G154" s="31">
        <v>403</v>
      </c>
      <c r="H154" s="32">
        <f t="shared" si="79"/>
        <v>-1.4669926650366748E-2</v>
      </c>
      <c r="I154" s="101">
        <f>IF(ISNUMBER(G154), $B172 * H154, "")</f>
        <v>-4400.9779951100245</v>
      </c>
      <c r="J154" s="15">
        <v>404</v>
      </c>
      <c r="K154" s="32">
        <f t="shared" si="80"/>
        <v>-1.2224938875305624E-2</v>
      </c>
      <c r="L154" s="18">
        <f>IF(ISNUMBER(J154), $B172 * K154, "")</f>
        <v>-3667.4816625916874</v>
      </c>
      <c r="M154" s="31">
        <v>407</v>
      </c>
      <c r="N154" s="32">
        <f t="shared" si="81"/>
        <v>-4.8899755501222494E-3</v>
      </c>
      <c r="O154" s="18">
        <f>IF(ISNUMBER(M154), $B172 * N154, "")</f>
        <v>-1466.9926650366749</v>
      </c>
      <c r="Q154" s="174"/>
      <c r="R154" s="174"/>
      <c r="S154" s="174"/>
    </row>
    <row r="155" spans="1:19" ht="17.25" thickBot="1">
      <c r="A155" s="17" t="s">
        <v>270</v>
      </c>
      <c r="B155" s="15">
        <v>544</v>
      </c>
      <c r="C155" s="32">
        <v>-1.44927536E-2</v>
      </c>
      <c r="D155" s="15">
        <v>540</v>
      </c>
      <c r="E155" s="32">
        <f t="shared" si="78"/>
        <v>-7.3529411764705881E-3</v>
      </c>
      <c r="F155" s="18">
        <f>IF(ISNUMBER(D155), $B172 * E155, "")</f>
        <v>-2205.8823529411766</v>
      </c>
      <c r="G155" s="31">
        <v>542</v>
      </c>
      <c r="H155" s="32">
        <f t="shared" si="79"/>
        <v>-3.6764705882352941E-3</v>
      </c>
      <c r="I155" s="101">
        <f>IF(ISNUMBER(G155), $B172 * H155, "")</f>
        <v>-1102.9411764705883</v>
      </c>
      <c r="J155" s="15">
        <v>542</v>
      </c>
      <c r="K155" s="32">
        <f t="shared" si="80"/>
        <v>-3.6764705882352941E-3</v>
      </c>
      <c r="L155" s="18">
        <f>IF(ISNUMBER(J155), $B172 * K155, "")</f>
        <v>-1102.9411764705883</v>
      </c>
      <c r="M155" s="31">
        <v>548</v>
      </c>
      <c r="N155" s="32">
        <f t="shared" si="81"/>
        <v>7.3529411764705881E-3</v>
      </c>
      <c r="O155" s="18">
        <f>IF(ISNUMBER(M155), $B172 * N155, "")</f>
        <v>2205.8823529411766</v>
      </c>
      <c r="Q155" s="174"/>
      <c r="R155" s="174"/>
      <c r="S155" s="174"/>
    </row>
    <row r="156" spans="1:19" ht="17.25" thickBot="1">
      <c r="A156" s="19" t="s">
        <v>208</v>
      </c>
      <c r="B156" s="20">
        <v>525</v>
      </c>
      <c r="C156" s="21">
        <v>-1.5009380900000001E-2</v>
      </c>
      <c r="D156" s="20">
        <v>534</v>
      </c>
      <c r="E156" s="21">
        <f t="shared" si="78"/>
        <v>1.7142857142857144E-2</v>
      </c>
      <c r="F156" s="22">
        <f>IF(ISNUMBER(D156), $B172 * E156, "")</f>
        <v>5142.8571428571431</v>
      </c>
      <c r="G156" s="30">
        <v>529</v>
      </c>
      <c r="H156" s="21">
        <f t="shared" si="79"/>
        <v>7.619047619047619E-3</v>
      </c>
      <c r="I156" s="105">
        <f>IF(ISNUMBER(G156), $B172 * H156, "")</f>
        <v>2285.7142857142858</v>
      </c>
      <c r="J156" s="20">
        <v>538</v>
      </c>
      <c r="K156" s="21">
        <f t="shared" si="80"/>
        <v>2.4761904761904763E-2</v>
      </c>
      <c r="L156" s="22">
        <f>IF(ISNUMBER(J156), $B172 * K156, "")</f>
        <v>7428.5714285714284</v>
      </c>
      <c r="M156" s="30">
        <v>540</v>
      </c>
      <c r="N156" s="21">
        <f t="shared" si="81"/>
        <v>2.8571428571428571E-2</v>
      </c>
      <c r="O156" s="22">
        <f>IF(ISNUMBER(M156), $B172 * N156, "")</f>
        <v>8571.4285714285706</v>
      </c>
      <c r="Q156" s="174"/>
      <c r="R156" s="174"/>
      <c r="S156" s="174"/>
    </row>
    <row r="157" spans="1:19" ht="17.25" thickBot="1">
      <c r="A157" s="17" t="s">
        <v>282</v>
      </c>
      <c r="B157" s="106">
        <v>184</v>
      </c>
      <c r="C157" s="107">
        <v>-1.6042780699999998E-2</v>
      </c>
      <c r="D157" s="106">
        <v>178</v>
      </c>
      <c r="E157" s="107">
        <f>IF(ISNUMBER(D157), (D157 - $B157) / $B157, "")</f>
        <v>-3.2608695652173912E-2</v>
      </c>
      <c r="F157" s="108">
        <f>IF(ISNUMBER(D157), $B172 * E157, "")</f>
        <v>-9782.608695652174</v>
      </c>
      <c r="G157" s="109">
        <v>178</v>
      </c>
      <c r="H157" s="107">
        <f>IF(ISNUMBER(G157), (G157 - $B157) / $B157, "")</f>
        <v>-3.2608695652173912E-2</v>
      </c>
      <c r="I157" s="110">
        <f>IF(ISNUMBER(G157), $B172 * H157, "")</f>
        <v>-9782.608695652174</v>
      </c>
      <c r="J157" s="106">
        <v>179</v>
      </c>
      <c r="K157" s="107">
        <f>IF(ISNUMBER(J157), (J157 - $B157) / $B157, "")</f>
        <v>-2.717391304347826E-2</v>
      </c>
      <c r="L157" s="108">
        <f>IF(ISNUMBER(J157), $B172 * K157, "")</f>
        <v>-8152.173913043478</v>
      </c>
      <c r="M157" s="109">
        <v>181</v>
      </c>
      <c r="N157" s="107">
        <f>IF(ISNUMBER(M157), (M157 - $B157) / $B157, "")</f>
        <v>-1.6304347826086956E-2</v>
      </c>
      <c r="O157" s="108">
        <f>IF(ISNUMBER(M157), $B172 * N157, "")</f>
        <v>-4891.304347826087</v>
      </c>
      <c r="Q157" s="174"/>
      <c r="R157" s="174"/>
      <c r="S157" s="174"/>
    </row>
    <row r="158" spans="1:19" ht="17.25" thickBot="1">
      <c r="A158" s="17" t="s">
        <v>112</v>
      </c>
      <c r="B158" s="15">
        <v>276</v>
      </c>
      <c r="C158" s="32">
        <v>-1.77935943E-2</v>
      </c>
      <c r="D158" s="15">
        <v>279</v>
      </c>
      <c r="E158" s="32">
        <f t="shared" ref="E158:E161" si="82">IF(ISNUMBER(D158), (D158 - $B158) / $B158, "")</f>
        <v>1.0869565217391304E-2</v>
      </c>
      <c r="F158" s="18">
        <f>IF(ISNUMBER(D158), $B172 * E158, "")</f>
        <v>3260.869565217391</v>
      </c>
      <c r="G158" s="31">
        <v>279</v>
      </c>
      <c r="H158" s="32">
        <f t="shared" ref="H158:H161" si="83">IF(ISNUMBER(G158), (G158 - $B158) / $B158, "")</f>
        <v>1.0869565217391304E-2</v>
      </c>
      <c r="I158" s="101">
        <f>IF(ISNUMBER(G158), $B172 * H158, "")</f>
        <v>3260.869565217391</v>
      </c>
      <c r="J158" s="15">
        <v>284</v>
      </c>
      <c r="K158" s="32">
        <f t="shared" ref="K158:K161" si="84">IF(ISNUMBER(J158), (J158 - $B158) / $B158, "")</f>
        <v>2.8985507246376812E-2</v>
      </c>
      <c r="L158" s="18">
        <f>IF(ISNUMBER(J158), $B172 * K158, "")</f>
        <v>8695.652173913044</v>
      </c>
      <c r="M158" s="31">
        <v>283</v>
      </c>
      <c r="N158" s="32">
        <f t="shared" ref="N158:N161" si="85">IF(ISNUMBER(M158), (M158 - $B158) / $B158, "")</f>
        <v>2.5362318840579712E-2</v>
      </c>
      <c r="O158" s="18">
        <f>IF(ISNUMBER(M158), $B172 * N158, "")</f>
        <v>7608.6956521739139</v>
      </c>
      <c r="Q158" s="174"/>
      <c r="R158" s="174"/>
      <c r="S158" s="174"/>
    </row>
    <row r="159" spans="1:19" ht="17.25" thickBot="1">
      <c r="A159" s="17" t="s">
        <v>134</v>
      </c>
      <c r="B159" s="15">
        <v>158</v>
      </c>
      <c r="C159" s="32">
        <v>-1.8633540399999999E-2</v>
      </c>
      <c r="D159" s="15">
        <v>157</v>
      </c>
      <c r="E159" s="32">
        <f t="shared" si="82"/>
        <v>-6.3291139240506328E-3</v>
      </c>
      <c r="F159" s="18">
        <f>IF(ISNUMBER(D159), $B172 * E159, "")</f>
        <v>-1898.7341772151899</v>
      </c>
      <c r="G159" s="31">
        <v>156</v>
      </c>
      <c r="H159" s="32">
        <f t="shared" si="83"/>
        <v>-1.2658227848101266E-2</v>
      </c>
      <c r="I159" s="101">
        <f>IF(ISNUMBER(G159), $B172 * H159, "")</f>
        <v>-3797.4683544303798</v>
      </c>
      <c r="J159" s="15">
        <v>157</v>
      </c>
      <c r="K159" s="32">
        <f t="shared" si="84"/>
        <v>-6.3291139240506328E-3</v>
      </c>
      <c r="L159" s="18">
        <f>IF(ISNUMBER(J159), $B172 * K159, "")</f>
        <v>-1898.7341772151899</v>
      </c>
      <c r="M159" s="31">
        <v>158</v>
      </c>
      <c r="N159" s="32">
        <f t="shared" si="85"/>
        <v>0</v>
      </c>
      <c r="O159" s="18">
        <f>IF(ISNUMBER(M159), $B172 * N159, "")</f>
        <v>0</v>
      </c>
      <c r="Q159" s="174"/>
      <c r="R159" s="174"/>
      <c r="S159" s="174"/>
    </row>
    <row r="160" spans="1:19" ht="17.25" thickBot="1">
      <c r="A160" s="17" t="s">
        <v>260</v>
      </c>
      <c r="B160" s="15">
        <v>135</v>
      </c>
      <c r="C160" s="32">
        <v>-2.1739130400000001E-2</v>
      </c>
      <c r="D160" s="15">
        <v>136</v>
      </c>
      <c r="E160" s="32">
        <f t="shared" si="82"/>
        <v>7.4074074074074077E-3</v>
      </c>
      <c r="F160" s="18">
        <f>IF(ISNUMBER(D160), $B172 * E160, "")</f>
        <v>2222.2222222222222</v>
      </c>
      <c r="G160" s="31">
        <v>136</v>
      </c>
      <c r="H160" s="32">
        <f t="shared" si="83"/>
        <v>7.4074074074074077E-3</v>
      </c>
      <c r="I160" s="101">
        <f>IF(ISNUMBER(G160), $B172 * H160, "")</f>
        <v>2222.2222222222222</v>
      </c>
      <c r="J160" s="15">
        <v>135</v>
      </c>
      <c r="K160" s="32">
        <f t="shared" si="84"/>
        <v>0</v>
      </c>
      <c r="L160" s="18">
        <f>IF(ISNUMBER(J160), $B172 * K160, "")</f>
        <v>0</v>
      </c>
      <c r="M160" s="31">
        <v>136</v>
      </c>
      <c r="N160" s="32">
        <f t="shared" si="85"/>
        <v>7.4074074074074077E-3</v>
      </c>
      <c r="O160" s="18">
        <f>IF(ISNUMBER(M160), $B172 * N160, "")</f>
        <v>2222.2222222222222</v>
      </c>
      <c r="Q160" s="33"/>
      <c r="R160" s="33"/>
    </row>
    <row r="161" spans="1:19" ht="17.25" thickBot="1">
      <c r="A161" s="23" t="s">
        <v>116</v>
      </c>
      <c r="B161" s="24">
        <v>715</v>
      </c>
      <c r="C161" s="25">
        <v>-2.1887824899999998E-2</v>
      </c>
      <c r="D161" s="24">
        <v>696</v>
      </c>
      <c r="E161" s="25">
        <f t="shared" si="82"/>
        <v>-2.6573426573426574E-2</v>
      </c>
      <c r="F161" s="104">
        <f>IF(ISNUMBER(D161), $B172 * E161, "")</f>
        <v>-7972.0279720279723</v>
      </c>
      <c r="G161" s="102">
        <v>696</v>
      </c>
      <c r="H161" s="25">
        <f t="shared" si="83"/>
        <v>-2.6573426573426574E-2</v>
      </c>
      <c r="I161" s="103">
        <f>IF(ISNUMBER(G161), $B172 * H161, "")</f>
        <v>-7972.0279720279723</v>
      </c>
      <c r="J161" s="24">
        <v>702</v>
      </c>
      <c r="K161" s="25">
        <f t="shared" si="84"/>
        <v>-1.8181818181818181E-2</v>
      </c>
      <c r="L161" s="104">
        <f>IF(ISNUMBER(J161), $B172 * K161, "")</f>
        <v>-5454.545454545454</v>
      </c>
      <c r="M161" s="102">
        <v>706</v>
      </c>
      <c r="N161" s="25">
        <f t="shared" si="85"/>
        <v>-1.2587412587412588E-2</v>
      </c>
      <c r="O161" s="104">
        <f>IF(ISNUMBER(M161), $B172 * N161, "")</f>
        <v>-3776.2237762237764</v>
      </c>
      <c r="Q161" s="175"/>
      <c r="R161" s="176"/>
      <c r="S161" s="177"/>
    </row>
    <row r="162" spans="1:19">
      <c r="A162" s="12" t="s">
        <v>246</v>
      </c>
      <c r="B162" s="13">
        <v>444</v>
      </c>
      <c r="C162" s="14">
        <v>-2.2026431700000002E-2</v>
      </c>
      <c r="D162" s="13">
        <v>435</v>
      </c>
      <c r="E162" s="14">
        <f>IF(ISNUMBER(D162), (D162 - $B162) / $B162, "")</f>
        <v>-2.0270270270270271E-2</v>
      </c>
      <c r="F162" s="16">
        <f>IF(ISNUMBER(D162), $B172 * E162, "")</f>
        <v>-6081.0810810810817</v>
      </c>
      <c r="G162" s="29">
        <v>436</v>
      </c>
      <c r="H162" s="14">
        <f>IF(ISNUMBER(G162), (G162 - $B162) / $B162, "")</f>
        <v>-1.8018018018018018E-2</v>
      </c>
      <c r="I162" s="100">
        <f>IF(ISNUMBER(G162), $B172 * H162, "")</f>
        <v>-5405.405405405405</v>
      </c>
      <c r="J162" s="13">
        <v>437</v>
      </c>
      <c r="K162" s="14">
        <f>IF(ISNUMBER(J162), (J162 - $B162) / $B162, "")</f>
        <v>-1.5765765765765764E-2</v>
      </c>
      <c r="L162" s="16">
        <f>IF(ISNUMBER(J162), $B172 * K162, "")</f>
        <v>-4729.7297297297291</v>
      </c>
      <c r="M162" s="29">
        <v>439</v>
      </c>
      <c r="N162" s="14">
        <f>IF(ISNUMBER(M162), (M162 - $B162) / $B162, "")</f>
        <v>-1.1261261261261261E-2</v>
      </c>
      <c r="O162" s="16">
        <f>IF(ISNUMBER(M162), $B172 * N162, "")</f>
        <v>-3378.3783783783783</v>
      </c>
      <c r="Q162" s="178"/>
      <c r="R162" s="179"/>
      <c r="S162" s="180"/>
    </row>
    <row r="163" spans="1:19" ht="17.25" thickBot="1">
      <c r="A163" s="17" t="s">
        <v>170</v>
      </c>
      <c r="B163" s="15">
        <v>530</v>
      </c>
      <c r="C163" s="32">
        <v>-2.21402214E-2</v>
      </c>
      <c r="D163" s="15">
        <v>528</v>
      </c>
      <c r="E163" s="32">
        <f t="shared" ref="E163:E166" si="86">IF(ISNUMBER(D163), (D163 - $B163) / $B163, "")</f>
        <v>-3.7735849056603774E-3</v>
      </c>
      <c r="F163" s="18">
        <f>IF(ISNUMBER(D163), $B172 * E163, "")</f>
        <v>-1132.0754716981132</v>
      </c>
      <c r="G163" s="31">
        <v>533</v>
      </c>
      <c r="H163" s="32">
        <f t="shared" ref="H163:H166" si="87">IF(ISNUMBER(G163), (G163 - $B163) / $B163, "")</f>
        <v>5.6603773584905656E-3</v>
      </c>
      <c r="I163" s="101">
        <f>IF(ISNUMBER(G163), $B172 * H163, "")</f>
        <v>1698.1132075471696</v>
      </c>
      <c r="J163" s="15">
        <v>534</v>
      </c>
      <c r="K163" s="32">
        <f t="shared" ref="K163:K166" si="88">IF(ISNUMBER(J163), (J163 - $B163) / $B163, "")</f>
        <v>7.5471698113207548E-3</v>
      </c>
      <c r="L163" s="18">
        <f>IF(ISNUMBER(J163), $B172 * K163, "")</f>
        <v>2264.1509433962265</v>
      </c>
      <c r="M163" s="31">
        <v>541</v>
      </c>
      <c r="N163" s="32">
        <f t="shared" ref="N163:N166" si="89">IF(ISNUMBER(M163), (M163 - $B163) / $B163, "")</f>
        <v>2.0754716981132074E-2</v>
      </c>
      <c r="O163" s="18">
        <f>IF(ISNUMBER(M163), $B172 * N163, "")</f>
        <v>6226.4150943396226</v>
      </c>
      <c r="Q163" s="181"/>
      <c r="R163" s="182"/>
      <c r="S163" s="183"/>
    </row>
    <row r="164" spans="1:19" ht="17.25" thickBot="1">
      <c r="A164" s="17" t="s">
        <v>174</v>
      </c>
      <c r="B164" s="15">
        <v>305</v>
      </c>
      <c r="C164" s="32">
        <v>-2.2435897400000002E-2</v>
      </c>
      <c r="D164" s="15">
        <v>302</v>
      </c>
      <c r="E164" s="32">
        <f t="shared" si="86"/>
        <v>-9.8360655737704927E-3</v>
      </c>
      <c r="F164" s="18">
        <f>IF(ISNUMBER(D164), $B172 * E164, "")</f>
        <v>-2950.8196721311479</v>
      </c>
      <c r="G164" s="31">
        <v>301</v>
      </c>
      <c r="H164" s="32">
        <f t="shared" si="87"/>
        <v>-1.3114754098360656E-2</v>
      </c>
      <c r="I164" s="101">
        <f>IF(ISNUMBER(G164), $B172 * H164, "")</f>
        <v>-3934.4262295081967</v>
      </c>
      <c r="J164" s="15">
        <v>301</v>
      </c>
      <c r="K164" s="32">
        <f t="shared" si="88"/>
        <v>-1.3114754098360656E-2</v>
      </c>
      <c r="L164" s="18">
        <f>IF(ISNUMBER(J164), $B172 * K164, "")</f>
        <v>-3934.4262295081967</v>
      </c>
      <c r="M164" s="31">
        <v>303</v>
      </c>
      <c r="N164" s="32">
        <f t="shared" si="89"/>
        <v>-6.5573770491803279E-3</v>
      </c>
      <c r="O164" s="18">
        <f>IF(ISNUMBER(M164), $B172 * N164, "")</f>
        <v>-1967.2131147540983</v>
      </c>
      <c r="Q164" s="174"/>
      <c r="R164" s="174"/>
      <c r="S164" s="174"/>
    </row>
    <row r="165" spans="1:19" ht="17.25" thickBot="1">
      <c r="A165" s="17" t="s">
        <v>258</v>
      </c>
      <c r="B165" s="15">
        <v>751</v>
      </c>
      <c r="C165" s="32">
        <v>-2.4675324700000001E-2</v>
      </c>
      <c r="D165" s="15">
        <v>745</v>
      </c>
      <c r="E165" s="32">
        <f t="shared" si="86"/>
        <v>-7.989347536617843E-3</v>
      </c>
      <c r="F165" s="18">
        <f>IF(ISNUMBER(D165), $B172 * E165, "")</f>
        <v>-2396.8042609853528</v>
      </c>
      <c r="G165" s="31">
        <v>745</v>
      </c>
      <c r="H165" s="32">
        <f t="shared" si="87"/>
        <v>-7.989347536617843E-3</v>
      </c>
      <c r="I165" s="101">
        <f>IF(ISNUMBER(G165), $B172 * H165, "")</f>
        <v>-2396.8042609853528</v>
      </c>
      <c r="J165" s="15">
        <v>752</v>
      </c>
      <c r="K165" s="32">
        <f t="shared" si="88"/>
        <v>1.3315579227696406E-3</v>
      </c>
      <c r="L165" s="18">
        <f>IF(ISNUMBER(J165), $B172 * K165, "")</f>
        <v>399.46737683089219</v>
      </c>
      <c r="M165" s="31">
        <v>752</v>
      </c>
      <c r="N165" s="32">
        <f t="shared" si="89"/>
        <v>1.3315579227696406E-3</v>
      </c>
      <c r="O165" s="18">
        <f>IF(ISNUMBER(M165), $B172 * N165, "")</f>
        <v>399.46737683089219</v>
      </c>
      <c r="Q165" s="184"/>
      <c r="R165" s="184"/>
      <c r="S165" s="184"/>
    </row>
    <row r="166" spans="1:19" ht="17.25" thickBot="1">
      <c r="A166" s="19" t="s">
        <v>156</v>
      </c>
      <c r="B166" s="20">
        <v>153</v>
      </c>
      <c r="C166" s="21">
        <v>-2.5477706999999999E-2</v>
      </c>
      <c r="D166" s="20">
        <v>153</v>
      </c>
      <c r="E166" s="21">
        <f t="shared" si="86"/>
        <v>0</v>
      </c>
      <c r="F166" s="22">
        <f>IF(ISNUMBER(D166), $B172 * E166, "")</f>
        <v>0</v>
      </c>
      <c r="G166" s="30">
        <v>154</v>
      </c>
      <c r="H166" s="21">
        <f t="shared" si="87"/>
        <v>6.5359477124183009E-3</v>
      </c>
      <c r="I166" s="105">
        <f>IF(ISNUMBER(G166), $B172 * H166, "")</f>
        <v>1960.7843137254902</v>
      </c>
      <c r="J166" s="20">
        <v>154</v>
      </c>
      <c r="K166" s="21">
        <f t="shared" si="88"/>
        <v>6.5359477124183009E-3</v>
      </c>
      <c r="L166" s="22">
        <f>IF(ISNUMBER(J166), $B172 * K166, "")</f>
        <v>1960.7843137254902</v>
      </c>
      <c r="M166" s="30">
        <v>155</v>
      </c>
      <c r="N166" s="21">
        <f t="shared" si="89"/>
        <v>1.3071895424836602E-2</v>
      </c>
      <c r="O166" s="22">
        <f>IF(ISNUMBER(M166), $B172 * N166, "")</f>
        <v>3921.5686274509803</v>
      </c>
      <c r="Q166" s="184"/>
      <c r="R166" s="184"/>
      <c r="S166" s="184"/>
    </row>
    <row r="167" spans="1:19" ht="17.25" thickBot="1">
      <c r="A167" s="17" t="s">
        <v>264</v>
      </c>
      <c r="B167" s="106">
        <v>183</v>
      </c>
      <c r="C167" s="107">
        <v>-2.65957447E-2</v>
      </c>
      <c r="D167" s="106">
        <v>181</v>
      </c>
      <c r="E167" s="107">
        <f>IF(ISNUMBER(D167), (D167 - $B167) / $B167, "")</f>
        <v>-1.092896174863388E-2</v>
      </c>
      <c r="F167" s="108">
        <f>IF(ISNUMBER(D167), $B172 * E167, "")</f>
        <v>-3278.688524590164</v>
      </c>
      <c r="G167" s="109">
        <v>182</v>
      </c>
      <c r="H167" s="107">
        <f>IF(ISNUMBER(G167), (G167 - $B167) / $B167, "")</f>
        <v>-5.4644808743169399E-3</v>
      </c>
      <c r="I167" s="110">
        <f>IF(ISNUMBER(G167), $B172 * H167, "")</f>
        <v>-1639.344262295082</v>
      </c>
      <c r="J167" s="106">
        <v>182</v>
      </c>
      <c r="K167" s="107">
        <f>IF(ISNUMBER(J167), (J167 - $B167) / $B167, "")</f>
        <v>-5.4644808743169399E-3</v>
      </c>
      <c r="L167" s="108">
        <f>IF(ISNUMBER(J167), $B172 * K167, "")</f>
        <v>-1639.344262295082</v>
      </c>
      <c r="M167" s="109">
        <v>184</v>
      </c>
      <c r="N167" s="107">
        <f>IF(ISNUMBER(M167), (M167 - $B167) / $B167, "")</f>
        <v>5.4644808743169399E-3</v>
      </c>
      <c r="O167" s="108">
        <f>IF(ISNUMBER(M167), $B172 * N167, "")</f>
        <v>1639.344262295082</v>
      </c>
      <c r="Q167" s="174"/>
      <c r="R167" s="174"/>
      <c r="S167" s="174"/>
    </row>
    <row r="168" spans="1:19" ht="17.25" thickBot="1">
      <c r="A168" s="17" t="s">
        <v>210</v>
      </c>
      <c r="B168" s="15">
        <v>214</v>
      </c>
      <c r="C168" s="32">
        <v>-2.7272727300000001E-2</v>
      </c>
      <c r="D168" s="15">
        <v>213</v>
      </c>
      <c r="E168" s="32">
        <f t="shared" ref="E168:E171" si="90">IF(ISNUMBER(D168), (D168 - $B168) / $B168, "")</f>
        <v>-4.6728971962616819E-3</v>
      </c>
      <c r="F168" s="18">
        <f>IF(ISNUMBER(D168), $B172 * E168, "")</f>
        <v>-1401.8691588785045</v>
      </c>
      <c r="G168" s="31">
        <v>214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216</v>
      </c>
      <c r="K168" s="32">
        <f t="shared" ref="K168:K171" si="92">IF(ISNUMBER(J168), (J168 - $B168) / $B168, "")</f>
        <v>9.3457943925233638E-3</v>
      </c>
      <c r="L168" s="18">
        <f>IF(ISNUMBER(J168), $B172 * K168, "")</f>
        <v>2803.7383177570091</v>
      </c>
      <c r="M168" s="31">
        <v>219</v>
      </c>
      <c r="N168" s="32">
        <f t="shared" ref="N168:N171" si="93">IF(ISNUMBER(M168), (M168 - $B168) / $B168, "")</f>
        <v>2.336448598130841E-2</v>
      </c>
      <c r="O168" s="18">
        <f>IF(ISNUMBER(M168), $B172 * N168, "")</f>
        <v>7009.3457943925232</v>
      </c>
      <c r="Q168" s="174"/>
      <c r="R168" s="174"/>
      <c r="S168" s="174"/>
    </row>
    <row r="169" spans="1:19" ht="17.25" thickBot="1">
      <c r="A169" s="17" t="s">
        <v>88</v>
      </c>
      <c r="B169" s="15">
        <v>653</v>
      </c>
      <c r="C169" s="32">
        <v>-2.82738095E-2</v>
      </c>
      <c r="D169" s="15">
        <v>635</v>
      </c>
      <c r="E169" s="32">
        <f t="shared" si="90"/>
        <v>-2.7565084226646247E-2</v>
      </c>
      <c r="F169" s="18">
        <f>IF(ISNUMBER(D169), $B172 * E169, "")</f>
        <v>-8269.5252679938749</v>
      </c>
      <c r="G169" s="31">
        <v>636</v>
      </c>
      <c r="H169" s="32">
        <f t="shared" si="91"/>
        <v>-2.6033690658499236E-2</v>
      </c>
      <c r="I169" s="101">
        <f>IF(ISNUMBER(G169), $B172 * H169, "")</f>
        <v>-7810.1071975497707</v>
      </c>
      <c r="J169" s="15">
        <v>639</v>
      </c>
      <c r="K169" s="32">
        <f t="shared" si="92"/>
        <v>-2.1439509954058193E-2</v>
      </c>
      <c r="L169" s="18">
        <f>IF(ISNUMBER(J169), $B172 * K169, "")</f>
        <v>-6431.8529862174573</v>
      </c>
      <c r="M169" s="31">
        <v>649</v>
      </c>
      <c r="N169" s="32">
        <f t="shared" si="93"/>
        <v>-6.1255742725880554E-3</v>
      </c>
      <c r="O169" s="18">
        <f>IF(ISNUMBER(M169), $B172 * N169, "")</f>
        <v>-1837.6722817764166</v>
      </c>
      <c r="Q169" s="174"/>
      <c r="R169" s="174"/>
      <c r="S169" s="174"/>
    </row>
    <row r="170" spans="1:19">
      <c r="A170" s="17" t="s">
        <v>252</v>
      </c>
      <c r="B170" s="15">
        <v>589</v>
      </c>
      <c r="C170" s="32">
        <v>-2.9654036200000001E-2</v>
      </c>
      <c r="D170" s="15">
        <v>581</v>
      </c>
      <c r="E170" s="32">
        <f t="shared" si="90"/>
        <v>-1.3582342954159592E-2</v>
      </c>
      <c r="F170" s="18">
        <f>IF(ISNUMBER(D170), $B172 * E170, "")</f>
        <v>-4074.7028862478778</v>
      </c>
      <c r="G170" s="31">
        <v>582</v>
      </c>
      <c r="H170" s="32">
        <f t="shared" si="91"/>
        <v>-1.1884550084889643E-2</v>
      </c>
      <c r="I170" s="101">
        <f>IF(ISNUMBER(G170), $B172 * H170, "")</f>
        <v>-3565.3650254668928</v>
      </c>
      <c r="J170" s="15">
        <v>586</v>
      </c>
      <c r="K170" s="32">
        <f t="shared" si="92"/>
        <v>-5.0933786078098476E-3</v>
      </c>
      <c r="L170" s="18">
        <f>IF(ISNUMBER(J170), $B172 * K170, "")</f>
        <v>-1528.0135823429544</v>
      </c>
      <c r="M170" s="31">
        <v>587</v>
      </c>
      <c r="N170" s="32">
        <f t="shared" si="93"/>
        <v>-3.3955857385398981E-3</v>
      </c>
      <c r="O170" s="18">
        <f>IF(ISNUMBER(M170), $B172 * N170, "")</f>
        <v>-1018.6757215619695</v>
      </c>
      <c r="Q170" s="163"/>
      <c r="R170" s="164"/>
      <c r="S170" s="165"/>
    </row>
    <row r="171" spans="1:19" ht="17.25" thickBot="1">
      <c r="A171" s="23" t="s">
        <v>284</v>
      </c>
      <c r="B171" s="24">
        <v>470</v>
      </c>
      <c r="C171" s="25">
        <v>-3.2921810699999998E-2</v>
      </c>
      <c r="D171" s="24">
        <v>462</v>
      </c>
      <c r="E171" s="25">
        <f t="shared" si="90"/>
        <v>-1.7021276595744681E-2</v>
      </c>
      <c r="F171" s="104">
        <f>IF(ISNUMBER(D171), $B172 * E171, "")</f>
        <v>-5106.3829787234044</v>
      </c>
      <c r="G171" s="102">
        <v>462</v>
      </c>
      <c r="H171" s="25">
        <f t="shared" si="91"/>
        <v>-1.7021276595744681E-2</v>
      </c>
      <c r="I171" s="103">
        <f>IF(ISNUMBER(G171), $B172 * H171, "")</f>
        <v>-5106.3829787234044</v>
      </c>
      <c r="J171" s="24">
        <v>465</v>
      </c>
      <c r="K171" s="25">
        <f t="shared" si="92"/>
        <v>-1.0638297872340425E-2</v>
      </c>
      <c r="L171" s="104">
        <f>IF(ISNUMBER(J171), $B172 * K171, "")</f>
        <v>-3191.4893617021276</v>
      </c>
      <c r="M171" s="102">
        <v>469</v>
      </c>
      <c r="N171" s="25">
        <f t="shared" si="93"/>
        <v>-2.1276595744680851E-3</v>
      </c>
      <c r="O171" s="104">
        <f>IF(ISNUMBER(M171), $B172 * N171, "")</f>
        <v>-638.29787234042556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-6.4382488306821582E-3</v>
      </c>
      <c r="F172" s="28">
        <f>SUM(F152:F171)</f>
        <v>-38629.492984092954</v>
      </c>
      <c r="G172" s="26" t="s">
        <v>302</v>
      </c>
      <c r="H172" s="27">
        <f>IF(COUNT(H152:H171), SUM(H152:H171) / COUNT(H152:H171), 0)</f>
        <v>-5.6349507594533142E-3</v>
      </c>
      <c r="I172" s="28">
        <f>SUM(I152:I171)</f>
        <v>-33809.704556719887</v>
      </c>
      <c r="J172" s="26" t="s">
        <v>302</v>
      </c>
      <c r="K172" s="27">
        <f>IF(COUNT(K152:K171), SUM(K152:K171) / COUNT(K152:K171), 0)</f>
        <v>7.6240072672426322E-4</v>
      </c>
      <c r="L172" s="28">
        <f>SUM(L152:L171)</f>
        <v>4574.404360345583</v>
      </c>
      <c r="M172" s="26" t="s">
        <v>302</v>
      </c>
      <c r="N172" s="27">
        <f>IF(COUNT(N152:N171), SUM(N152:N171) / COUNT(N152:N171), 0)</f>
        <v>1.1164578700102153E-2</v>
      </c>
      <c r="O172" s="28">
        <f>SUM(O152:O171)</f>
        <v>66987.472200612887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2021-05-02(일) 오전 00:00</v>
      </c>
      <c r="C177" s="197"/>
      <c r="D177" s="198" t="str">
        <f>TEXT($G$1, "[$-ko-KR]yyyy-mm-dd(ddd) ") &amp; "오후 14:00"</f>
        <v>2021-05-02(일) 오후 14:00</v>
      </c>
      <c r="E177" s="199"/>
      <c r="F177" s="200"/>
      <c r="G177" s="198" t="str">
        <f>TEXT($G$1, "[$-ko-KR]yyyy-mm-dd(ddd) ") &amp; "오후 19:00"</f>
        <v>2021-05-02(일) 오후 19:00</v>
      </c>
      <c r="H177" s="199"/>
      <c r="I177" s="200"/>
      <c r="J177" s="198" t="str">
        <f>TEXT($G$1, "[$-ko-KR]yyyy-mm-dd(ddd) ") &amp; "오후 21:00"</f>
        <v>2021-05-02(일) 오후 21:00</v>
      </c>
      <c r="K177" s="199"/>
      <c r="L177" s="200"/>
      <c r="M177" s="198" t="str">
        <f>TEXT($G$1+1, "[$-ko-KR]yyyy-mm-dd(ddd) ") &amp; "오전 00:00"</f>
        <v>2021-05-03(월)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264</v>
      </c>
      <c r="B179" s="13">
        <v>183</v>
      </c>
      <c r="C179" s="14">
        <v>-2.65957447E-2</v>
      </c>
      <c r="D179" s="13">
        <v>181</v>
      </c>
      <c r="E179" s="14">
        <f>IF(ISNUMBER(D179), (D179 - $B179) / $B179, "")</f>
        <v>-1.092896174863388E-2</v>
      </c>
      <c r="F179" s="16">
        <f>IF(ISNUMBER(D179), $B199 * E179, "")</f>
        <v>-3278.688524590164</v>
      </c>
      <c r="G179" s="29">
        <v>182</v>
      </c>
      <c r="H179" s="14">
        <f>IF(ISNUMBER(G179), (G179 - $B179) / $B179, "")</f>
        <v>-5.4644808743169399E-3</v>
      </c>
      <c r="I179" s="100">
        <f>IF(ISNUMBER(G179), $B199 * H179, "")</f>
        <v>-1639.344262295082</v>
      </c>
      <c r="J179" s="13">
        <v>182</v>
      </c>
      <c r="K179" s="14">
        <f>IF(ISNUMBER(J179), (J179 - $B179) / $B179, "")</f>
        <v>-5.4644808743169399E-3</v>
      </c>
      <c r="L179" s="16">
        <f>IF(ISNUMBER(J179), $B199 * K179, "")</f>
        <v>-1639.344262295082</v>
      </c>
      <c r="M179" s="29">
        <v>184</v>
      </c>
      <c r="N179" s="14">
        <f>IF(ISNUMBER(M179), (M179 - $B179) / $B179, "")</f>
        <v>5.4644808743169399E-3</v>
      </c>
      <c r="O179" s="16">
        <f>IF(ISNUMBER(M179), $B199 * N179, "")</f>
        <v>1639.344262295082</v>
      </c>
      <c r="Q179" s="184"/>
      <c r="R179" s="184"/>
      <c r="S179" s="184"/>
    </row>
    <row r="180" spans="1:19" ht="17.25" thickBot="1">
      <c r="A180" s="17" t="s">
        <v>196</v>
      </c>
      <c r="B180" s="15">
        <v>21.9</v>
      </c>
      <c r="C180" s="32">
        <v>-2.6666666700000001E-2</v>
      </c>
      <c r="D180" s="15">
        <v>21.7</v>
      </c>
      <c r="E180" s="32">
        <f t="shared" ref="E180:E183" si="94">IF(ISNUMBER(D180), (D180 - $B180) / $B180, "")</f>
        <v>-9.1324200913241692E-3</v>
      </c>
      <c r="F180" s="18">
        <f>IF(ISNUMBER(D180), $B199 * E180, "")</f>
        <v>-2739.7260273972506</v>
      </c>
      <c r="G180" s="31">
        <v>21.6</v>
      </c>
      <c r="H180" s="32">
        <f t="shared" ref="H180:H183" si="95">IF(ISNUMBER(G180), (G180 - $B180) / $B180, "")</f>
        <v>-1.3698630136986172E-2</v>
      </c>
      <c r="I180" s="101">
        <f>IF(ISNUMBER(G180), $B199 * H180, "")</f>
        <v>-4109.5890410958518</v>
      </c>
      <c r="J180" s="15">
        <v>21.8</v>
      </c>
      <c r="K180" s="32">
        <f t="shared" ref="K180:K183" si="96">IF(ISNUMBER(J180), (J180 - $B180) / $B180, "")</f>
        <v>-4.5662100456620031E-3</v>
      </c>
      <c r="L180" s="18">
        <f>IF(ISNUMBER(J180), $B199 * K180, "")</f>
        <v>-1369.863013698601</v>
      </c>
      <c r="M180" s="31">
        <v>21.8</v>
      </c>
      <c r="N180" s="32">
        <f t="shared" ref="N180:N183" si="97">IF(ISNUMBER(M180), (M180 - $B180) / $B180, "")</f>
        <v>-4.5662100456620031E-3</v>
      </c>
      <c r="O180" s="18">
        <f>IF(ISNUMBER(M180), $B199 * N180, "")</f>
        <v>-1369.863013698601</v>
      </c>
      <c r="Q180" s="184"/>
      <c r="R180" s="184"/>
      <c r="S180" s="184"/>
    </row>
    <row r="181" spans="1:19" ht="17.25" thickBot="1">
      <c r="A181" s="17" t="s">
        <v>210</v>
      </c>
      <c r="B181" s="15">
        <v>214</v>
      </c>
      <c r="C181" s="32">
        <v>-2.7272727300000001E-2</v>
      </c>
      <c r="D181" s="15">
        <v>213</v>
      </c>
      <c r="E181" s="32">
        <f t="shared" si="94"/>
        <v>-4.6728971962616819E-3</v>
      </c>
      <c r="F181" s="18">
        <f>IF(ISNUMBER(D181), $B199 * E181, "")</f>
        <v>-1401.8691588785045</v>
      </c>
      <c r="G181" s="31">
        <v>214</v>
      </c>
      <c r="H181" s="32">
        <f t="shared" si="95"/>
        <v>0</v>
      </c>
      <c r="I181" s="101">
        <f>IF(ISNUMBER(G181), $B199 * H181, "")</f>
        <v>0</v>
      </c>
      <c r="J181" s="15">
        <v>216</v>
      </c>
      <c r="K181" s="32">
        <f t="shared" si="96"/>
        <v>9.3457943925233638E-3</v>
      </c>
      <c r="L181" s="18">
        <f>IF(ISNUMBER(J181), $B199 * K181, "")</f>
        <v>2803.7383177570091</v>
      </c>
      <c r="M181" s="31">
        <v>219</v>
      </c>
      <c r="N181" s="32">
        <f t="shared" si="97"/>
        <v>2.336448598130841E-2</v>
      </c>
      <c r="O181" s="18">
        <f>IF(ISNUMBER(M181), $B199 * N181, "")</f>
        <v>7009.3457943925232</v>
      </c>
      <c r="Q181" s="174"/>
      <c r="R181" s="174"/>
      <c r="S181" s="174"/>
    </row>
    <row r="182" spans="1:19" ht="17.25" thickBot="1">
      <c r="A182" s="17" t="s">
        <v>184</v>
      </c>
      <c r="B182" s="15">
        <v>2585</v>
      </c>
      <c r="C182" s="32">
        <v>-2.81954887E-2</v>
      </c>
      <c r="D182" s="15">
        <v>2600</v>
      </c>
      <c r="E182" s="32">
        <f t="shared" si="94"/>
        <v>5.8027079303675051E-3</v>
      </c>
      <c r="F182" s="18">
        <f>IF(ISNUMBER(D182), $B199 * E182, "")</f>
        <v>1740.8123791102514</v>
      </c>
      <c r="G182" s="31">
        <v>2590</v>
      </c>
      <c r="H182" s="32">
        <f t="shared" si="95"/>
        <v>1.9342359767891683E-3</v>
      </c>
      <c r="I182" s="101">
        <f>IF(ISNUMBER(G182), $B199 * H182, "")</f>
        <v>580.27079303675043</v>
      </c>
      <c r="J182" s="15">
        <v>2610</v>
      </c>
      <c r="K182" s="32">
        <f t="shared" si="96"/>
        <v>9.6711798839458421E-3</v>
      </c>
      <c r="L182" s="18">
        <f>IF(ISNUMBER(J182), $B199 * K182, "")</f>
        <v>2901.3539651837527</v>
      </c>
      <c r="M182" s="31">
        <v>2610</v>
      </c>
      <c r="N182" s="32">
        <f t="shared" si="97"/>
        <v>9.6711798839458421E-3</v>
      </c>
      <c r="O182" s="18">
        <f>IF(ISNUMBER(M182), $B199 * N182, "")</f>
        <v>2901.3539651837527</v>
      </c>
      <c r="Q182" s="174"/>
      <c r="R182" s="174"/>
      <c r="S182" s="174"/>
    </row>
    <row r="183" spans="1:19" ht="17.25" thickBot="1">
      <c r="A183" s="19" t="s">
        <v>88</v>
      </c>
      <c r="B183" s="20">
        <v>653</v>
      </c>
      <c r="C183" s="21">
        <v>-2.82738095E-2</v>
      </c>
      <c r="D183" s="20">
        <v>635</v>
      </c>
      <c r="E183" s="21">
        <f t="shared" si="94"/>
        <v>-2.7565084226646247E-2</v>
      </c>
      <c r="F183" s="22">
        <f>IF(ISNUMBER(D183), $B199 * E183, "")</f>
        <v>-8269.5252679938749</v>
      </c>
      <c r="G183" s="30">
        <v>636</v>
      </c>
      <c r="H183" s="21">
        <f t="shared" si="95"/>
        <v>-2.6033690658499236E-2</v>
      </c>
      <c r="I183" s="105">
        <f>IF(ISNUMBER(G183), $B199 * H183, "")</f>
        <v>-7810.1071975497707</v>
      </c>
      <c r="J183" s="20">
        <v>639</v>
      </c>
      <c r="K183" s="21">
        <f t="shared" si="96"/>
        <v>-2.1439509954058193E-2</v>
      </c>
      <c r="L183" s="22">
        <f>IF(ISNUMBER(J183), $B199 * K183, "")</f>
        <v>-6431.8529862174573</v>
      </c>
      <c r="M183" s="30">
        <v>649</v>
      </c>
      <c r="N183" s="21">
        <f t="shared" si="97"/>
        <v>-6.1255742725880554E-3</v>
      </c>
      <c r="O183" s="22">
        <f>IF(ISNUMBER(M183), $B199 * N183, "")</f>
        <v>-1837.6722817764166</v>
      </c>
      <c r="Q183" s="174"/>
      <c r="R183" s="174"/>
      <c r="S183" s="174"/>
    </row>
    <row r="184" spans="1:19" ht="17.25" thickBot="1">
      <c r="A184" s="17" t="s">
        <v>61</v>
      </c>
      <c r="B184" s="106">
        <v>1710</v>
      </c>
      <c r="C184" s="107">
        <v>-2.84090909E-2</v>
      </c>
      <c r="D184" s="106">
        <v>1695</v>
      </c>
      <c r="E184" s="107">
        <f>IF(ISNUMBER(D184), (D184 - $B184) / $B184, "")</f>
        <v>-8.771929824561403E-3</v>
      </c>
      <c r="F184" s="108">
        <f>IF(ISNUMBER(D184), $B199 * E184, "")</f>
        <v>-2631.5789473684208</v>
      </c>
      <c r="G184" s="109">
        <v>1700</v>
      </c>
      <c r="H184" s="107">
        <f>IF(ISNUMBER(G184), (G184 - $B184) / $B184, "")</f>
        <v>-5.8479532163742687E-3</v>
      </c>
      <c r="I184" s="110">
        <f>IF(ISNUMBER(G184), $B199 * H184, "")</f>
        <v>-1754.3859649122805</v>
      </c>
      <c r="J184" s="106">
        <v>1700</v>
      </c>
      <c r="K184" s="107">
        <f>IF(ISNUMBER(J184), (J184 - $B184) / $B184, "")</f>
        <v>-5.8479532163742687E-3</v>
      </c>
      <c r="L184" s="108">
        <f>IF(ISNUMBER(J184), $B199 * K184, "")</f>
        <v>-1754.3859649122805</v>
      </c>
      <c r="M184" s="109">
        <v>1715</v>
      </c>
      <c r="N184" s="107">
        <f>IF(ISNUMBER(M184), (M184 - $B184) / $B184, "")</f>
        <v>2.9239766081871343E-3</v>
      </c>
      <c r="O184" s="108">
        <f>IF(ISNUMBER(M184), $B199 * N184, "")</f>
        <v>877.19298245614027</v>
      </c>
      <c r="Q184" s="174"/>
      <c r="R184" s="174"/>
      <c r="S184" s="174"/>
    </row>
    <row r="185" spans="1:19" ht="17.25" thickBot="1">
      <c r="A185" s="17" t="s">
        <v>186</v>
      </c>
      <c r="B185" s="15">
        <v>26.3</v>
      </c>
      <c r="C185" s="32">
        <v>-2.9520295200000001E-2</v>
      </c>
      <c r="D185" s="15">
        <v>27.2</v>
      </c>
      <c r="E185" s="32">
        <f t="shared" ref="E185:E188" si="98">IF(ISNUMBER(D185), (D185 - $B185) / $B185, "")</f>
        <v>3.4220532319391581E-2</v>
      </c>
      <c r="F185" s="18">
        <f>IF(ISNUMBER(D185), $B199 * E185, "")</f>
        <v>10266.159695817474</v>
      </c>
      <c r="G185" s="31">
        <v>27.3</v>
      </c>
      <c r="H185" s="32">
        <f t="shared" ref="H185:H188" si="99">IF(ISNUMBER(G185), (G185 - $B185) / $B185, "")</f>
        <v>3.8022813688212927E-2</v>
      </c>
      <c r="I185" s="101">
        <f>IF(ISNUMBER(G185), $B199 * H185, "")</f>
        <v>11406.844106463877</v>
      </c>
      <c r="J185" s="15">
        <v>27.6</v>
      </c>
      <c r="K185" s="32">
        <f t="shared" ref="K185:K188" si="100">IF(ISNUMBER(J185), (J185 - $B185) / $B185, "")</f>
        <v>4.9429657794676833E-2</v>
      </c>
      <c r="L185" s="18">
        <f>IF(ISNUMBER(J185), $B199 * K185, "")</f>
        <v>14828.897338403051</v>
      </c>
      <c r="M185" s="31">
        <v>27.8</v>
      </c>
      <c r="N185" s="32">
        <f t="shared" ref="N185:N188" si="101">IF(ISNUMBER(M185), (M185 - $B185) / $B185, "")</f>
        <v>5.7034220532319393E-2</v>
      </c>
      <c r="O185" s="18">
        <f>IF(ISNUMBER(M185), $B199 * N185, "")</f>
        <v>17110.266159695817</v>
      </c>
      <c r="Q185" s="174"/>
      <c r="R185" s="174"/>
      <c r="S185" s="174"/>
    </row>
    <row r="186" spans="1:19" ht="17.25" thickBot="1">
      <c r="A186" s="17" t="s">
        <v>252</v>
      </c>
      <c r="B186" s="15">
        <v>589</v>
      </c>
      <c r="C186" s="32">
        <v>-2.9654036200000001E-2</v>
      </c>
      <c r="D186" s="15">
        <v>581</v>
      </c>
      <c r="E186" s="32">
        <f t="shared" si="98"/>
        <v>-1.3582342954159592E-2</v>
      </c>
      <c r="F186" s="18">
        <f>IF(ISNUMBER(D186), $B199 * E186, "")</f>
        <v>-4074.7028862478778</v>
      </c>
      <c r="G186" s="31">
        <v>582</v>
      </c>
      <c r="H186" s="32">
        <f t="shared" si="99"/>
        <v>-1.1884550084889643E-2</v>
      </c>
      <c r="I186" s="101">
        <f>IF(ISNUMBER(G186), $B199 * H186, "")</f>
        <v>-3565.3650254668928</v>
      </c>
      <c r="J186" s="15">
        <v>586</v>
      </c>
      <c r="K186" s="32">
        <f t="shared" si="100"/>
        <v>-5.0933786078098476E-3</v>
      </c>
      <c r="L186" s="18">
        <f>IF(ISNUMBER(J186), $B199 * K186, "")</f>
        <v>-1528.0135823429544</v>
      </c>
      <c r="M186" s="31">
        <v>587</v>
      </c>
      <c r="N186" s="32">
        <f t="shared" si="101"/>
        <v>-3.3955857385398981E-3</v>
      </c>
      <c r="O186" s="18">
        <f>IF(ISNUMBER(M186), $B199 * N186, "")</f>
        <v>-1018.6757215619695</v>
      </c>
      <c r="Q186" s="174"/>
      <c r="R186" s="174"/>
      <c r="S186" s="174"/>
    </row>
    <row r="187" spans="1:19" ht="17.25" thickBot="1">
      <c r="A187" s="17" t="s">
        <v>172</v>
      </c>
      <c r="B187" s="15">
        <v>28.2</v>
      </c>
      <c r="C187" s="32">
        <v>-3.0927835099999999E-2</v>
      </c>
      <c r="D187" s="15">
        <v>28.1</v>
      </c>
      <c r="E187" s="32">
        <f t="shared" si="98"/>
        <v>-3.5460992907800663E-3</v>
      </c>
      <c r="F187" s="18">
        <f>IF(ISNUMBER(D187), $B199 * E187, "")</f>
        <v>-1063.8297872340199</v>
      </c>
      <c r="G187" s="31">
        <v>27.9</v>
      </c>
      <c r="H187" s="32">
        <f t="shared" si="99"/>
        <v>-1.0638297872340451E-2</v>
      </c>
      <c r="I187" s="101">
        <f>IF(ISNUMBER(G187), $B199 * H187, "")</f>
        <v>-3191.4893617021353</v>
      </c>
      <c r="J187" s="15">
        <v>27.9</v>
      </c>
      <c r="K187" s="32">
        <f t="shared" si="100"/>
        <v>-1.0638297872340451E-2</v>
      </c>
      <c r="L187" s="18">
        <f>IF(ISNUMBER(J187), $B199 * K187, "")</f>
        <v>-3191.4893617021353</v>
      </c>
      <c r="M187" s="31">
        <v>28.5</v>
      </c>
      <c r="N187" s="32">
        <f t="shared" si="101"/>
        <v>1.0638297872340451E-2</v>
      </c>
      <c r="O187" s="18">
        <f>IF(ISNUMBER(M187), $B199 * N187, "")</f>
        <v>3191.4893617021353</v>
      </c>
      <c r="Q187" s="33"/>
      <c r="R187" s="33"/>
    </row>
    <row r="188" spans="1:19" ht="17.25" thickBot="1">
      <c r="A188" s="23" t="s">
        <v>234</v>
      </c>
      <c r="B188" s="24">
        <v>1400</v>
      </c>
      <c r="C188" s="25">
        <v>-3.1141868499999999E-2</v>
      </c>
      <c r="D188" s="24">
        <v>1500</v>
      </c>
      <c r="E188" s="25">
        <f t="shared" si="98"/>
        <v>7.1428571428571425E-2</v>
      </c>
      <c r="F188" s="104">
        <f>IF(ISNUMBER(D188), $B199 * E188, "")</f>
        <v>21428.571428571428</v>
      </c>
      <c r="G188" s="102">
        <v>1500</v>
      </c>
      <c r="H188" s="25">
        <f t="shared" si="99"/>
        <v>7.1428571428571425E-2</v>
      </c>
      <c r="I188" s="103">
        <f>IF(ISNUMBER(G188), $B199 * H188, "")</f>
        <v>21428.571428571428</v>
      </c>
      <c r="J188" s="24">
        <v>1505</v>
      </c>
      <c r="K188" s="25">
        <f t="shared" si="100"/>
        <v>7.4999999999999997E-2</v>
      </c>
      <c r="L188" s="104">
        <f>IF(ISNUMBER(J188), $B199 * K188, "")</f>
        <v>22500</v>
      </c>
      <c r="M188" s="102">
        <v>1500</v>
      </c>
      <c r="N188" s="25">
        <f t="shared" si="101"/>
        <v>7.1428571428571425E-2</v>
      </c>
      <c r="O188" s="104">
        <f>IF(ISNUMBER(M188), $B199 * N188, "")</f>
        <v>21428.571428571428</v>
      </c>
      <c r="Q188" s="175"/>
      <c r="R188" s="176"/>
      <c r="S188" s="177"/>
    </row>
    <row r="189" spans="1:19">
      <c r="A189" s="12" t="s">
        <v>204</v>
      </c>
      <c r="B189" s="13">
        <v>10130</v>
      </c>
      <c r="C189" s="14">
        <v>-3.2473734499999997E-2</v>
      </c>
      <c r="D189" s="13">
        <v>9970</v>
      </c>
      <c r="E189" s="14">
        <f>IF(ISNUMBER(D189), (D189 - $B189) / $B189, "")</f>
        <v>-1.5794669299111549E-2</v>
      </c>
      <c r="F189" s="16">
        <f>IF(ISNUMBER(D189), $B199 * E189, "")</f>
        <v>-4738.400789733465</v>
      </c>
      <c r="G189" s="29">
        <v>9960</v>
      </c>
      <c r="H189" s="14">
        <f>IF(ISNUMBER(G189), (G189 - $B189) / $B189, "")</f>
        <v>-1.6781836130306021E-2</v>
      </c>
      <c r="I189" s="100">
        <f>IF(ISNUMBER(G189), $B199 * H189, "")</f>
        <v>-5034.5508390918067</v>
      </c>
      <c r="J189" s="13">
        <v>10000</v>
      </c>
      <c r="K189" s="14">
        <f>IF(ISNUMBER(J189), (J189 - $B189) / $B189, "")</f>
        <v>-1.2833168805528134E-2</v>
      </c>
      <c r="L189" s="16">
        <f>IF(ISNUMBER(J189), $B199 * K189, "")</f>
        <v>-3849.9506416584404</v>
      </c>
      <c r="M189" s="29">
        <v>9985</v>
      </c>
      <c r="N189" s="14">
        <f>IF(ISNUMBER(M189), (M189 - $B189) / $B189, "")</f>
        <v>-1.4313919052319843E-2</v>
      </c>
      <c r="O189" s="16">
        <f>IF(ISNUMBER(M189), $B199 * N189, "")</f>
        <v>-4294.1757156959529</v>
      </c>
      <c r="Q189" s="178"/>
      <c r="R189" s="179"/>
      <c r="S189" s="180"/>
    </row>
    <row r="190" spans="1:19" ht="17.25" thickBot="1">
      <c r="A190" s="17" t="s">
        <v>284</v>
      </c>
      <c r="B190" s="15">
        <v>470</v>
      </c>
      <c r="C190" s="32">
        <v>-3.2921810699999998E-2</v>
      </c>
      <c r="D190" s="15">
        <v>462</v>
      </c>
      <c r="E190" s="32">
        <f t="shared" ref="E190:E193" si="102">IF(ISNUMBER(D190), (D190 - $B190) / $B190, "")</f>
        <v>-1.7021276595744681E-2</v>
      </c>
      <c r="F190" s="18">
        <f>IF(ISNUMBER(D190), $B199 * E190, "")</f>
        <v>-5106.3829787234044</v>
      </c>
      <c r="G190" s="31">
        <v>462</v>
      </c>
      <c r="H190" s="32">
        <f t="shared" ref="H190:H193" si="103">IF(ISNUMBER(G190), (G190 - $B190) / $B190, "")</f>
        <v>-1.7021276595744681E-2</v>
      </c>
      <c r="I190" s="101">
        <f>IF(ISNUMBER(G190), $B199 * H190, "")</f>
        <v>-5106.3829787234044</v>
      </c>
      <c r="J190" s="15">
        <v>465</v>
      </c>
      <c r="K190" s="32">
        <f t="shared" ref="K190:K193" si="104">IF(ISNUMBER(J190), (J190 - $B190) / $B190, "")</f>
        <v>-1.0638297872340425E-2</v>
      </c>
      <c r="L190" s="18">
        <f>IF(ISNUMBER(J190), $B199 * K190, "")</f>
        <v>-3191.4893617021276</v>
      </c>
      <c r="M190" s="31">
        <v>469</v>
      </c>
      <c r="N190" s="32">
        <f t="shared" ref="N190:N193" si="105">IF(ISNUMBER(M190), (M190 - $B190) / $B190, "")</f>
        <v>-2.1276595744680851E-3</v>
      </c>
      <c r="O190" s="18">
        <f>IF(ISNUMBER(M190), $B199 * N190, "")</f>
        <v>-638.29787234042556</v>
      </c>
      <c r="Q190" s="181"/>
      <c r="R190" s="182"/>
      <c r="S190" s="183"/>
    </row>
    <row r="191" spans="1:19" ht="17.25" thickBot="1">
      <c r="A191" s="17" t="s">
        <v>218</v>
      </c>
      <c r="B191" s="15">
        <v>32.1</v>
      </c>
      <c r="C191" s="32">
        <v>-3.3132530100000002E-2</v>
      </c>
      <c r="D191" s="15">
        <v>31.5</v>
      </c>
      <c r="E191" s="32">
        <f t="shared" si="102"/>
        <v>-1.8691588785046773E-2</v>
      </c>
      <c r="F191" s="18">
        <f>IF(ISNUMBER(D191), $B199 * E191, "")</f>
        <v>-5607.4766355140318</v>
      </c>
      <c r="G191" s="31">
        <v>31.8</v>
      </c>
      <c r="H191" s="32">
        <f t="shared" si="103"/>
        <v>-9.3457943925233863E-3</v>
      </c>
      <c r="I191" s="101">
        <f>IF(ISNUMBER(G191), $B199 * H191, "")</f>
        <v>-2803.7383177570159</v>
      </c>
      <c r="J191" s="15">
        <v>31.8</v>
      </c>
      <c r="K191" s="32">
        <f t="shared" si="104"/>
        <v>-9.3457943925233863E-3</v>
      </c>
      <c r="L191" s="18">
        <f>IF(ISNUMBER(J191), $B199 * K191, "")</f>
        <v>-2803.7383177570159</v>
      </c>
      <c r="M191" s="31">
        <v>32.1</v>
      </c>
      <c r="N191" s="32">
        <f t="shared" si="105"/>
        <v>0</v>
      </c>
      <c r="O191" s="18">
        <f>IF(ISNUMBER(M191), $B199 * N191, "")</f>
        <v>0</v>
      </c>
      <c r="Q191" s="174"/>
      <c r="R191" s="174"/>
      <c r="S191" s="174"/>
    </row>
    <row r="192" spans="1:19" ht="17.25" thickBot="1">
      <c r="A192" s="17" t="s">
        <v>82</v>
      </c>
      <c r="B192" s="15">
        <v>1585</v>
      </c>
      <c r="C192" s="32">
        <v>-3.3536585399999999E-2</v>
      </c>
      <c r="D192" s="15">
        <v>1560</v>
      </c>
      <c r="E192" s="32">
        <f t="shared" si="102"/>
        <v>-1.5772870662460567E-2</v>
      </c>
      <c r="F192" s="18">
        <f>IF(ISNUMBER(D192), $B199 * E192, "")</f>
        <v>-4731.8611987381701</v>
      </c>
      <c r="G192" s="31">
        <v>1565</v>
      </c>
      <c r="H192" s="32">
        <f t="shared" si="103"/>
        <v>-1.2618296529968454E-2</v>
      </c>
      <c r="I192" s="101">
        <f>IF(ISNUMBER(G192), $B199 * H192, "")</f>
        <v>-3785.488958990536</v>
      </c>
      <c r="J192" s="15">
        <v>1575</v>
      </c>
      <c r="K192" s="32">
        <f t="shared" si="104"/>
        <v>-6.3091482649842269E-3</v>
      </c>
      <c r="L192" s="18">
        <f>IF(ISNUMBER(J192), $B199 * K192, "")</f>
        <v>-1892.744479495268</v>
      </c>
      <c r="M192" s="31">
        <v>1575</v>
      </c>
      <c r="N192" s="32">
        <f t="shared" si="105"/>
        <v>-6.3091482649842269E-3</v>
      </c>
      <c r="O192" s="18">
        <f>IF(ISNUMBER(M192), $B199 * N192, "")</f>
        <v>-1892.744479495268</v>
      </c>
      <c r="Q192" s="184"/>
      <c r="R192" s="184"/>
      <c r="S192" s="184"/>
    </row>
    <row r="193" spans="1:19" ht="17.25" thickBot="1">
      <c r="A193" s="19" t="s">
        <v>254</v>
      </c>
      <c r="B193" s="20">
        <v>92.4</v>
      </c>
      <c r="C193" s="21">
        <v>-3.54906054E-2</v>
      </c>
      <c r="D193" s="20">
        <v>93.7</v>
      </c>
      <c r="E193" s="21">
        <f t="shared" si="102"/>
        <v>1.4069264069264037E-2</v>
      </c>
      <c r="F193" s="22">
        <f>IF(ISNUMBER(D193), $B199 * E193, "")</f>
        <v>4220.7792207792108</v>
      </c>
      <c r="G193" s="30">
        <v>93.9</v>
      </c>
      <c r="H193" s="21">
        <f t="shared" si="103"/>
        <v>1.6233766233766232E-2</v>
      </c>
      <c r="I193" s="105">
        <f>IF(ISNUMBER(G193), $B199 * H193, "")</f>
        <v>4870.1298701298692</v>
      </c>
      <c r="J193" s="20">
        <v>96</v>
      </c>
      <c r="K193" s="21">
        <f t="shared" si="104"/>
        <v>3.8961038961038898E-2</v>
      </c>
      <c r="L193" s="22">
        <f>IF(ISNUMBER(J193), $B199 * K193, "")</f>
        <v>11688.311688311669</v>
      </c>
      <c r="M193" s="30">
        <v>96.1</v>
      </c>
      <c r="N193" s="21">
        <f t="shared" si="105"/>
        <v>4.0043290043289916E-2</v>
      </c>
      <c r="O193" s="22">
        <f>IF(ISNUMBER(M193), $B199 * N193, "")</f>
        <v>12012.987012986974</v>
      </c>
      <c r="Q193" s="184"/>
      <c r="R193" s="184"/>
      <c r="S193" s="184"/>
    </row>
    <row r="194" spans="1:19" ht="17.25" thickBot="1">
      <c r="A194" s="17" t="s">
        <v>190</v>
      </c>
      <c r="B194" s="106">
        <v>78410</v>
      </c>
      <c r="C194" s="107">
        <v>-4.1325345399999998E-2</v>
      </c>
      <c r="D194" s="106">
        <v>76720</v>
      </c>
      <c r="E194" s="107">
        <f>IF(ISNUMBER(D194), (D194 - $B194) / $B194, "")</f>
        <v>-2.1553373294222675E-2</v>
      </c>
      <c r="F194" s="108">
        <f>IF(ISNUMBER(D194), $B199 * E194, "")</f>
        <v>-6466.0119882668023</v>
      </c>
      <c r="G194" s="109">
        <v>76560</v>
      </c>
      <c r="H194" s="107">
        <f>IF(ISNUMBER(G194), (G194 - $B194) / $B194, "")</f>
        <v>-2.3593929345746716E-2</v>
      </c>
      <c r="I194" s="110">
        <f>IF(ISNUMBER(G194), $B199 * H194, "")</f>
        <v>-7078.1788037240149</v>
      </c>
      <c r="J194" s="106">
        <v>76820</v>
      </c>
      <c r="K194" s="107">
        <f>IF(ISNUMBER(J194), (J194 - $B194) / $B194, "")</f>
        <v>-2.027802576202015E-2</v>
      </c>
      <c r="L194" s="108">
        <f>IF(ISNUMBER(J194), $B199 * K194, "")</f>
        <v>-6083.4077286060447</v>
      </c>
      <c r="M194" s="109">
        <v>77290</v>
      </c>
      <c r="N194" s="107">
        <f>IF(ISNUMBER(M194), (M194 - $B194) / $B194, "")</f>
        <v>-1.4283892360668283E-2</v>
      </c>
      <c r="O194" s="108">
        <f>IF(ISNUMBER(M194), $B199 * N194, "")</f>
        <v>-4285.1677082004844</v>
      </c>
      <c r="Q194" s="174"/>
      <c r="R194" s="174"/>
      <c r="S194" s="174"/>
    </row>
    <row r="195" spans="1:19" ht="17.25" thickBot="1">
      <c r="A195" s="17" t="s">
        <v>67</v>
      </c>
      <c r="B195" s="15">
        <v>10040</v>
      </c>
      <c r="C195" s="32">
        <v>-4.38095238E-2</v>
      </c>
      <c r="D195" s="15">
        <v>9735</v>
      </c>
      <c r="E195" s="32">
        <f t="shared" ref="E195:E198" si="106">IF(ISNUMBER(D195), (D195 - $B195) / $B195, "")</f>
        <v>-3.0378486055776893E-2</v>
      </c>
      <c r="F195" s="18">
        <f>IF(ISNUMBER(D195), $B199 * E195, "")</f>
        <v>-9113.5458167330671</v>
      </c>
      <c r="G195" s="31">
        <v>9730</v>
      </c>
      <c r="H195" s="32">
        <f t="shared" ref="H195:H198" si="107">IF(ISNUMBER(G195), (G195 - $B195) / $B195, "")</f>
        <v>-3.0876494023904383E-2</v>
      </c>
      <c r="I195" s="101">
        <f>IF(ISNUMBER(G195), $B199 * H195, "")</f>
        <v>-9262.9482071713155</v>
      </c>
      <c r="J195" s="15">
        <v>9880</v>
      </c>
      <c r="K195" s="32">
        <f t="shared" ref="K195:K198" si="108">IF(ISNUMBER(J195), (J195 - $B195) / $B195, "")</f>
        <v>-1.5936254980079681E-2</v>
      </c>
      <c r="L195" s="18">
        <f>IF(ISNUMBER(J195), $B199 * K195, "")</f>
        <v>-4780.8764940239043</v>
      </c>
      <c r="M195" s="31">
        <v>9890</v>
      </c>
      <c r="N195" s="32">
        <f t="shared" ref="N195:N198" si="109">IF(ISNUMBER(M195), (M195 - $B195) / $B195, "")</f>
        <v>-1.4940239043824702E-2</v>
      </c>
      <c r="O195" s="18">
        <f>IF(ISNUMBER(M195), $B199 * N195, "")</f>
        <v>-4482.0717131474103</v>
      </c>
      <c r="Q195" s="174"/>
      <c r="R195" s="174"/>
      <c r="S195" s="174"/>
    </row>
    <row r="196" spans="1:19" ht="17.25" thickBot="1">
      <c r="A196" s="17" t="s">
        <v>158</v>
      </c>
      <c r="B196" s="15">
        <v>11480</v>
      </c>
      <c r="C196" s="32">
        <v>-4.5719035700000001E-2</v>
      </c>
      <c r="D196" s="15">
        <v>11320</v>
      </c>
      <c r="E196" s="32">
        <f t="shared" si="106"/>
        <v>-1.3937282229965157E-2</v>
      </c>
      <c r="F196" s="18">
        <f>IF(ISNUMBER(D196), $B199 * E196, "")</f>
        <v>-4181.1846689895474</v>
      </c>
      <c r="G196" s="31">
        <v>11250</v>
      </c>
      <c r="H196" s="32">
        <f t="shared" si="107"/>
        <v>-2.0034843205574911E-2</v>
      </c>
      <c r="I196" s="101">
        <f>IF(ISNUMBER(G196), $B199 * H196, "")</f>
        <v>-6010.4529616724731</v>
      </c>
      <c r="J196" s="15">
        <v>11270</v>
      </c>
      <c r="K196" s="32">
        <f t="shared" si="108"/>
        <v>-1.8292682926829267E-2</v>
      </c>
      <c r="L196" s="18">
        <f>IF(ISNUMBER(J196), $B199 * K196, "")</f>
        <v>-5487.8048780487798</v>
      </c>
      <c r="M196" s="31">
        <v>11290</v>
      </c>
      <c r="N196" s="32">
        <f t="shared" si="109"/>
        <v>-1.6550522648083623E-2</v>
      </c>
      <c r="O196" s="18">
        <f>IF(ISNUMBER(M196), $B199 * N196, "")</f>
        <v>-4965.1567944250874</v>
      </c>
      <c r="Q196" s="174"/>
      <c r="R196" s="174"/>
      <c r="S196" s="174"/>
    </row>
    <row r="197" spans="1:19">
      <c r="A197" s="17" t="s">
        <v>65</v>
      </c>
      <c r="B197" s="15">
        <v>77.5</v>
      </c>
      <c r="C197" s="32">
        <v>-4.6740467399999999E-2</v>
      </c>
      <c r="D197" s="15">
        <v>76.7</v>
      </c>
      <c r="E197" s="32">
        <f t="shared" si="106"/>
        <v>-1.0322580645161254E-2</v>
      </c>
      <c r="F197" s="18">
        <f>IF(ISNUMBER(D197), $B199 * E197, "")</f>
        <v>-3096.7741935483764</v>
      </c>
      <c r="G197" s="31">
        <v>76</v>
      </c>
      <c r="H197" s="32">
        <f t="shared" si="107"/>
        <v>-1.935483870967742E-2</v>
      </c>
      <c r="I197" s="101">
        <f>IF(ISNUMBER(G197), $B199 * H197, "")</f>
        <v>-5806.4516129032263</v>
      </c>
      <c r="J197" s="15">
        <v>75.599999999999994</v>
      </c>
      <c r="K197" s="32">
        <f t="shared" si="108"/>
        <v>-2.4516129032258138E-2</v>
      </c>
      <c r="L197" s="18">
        <f>IF(ISNUMBER(J197), $B199 * K197, "")</f>
        <v>-7354.8387096774413</v>
      </c>
      <c r="M197" s="31">
        <v>75.8</v>
      </c>
      <c r="N197" s="32">
        <f t="shared" si="109"/>
        <v>-2.1935483870967779E-2</v>
      </c>
      <c r="O197" s="18">
        <f>IF(ISNUMBER(M197), $B199 * N197, "")</f>
        <v>-6580.6451612903338</v>
      </c>
      <c r="Q197" s="163"/>
      <c r="R197" s="164"/>
      <c r="S197" s="165"/>
    </row>
    <row r="198" spans="1:19" ht="17.25" thickBot="1">
      <c r="A198" s="23" t="s">
        <v>126</v>
      </c>
      <c r="B198" s="24">
        <v>70.7</v>
      </c>
      <c r="C198" s="25">
        <v>-4.9731182800000003E-2</v>
      </c>
      <c r="D198" s="24">
        <v>68</v>
      </c>
      <c r="E198" s="25">
        <f t="shared" si="106"/>
        <v>-3.8189533239038231E-2</v>
      </c>
      <c r="F198" s="104">
        <f>IF(ISNUMBER(D198), $B199 * E198, "")</f>
        <v>-11456.85997171147</v>
      </c>
      <c r="G198" s="102">
        <v>68</v>
      </c>
      <c r="H198" s="25">
        <f t="shared" si="107"/>
        <v>-3.8189533239038231E-2</v>
      </c>
      <c r="I198" s="103">
        <f>IF(ISNUMBER(G198), $B199 * H198, "")</f>
        <v>-11456.85997171147</v>
      </c>
      <c r="J198" s="24">
        <v>68.5</v>
      </c>
      <c r="K198" s="25">
        <f t="shared" si="108"/>
        <v>-3.1117397454031158E-2</v>
      </c>
      <c r="L198" s="104">
        <f>IF(ISNUMBER(J198), $B199 * K198, "")</f>
        <v>-9335.2192362093465</v>
      </c>
      <c r="M198" s="102">
        <v>68.7</v>
      </c>
      <c r="N198" s="25">
        <f t="shared" si="109"/>
        <v>-2.8288543140028287E-2</v>
      </c>
      <c r="O198" s="104">
        <f>IF(ISNUMBER(M198), $B199 * N198, "")</f>
        <v>-8486.5629420084861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-6.7170160195650138E-3</v>
      </c>
      <c r="F199" s="28">
        <f>SUM(F179:F198)</f>
        <v>-40302.096117390087</v>
      </c>
      <c r="G199" s="26" t="s">
        <v>302</v>
      </c>
      <c r="H199" s="27">
        <f>IF(COUNT(H179:H198), SUM(H179:H198) / COUNT(H179:H198), 0)</f>
        <v>-6.6882528844275577E-3</v>
      </c>
      <c r="I199" s="28">
        <f>SUM(I179:I198)</f>
        <v>-40129.517306565351</v>
      </c>
      <c r="J199" s="26" t="s">
        <v>302</v>
      </c>
      <c r="K199" s="27">
        <f>IF(COUNT(K179:K198), SUM(K179:K198) / COUNT(K179:K198), 0)</f>
        <v>-9.9545295144856704E-4</v>
      </c>
      <c r="L199" s="28">
        <f>SUM(L179:L198)</f>
        <v>-5972.7177086913989</v>
      </c>
      <c r="M199" s="26" t="s">
        <v>302</v>
      </c>
      <c r="N199" s="27">
        <f>IF(COUNT(N179:N198), SUM(N179:N198) / COUNT(N179:N198), 0)</f>
        <v>4.3865862606072333E-3</v>
      </c>
      <c r="O199" s="28">
        <f>SUM(O179:O198)</f>
        <v>26319.517563643429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7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2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6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1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6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1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A4715-34FA-4FAE-ADB4-C28CDF86A545}">
  <sheetPr codeName="Sheet7"/>
  <dimension ref="A1:S199"/>
  <sheetViews>
    <sheetView topLeftCell="A90" zoomScaleNormal="100" workbookViewId="0">
      <selection activeCell="A103" sqref="A103:XFD10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4.375" bestFit="1" customWidth="1"/>
    <col min="13" max="13" width="14.25" bestFit="1" customWidth="1"/>
    <col min="14" max="14" width="8.5" bestFit="1" customWidth="1"/>
    <col min="15" max="15" width="14.37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44319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4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270,159 KRW (4.50%)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199,398 KRW (3.69%)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4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4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195,462 KRW (3.26%)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4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4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130,558 KRW (2.18%)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4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7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59,668 KRW (3.98%)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1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09" t="s">
        <v>39</v>
      </c>
      <c r="B15" s="201" t="str">
        <f>TEXT($G$1, "[$-ko-KR]yyyy-mm-dd(ddd) ") &amp; "오전 00:00"</f>
        <v>2021-05-03(월) 오전 00:00</v>
      </c>
      <c r="C15" s="202"/>
      <c r="D15" s="198" t="str">
        <f>TEXT($G$1, "[$-ko-KR]yyyy-mm-dd(ddd) ") &amp; "오후 14:00"</f>
        <v>2021-05-03(월) 오후 14:00</v>
      </c>
      <c r="E15" s="199"/>
      <c r="F15" s="200"/>
      <c r="G15" s="198" t="str">
        <f>TEXT($G$1, "[$-ko-KR]yyyy-mm-dd(ddd) ") &amp; "오후 19:00"</f>
        <v>2021-05-03(월) 오후 19:00</v>
      </c>
      <c r="H15" s="199"/>
      <c r="I15" s="200"/>
      <c r="J15" s="198" t="str">
        <f>TEXT($G$1, "[$-ko-KR]yyyy-mm-dd(ddd) ") &amp; "오후 21:00"</f>
        <v>2021-05-03(월) 오후 21:00</v>
      </c>
      <c r="K15" s="199"/>
      <c r="L15" s="200"/>
      <c r="M15" s="198" t="str">
        <f>TEXT($G$1+1, "[$-ko-KR]yyyy-mm-dd(ddd) ") &amp; "오전 00:00"</f>
        <v>2021-05-04(화) 오전 00:00</v>
      </c>
      <c r="N15" s="199"/>
      <c r="O15" s="200"/>
      <c r="Q15" s="184"/>
      <c r="R15" s="184"/>
      <c r="S15" s="184"/>
    </row>
    <row r="16" spans="1:19" ht="17.25" customHeight="1" thickBot="1">
      <c r="A16" s="20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" t="s">
        <v>136</v>
      </c>
      <c r="B17" s="13">
        <f>IF(NOT(ISBLANK(_xlfn.IFNA(VLOOKUP($A17, $A$40:$O$199, 2, FALSE), ))), _xlfn.IFNA(VLOOKUP($A17, $A$40:$O$199, 2, FALSE), ), "")</f>
        <v>246</v>
      </c>
      <c r="C17" s="14">
        <f>IF(NOT(ISBLANK(_xlfn.IFNA(VLOOKUP($A17, $A$40:$O$199, 3, FALSE), ))), _xlfn.IFNA(VLOOKUP($A17, $A$40:$O$199, 3, FALSE), ), "")</f>
        <v>-1.9920318699999998E-2</v>
      </c>
      <c r="D17" s="13">
        <f>IF(NOT(ISBLANK(_xlfn.IFNA(VLOOKUP($A17, $A$40:$O$199, 4, FALSE), ))), _xlfn.IFNA(VLOOKUP($A17, $A$40:$O$199, 4, FALSE), ), "")</f>
        <v>247</v>
      </c>
      <c r="E17" s="14">
        <f>IF(NOT(ISBLANK(_xlfn.IFNA(VLOOKUP($A17, $A$40:$O$199, 5, FALSE), ))), _xlfn.IFNA(VLOOKUP($A17, $A$40:$O$199, 5, FALSE), ), "")</f>
        <v>4.0650406504065045E-3</v>
      </c>
      <c r="F17" s="16">
        <f>IF(NOT(ISBLANK(_xlfn.IFNA(VLOOKUP($A17, $A$40:$O$199, 6, FALSE), ))), _xlfn.IFNA(VLOOKUP($A17, $A$40:$O$199, 6, FALSE), ), "")</f>
        <v>1219.5121951219514</v>
      </c>
      <c r="G17" s="29">
        <f>IF(NOT(ISBLANK(_xlfn.IFNA(VLOOKUP($A17, $A$40:$O$199, 7, FALSE), ))), _xlfn.IFNA(VLOOKUP($A17, $A$40:$O$199, 7, FALSE), ), "")</f>
        <v>258</v>
      </c>
      <c r="H17" s="14">
        <f>IF(NOT(ISBLANK(_xlfn.IFNA(VLOOKUP($A17, $A$40:$O$199, 8, FALSE), ))), _xlfn.IFNA(VLOOKUP($A17, $A$40:$O$199, 8, FALSE), ), "")</f>
        <v>4.878048780487805E-2</v>
      </c>
      <c r="I17" s="100">
        <f>IF(NOT(ISBLANK(_xlfn.IFNA(VLOOKUP($A17, $A$40:$O$199, 9, FALSE), ))), _xlfn.IFNA(VLOOKUP($A17, $A$40:$O$199, 9, FALSE), ), "")</f>
        <v>14634.146341463415</v>
      </c>
      <c r="J17" s="13">
        <f>IF(NOT(ISBLANK(_xlfn.IFNA(VLOOKUP($A17, $A$40:$O$199, 10, FALSE), ))), _xlfn.IFNA(VLOOKUP($A17, $A$40:$O$199, 10, FALSE), ), "")</f>
        <v>260</v>
      </c>
      <c r="K17" s="14">
        <f>IF(NOT(ISBLANK(_xlfn.IFNA(VLOOKUP($A17, $A$40:$O$199, 11, FALSE), ))), _xlfn.IFNA(VLOOKUP($A17, $A$40:$O$199, 11, FALSE), ), "")</f>
        <v>5.6910569105691054E-2</v>
      </c>
      <c r="L17" s="16">
        <f>IF(NOT(ISBLANK(_xlfn.IFNA(VLOOKUP($A17, $A$40:$O$199, 12, FALSE), ))), _xlfn.IFNA(VLOOKUP($A17, $A$40:$O$199, 12, FALSE), ), "")</f>
        <v>17073.170731707316</v>
      </c>
      <c r="M17" s="29">
        <f>IF(NOT(ISBLANK(_xlfn.IFNA(VLOOKUP($A17, $A$40:$O$199, 13, FALSE), ))), _xlfn.IFNA(VLOOKUP($A17, $A$40:$O$199, 13, FALSE), ), "")</f>
        <v>269</v>
      </c>
      <c r="N17" s="14">
        <f>IF(NOT(ISBLANK(_xlfn.IFNA(VLOOKUP($A17, $A$40:$O$199, 14, FALSE), ))), _xlfn.IFNA(VLOOKUP($A17, $A$40:$O$199, 14, FALSE), ), "")</f>
        <v>9.3495934959349589E-2</v>
      </c>
      <c r="O17" s="16">
        <f>IF(NOT(ISBLANK(_xlfn.IFNA(VLOOKUP($A17, $A$40:$O$199, 15, FALSE), ))), _xlfn.IFNA(VLOOKUP($A17, $A$40:$O$199, 15, FALSE), ), "")</f>
        <v>28048.780487804877</v>
      </c>
      <c r="Q17" s="184"/>
      <c r="R17" s="184"/>
      <c r="S17" s="184"/>
    </row>
    <row r="18" spans="1:19" ht="17.25" customHeight="1" thickBot="1">
      <c r="A18" s="17" t="s">
        <v>216</v>
      </c>
      <c r="B18" s="15">
        <f t="shared" ref="B18:B36" si="0">IF(NOT(ISBLANK(_xlfn.IFNA(VLOOKUP($A18, $A$40:$O$199, 2, FALSE), ))), _xlfn.IFNA(VLOOKUP($A18, $A$40:$O$199, 2, FALSE), ), "")</f>
        <v>477</v>
      </c>
      <c r="C18" s="32">
        <f t="shared" ref="C18:C36" si="1">IF(NOT(ISBLANK(_xlfn.IFNA(VLOOKUP($A18, $A$40:$O$199, 3, FALSE), ))), _xlfn.IFNA(VLOOKUP($A18, $A$40:$O$199, 3, FALSE), ), "")</f>
        <v>-2.0533880899999999E-2</v>
      </c>
      <c r="D18" s="15">
        <f t="shared" ref="D18:D36" si="2">IF(NOT(ISBLANK(_xlfn.IFNA(VLOOKUP($A18, $A$40:$O$199, 4, FALSE), ))), _xlfn.IFNA(VLOOKUP($A18, $A$40:$O$199, 4, FALSE), ), "")</f>
        <v>490</v>
      </c>
      <c r="E18" s="32">
        <f t="shared" ref="E18:E36" si="3">IF(NOT(ISBLANK(_xlfn.IFNA(VLOOKUP($A18, $A$40:$O$199, 5, FALSE), ))), _xlfn.IFNA(VLOOKUP($A18, $A$40:$O$199, 5, FALSE), ), "")</f>
        <v>2.7253668763102725E-2</v>
      </c>
      <c r="F18" s="18">
        <f t="shared" ref="F18:F36" si="4">IF(NOT(ISBLANK(_xlfn.IFNA(VLOOKUP($A18, $A$40:$O$199, 6, FALSE), ))), _xlfn.IFNA(VLOOKUP($A18, $A$40:$O$199, 6, FALSE), ), "")</f>
        <v>8176.1006289308179</v>
      </c>
      <c r="G18" s="31">
        <f t="shared" ref="G18:G36" si="5">IF(NOT(ISBLANK(_xlfn.IFNA(VLOOKUP($A18, $A$40:$O$199, 7, FALSE), ))), _xlfn.IFNA(VLOOKUP($A18, $A$40:$O$199, 7, FALSE), ), "")</f>
        <v>497</v>
      </c>
      <c r="H18" s="32">
        <f t="shared" ref="H18:H36" si="6">IF(NOT(ISBLANK(_xlfn.IFNA(VLOOKUP($A18, $A$40:$O$199, 8, FALSE), ))), _xlfn.IFNA(VLOOKUP($A18, $A$40:$O$199, 8, FALSE), ), "")</f>
        <v>4.1928721174004195E-2</v>
      </c>
      <c r="I18" s="101">
        <f t="shared" ref="I18:I36" si="7">IF(NOT(ISBLANK(_xlfn.IFNA(VLOOKUP($A18, $A$40:$O$199, 9, FALSE), ))), _xlfn.IFNA(VLOOKUP($A18, $A$40:$O$199, 9, FALSE), ), "")</f>
        <v>12578.616352201259</v>
      </c>
      <c r="J18" s="15">
        <f t="shared" ref="J18:J36" si="8">IF(NOT(ISBLANK(_xlfn.IFNA(VLOOKUP($A18, $A$40:$O$199, 10, FALSE), ))), _xlfn.IFNA(VLOOKUP($A18, $A$40:$O$199, 10, FALSE), ), "")</f>
        <v>500</v>
      </c>
      <c r="K18" s="32">
        <f t="shared" ref="K18:K36" si="9">IF(NOT(ISBLANK(_xlfn.IFNA(VLOOKUP($A18, $A$40:$O$199, 11, FALSE), ))), _xlfn.IFNA(VLOOKUP($A18, $A$40:$O$199, 11, FALSE), ), "")</f>
        <v>4.8218029350104823E-2</v>
      </c>
      <c r="L18" s="18">
        <f t="shared" ref="L18:L36" si="10">IF(NOT(ISBLANK(_xlfn.IFNA(VLOOKUP($A18, $A$40:$O$199, 12, FALSE), ))), _xlfn.IFNA(VLOOKUP($A18, $A$40:$O$199, 12, FALSE), ), "")</f>
        <v>14465.408805031448</v>
      </c>
      <c r="M18" s="31">
        <f t="shared" ref="M18:M36" si="11">IF(NOT(ISBLANK(_xlfn.IFNA(VLOOKUP($A18, $A$40:$O$199, 13, FALSE), ))), _xlfn.IFNA(VLOOKUP($A18, $A$40:$O$199, 13, FALSE), ), "")</f>
        <v>492</v>
      </c>
      <c r="N18" s="32">
        <f t="shared" ref="N18:N36" si="12">IF(NOT(ISBLANK(_xlfn.IFNA(VLOOKUP($A18, $A$40:$O$199, 14, FALSE), ))), _xlfn.IFNA(VLOOKUP($A18, $A$40:$O$199, 14, FALSE), ), "")</f>
        <v>3.1446540880503145E-2</v>
      </c>
      <c r="O18" s="18">
        <f t="shared" ref="O18:O36" si="13">IF(NOT(ISBLANK(_xlfn.IFNA(VLOOKUP($A18, $A$40:$O$199, 15, FALSE), ))), _xlfn.IFNA(VLOOKUP($A18, $A$40:$O$199, 15, FALSE), ), "")</f>
        <v>9433.9622641509432</v>
      </c>
      <c r="Q18" s="184"/>
      <c r="R18" s="184"/>
      <c r="S18" s="184"/>
    </row>
    <row r="19" spans="1:19" ht="17.25" customHeight="1" thickBot="1">
      <c r="A19" s="17" t="s">
        <v>264</v>
      </c>
      <c r="B19" s="15">
        <f t="shared" si="0"/>
        <v>184</v>
      </c>
      <c r="C19" s="32">
        <f t="shared" si="1"/>
        <v>-2.1276595700000001E-2</v>
      </c>
      <c r="D19" s="15">
        <f t="shared" si="2"/>
        <v>191</v>
      </c>
      <c r="E19" s="32">
        <f t="shared" si="3"/>
        <v>3.8043478260869568E-2</v>
      </c>
      <c r="F19" s="18">
        <f t="shared" si="4"/>
        <v>11413.04347826087</v>
      </c>
      <c r="G19" s="31">
        <f t="shared" si="5"/>
        <v>196</v>
      </c>
      <c r="H19" s="32">
        <f t="shared" si="6"/>
        <v>6.5217391304347824E-2</v>
      </c>
      <c r="I19" s="101">
        <f t="shared" si="7"/>
        <v>19565.217391304348</v>
      </c>
      <c r="J19" s="15">
        <f t="shared" si="8"/>
        <v>197</v>
      </c>
      <c r="K19" s="32">
        <f t="shared" si="9"/>
        <v>7.0652173913043473E-2</v>
      </c>
      <c r="L19" s="18">
        <f t="shared" si="10"/>
        <v>21195.65217391304</v>
      </c>
      <c r="M19" s="31">
        <f t="shared" si="11"/>
        <v>193</v>
      </c>
      <c r="N19" s="32">
        <f t="shared" si="12"/>
        <v>4.8913043478260872E-2</v>
      </c>
      <c r="O19" s="18">
        <f t="shared" si="13"/>
        <v>14673.913043478262</v>
      </c>
      <c r="Q19" s="174"/>
      <c r="R19" s="174"/>
      <c r="S19" s="174"/>
    </row>
    <row r="20" spans="1:19" ht="17.25" customHeight="1" thickBot="1">
      <c r="A20" s="17" t="s">
        <v>57</v>
      </c>
      <c r="B20" s="15">
        <f t="shared" si="0"/>
        <v>410</v>
      </c>
      <c r="C20" s="32">
        <f t="shared" si="1"/>
        <v>-2.1479713599999999E-2</v>
      </c>
      <c r="D20" s="15">
        <f t="shared" si="2"/>
        <v>418</v>
      </c>
      <c r="E20" s="32">
        <f t="shared" si="3"/>
        <v>1.9512195121951219E-2</v>
      </c>
      <c r="F20" s="18">
        <f t="shared" si="4"/>
        <v>5853.6585365853662</v>
      </c>
      <c r="G20" s="31">
        <f t="shared" si="5"/>
        <v>426</v>
      </c>
      <c r="H20" s="32">
        <f t="shared" si="6"/>
        <v>3.9024390243902439E-2</v>
      </c>
      <c r="I20" s="101">
        <f t="shared" si="7"/>
        <v>11707.317073170732</v>
      </c>
      <c r="J20" s="15">
        <f t="shared" si="8"/>
        <v>425</v>
      </c>
      <c r="K20" s="32">
        <f t="shared" si="9"/>
        <v>3.6585365853658534E-2</v>
      </c>
      <c r="L20" s="18">
        <f t="shared" si="10"/>
        <v>10975.60975609756</v>
      </c>
      <c r="M20" s="31">
        <f t="shared" si="11"/>
        <v>418</v>
      </c>
      <c r="N20" s="32">
        <f t="shared" si="12"/>
        <v>1.9512195121951219E-2</v>
      </c>
      <c r="O20" s="18">
        <f t="shared" si="13"/>
        <v>5853.6585365853662</v>
      </c>
      <c r="Q20" s="174"/>
      <c r="R20" s="174"/>
      <c r="S20" s="174"/>
    </row>
    <row r="21" spans="1:19" ht="17.25" customHeight="1" thickBot="1">
      <c r="A21" s="19" t="s">
        <v>282</v>
      </c>
      <c r="B21" s="20">
        <f t="shared" si="0"/>
        <v>181</v>
      </c>
      <c r="C21" s="21">
        <f t="shared" si="1"/>
        <v>-2.1621621600000002E-2</v>
      </c>
      <c r="D21" s="20">
        <f t="shared" si="2"/>
        <v>179</v>
      </c>
      <c r="E21" s="21">
        <f t="shared" si="3"/>
        <v>-1.1049723756906077E-2</v>
      </c>
      <c r="F21" s="22">
        <f t="shared" si="4"/>
        <v>-3314.917127071823</v>
      </c>
      <c r="G21" s="30">
        <f t="shared" si="5"/>
        <v>182</v>
      </c>
      <c r="H21" s="21">
        <f t="shared" si="6"/>
        <v>5.5248618784530384E-3</v>
      </c>
      <c r="I21" s="105">
        <f t="shared" si="7"/>
        <v>1657.4585635359115</v>
      </c>
      <c r="J21" s="20">
        <f t="shared" si="8"/>
        <v>184</v>
      </c>
      <c r="K21" s="21">
        <f t="shared" si="9"/>
        <v>1.6574585635359115E-2</v>
      </c>
      <c r="L21" s="22">
        <f t="shared" si="10"/>
        <v>4972.3756906077342</v>
      </c>
      <c r="M21" s="30">
        <f t="shared" si="11"/>
        <v>182</v>
      </c>
      <c r="N21" s="21">
        <f t="shared" si="12"/>
        <v>5.5248618784530384E-3</v>
      </c>
      <c r="O21" s="22">
        <f t="shared" si="13"/>
        <v>1657.4585635359115</v>
      </c>
      <c r="Q21" s="174"/>
      <c r="R21" s="174"/>
      <c r="S21" s="17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26" t="s">
        <v>42</v>
      </c>
      <c r="B37" s="172">
        <v>300000</v>
      </c>
      <c r="C37" s="173"/>
      <c r="D37" s="26" t="s">
        <v>43</v>
      </c>
      <c r="E37" s="27">
        <f>IF(COUNT(E17:E26), SUM(E17:E26) / COUNT(E17:E26), 0)</f>
        <v>1.5564931807884787E-2</v>
      </c>
      <c r="F37" s="28">
        <f>SUM(F17:F26)</f>
        <v>23347.397711827187</v>
      </c>
      <c r="G37" s="26" t="s">
        <v>43</v>
      </c>
      <c r="H37" s="27">
        <f>IF(COUNT(H17:H26), SUM(H17:H26) / COUNT(H17:H26), 0)</f>
        <v>4.0095170481117118E-2</v>
      </c>
      <c r="I37" s="28">
        <f>SUM(I17:I26)</f>
        <v>60142.755721675669</v>
      </c>
      <c r="J37" s="26" t="s">
        <v>43</v>
      </c>
      <c r="K37" s="27">
        <f>IF(COUNT(K17:K26), SUM(K17:K26) / COUNT(K17:K26), 0)</f>
        <v>4.5788144771571407E-2</v>
      </c>
      <c r="L37" s="28">
        <f>SUM(L17:L26)</f>
        <v>68682.217157357096</v>
      </c>
      <c r="M37" s="26" t="s">
        <v>43</v>
      </c>
      <c r="N37" s="27">
        <f>IF(COUNT(N17:N26), SUM(N17:N26) / COUNT(N17:N26), 0)</f>
        <v>3.9778515263703573E-2</v>
      </c>
      <c r="O37" s="28">
        <f>SUM(O17:O26)</f>
        <v>59667.772895555361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1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194" t="s">
        <v>55</v>
      </c>
      <c r="B42" s="196" t="str">
        <f>TEXT($G$1, "[$-ko-KR]yyyy-mm-dd(ddd) ") &amp; "오전 00:00"</f>
        <v>2021-05-03(월) 오전 00:00</v>
      </c>
      <c r="C42" s="197"/>
      <c r="D42" s="198" t="str">
        <f>TEXT($G$1, "[$-ko-KR]yyyy-mm-dd(ddd) ") &amp; "오후 14:00"</f>
        <v>2021-05-03(월) 오후 14:00</v>
      </c>
      <c r="E42" s="199"/>
      <c r="F42" s="200"/>
      <c r="G42" s="198" t="str">
        <f>TEXT($G$1, "[$-ko-KR]yyyy-mm-dd(ddd) ") &amp; "오후 19:00"</f>
        <v>2021-05-03(월) 오후 19:00</v>
      </c>
      <c r="H42" s="199"/>
      <c r="I42" s="200"/>
      <c r="J42" s="198" t="str">
        <f>TEXT($G$1, "[$-ko-KR]yyyy-mm-dd(ddd) ") &amp; "오후 21:00"</f>
        <v>2021-05-03(월) 오후 21:00</v>
      </c>
      <c r="K42" s="199"/>
      <c r="L42" s="200"/>
      <c r="M42" s="198" t="str">
        <f>TEXT($G$1+1, "[$-ko-KR]yyyy-mm-dd(ddd) ") &amp; "오전 00:00"</f>
        <v>2021-05-04(화) 오전 00:00</v>
      </c>
      <c r="N42" s="199"/>
      <c r="O42" s="200"/>
      <c r="Q42" s="184"/>
      <c r="R42" s="184"/>
      <c r="S42" s="184"/>
    </row>
    <row r="43" spans="1:19" ht="17.25" customHeight="1" thickBot="1">
      <c r="A43" s="195"/>
      <c r="B43" s="2" t="s">
        <v>58</v>
      </c>
      <c r="C43" s="10" t="s">
        <v>59</v>
      </c>
      <c r="D43" s="2" t="s">
        <v>58</v>
      </c>
      <c r="E43" s="10" t="s">
        <v>299</v>
      </c>
      <c r="F43" s="11" t="s">
        <v>300</v>
      </c>
      <c r="G43" s="112" t="s">
        <v>58</v>
      </c>
      <c r="H43" s="113" t="s">
        <v>299</v>
      </c>
      <c r="I43" s="114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" t="s">
        <v>152</v>
      </c>
      <c r="B44" s="13">
        <v>50</v>
      </c>
      <c r="C44" s="14">
        <v>4.8218029400000001E-2</v>
      </c>
      <c r="D44" s="13">
        <v>50.3</v>
      </c>
      <c r="E44" s="14">
        <f>IF(ISNUMBER(D44), (D44 - $B44) / $B44, "")</f>
        <v>5.9999999999999429E-3</v>
      </c>
      <c r="F44" s="16">
        <f>IF(ISNUMBER(D44), $B64 * E44, "")</f>
        <v>1799.9999999999829</v>
      </c>
      <c r="G44" s="29">
        <v>50.3</v>
      </c>
      <c r="H44" s="14">
        <f>IF(ISNUMBER(G44), (G44 - $B44) / $B44, "")</f>
        <v>5.9999999999999429E-3</v>
      </c>
      <c r="I44" s="100">
        <f>IF(ISNUMBER(G44), $B64 * H44, "")</f>
        <v>1799.9999999999829</v>
      </c>
      <c r="J44" s="13">
        <v>50.4</v>
      </c>
      <c r="K44" s="14">
        <f>IF(ISNUMBER(J44), (J44 - $B44) / $B44, "")</f>
        <v>7.9999999999999724E-3</v>
      </c>
      <c r="L44" s="16">
        <f>IF(ISNUMBER(J44), $B64 * K44, "")</f>
        <v>2399.9999999999918</v>
      </c>
      <c r="M44" s="29">
        <v>49.8</v>
      </c>
      <c r="N44" s="14">
        <f>IF(ISNUMBER(M44), (M44 - $B44) / $B44, "")</f>
        <v>-4.0000000000000565E-3</v>
      </c>
      <c r="O44" s="16">
        <f>IF(ISNUMBER(M44), $B64 * N44, "")</f>
        <v>-1200.0000000000168</v>
      </c>
      <c r="Q44" s="184"/>
      <c r="R44" s="184"/>
      <c r="S44" s="184"/>
    </row>
    <row r="45" spans="1:19" ht="17.25" customHeight="1" thickBot="1">
      <c r="A45" s="17" t="s">
        <v>186</v>
      </c>
      <c r="B45" s="15">
        <v>27.8</v>
      </c>
      <c r="C45" s="32">
        <v>2.9629629599999999E-2</v>
      </c>
      <c r="D45" s="15">
        <v>30.5</v>
      </c>
      <c r="E45" s="32">
        <f t="shared" ref="E45:E48" si="14">IF(ISNUMBER(D45), (D45 - $B45) / $B45, "")</f>
        <v>9.7122302158273346E-2</v>
      </c>
      <c r="F45" s="18">
        <f>IF(ISNUMBER(D45), $B64 * E45, "")</f>
        <v>29136.690647482003</v>
      </c>
      <c r="G45" s="31">
        <v>30.1</v>
      </c>
      <c r="H45" s="32">
        <f t="shared" ref="H45:H48" si="15">IF(ISNUMBER(G45), (G45 - $B45) / $B45, "")</f>
        <v>8.2733812949640315E-2</v>
      </c>
      <c r="I45" s="101">
        <f>IF(ISNUMBER(G45), $B64 * H45, "")</f>
        <v>24820.143884892095</v>
      </c>
      <c r="J45" s="15">
        <v>30.6</v>
      </c>
      <c r="K45" s="32">
        <f t="shared" ref="K45:K48" si="16">IF(ISNUMBER(J45), (J45 - $B45) / $B45, "")</f>
        <v>0.10071942446043168</v>
      </c>
      <c r="L45" s="18">
        <f>IF(ISNUMBER(J45), $B64 * K45, "")</f>
        <v>30215.827338129504</v>
      </c>
      <c r="M45" s="31">
        <v>29.3</v>
      </c>
      <c r="N45" s="32">
        <f t="shared" ref="N45:N48" si="17">IF(ISNUMBER(M45), (M45 - $B45) / $B45, "")</f>
        <v>5.3956834532374098E-2</v>
      </c>
      <c r="O45" s="18">
        <f>IF(ISNUMBER(M45), $B64 * N45, "")</f>
        <v>16187.05035971223</v>
      </c>
      <c r="Q45" s="184"/>
      <c r="R45" s="184"/>
      <c r="S45" s="184"/>
    </row>
    <row r="46" spans="1:19" ht="17.25" customHeight="1" thickBot="1">
      <c r="A46" s="17" t="s">
        <v>228</v>
      </c>
      <c r="B46" s="15">
        <v>20.6</v>
      </c>
      <c r="C46" s="32">
        <v>2.4875621899999999E-2</v>
      </c>
      <c r="D46" s="15">
        <v>21.1</v>
      </c>
      <c r="E46" s="32">
        <f t="shared" si="14"/>
        <v>2.4271844660194174E-2</v>
      </c>
      <c r="F46" s="18">
        <f>IF(ISNUMBER(D46), $B64 * E46, "")</f>
        <v>7281.5533980582522</v>
      </c>
      <c r="G46" s="31">
        <v>21.3</v>
      </c>
      <c r="H46" s="32">
        <f t="shared" si="15"/>
        <v>3.3980582524271809E-2</v>
      </c>
      <c r="I46" s="101">
        <f>IF(ISNUMBER(G46), $B64 * H46, "")</f>
        <v>10194.174757281542</v>
      </c>
      <c r="J46" s="15">
        <v>21.3</v>
      </c>
      <c r="K46" s="32">
        <f t="shared" si="16"/>
        <v>3.3980582524271809E-2</v>
      </c>
      <c r="L46" s="18">
        <f>IF(ISNUMBER(J46), $B64 * K46, "")</f>
        <v>10194.174757281542</v>
      </c>
      <c r="M46" s="31">
        <v>21.1</v>
      </c>
      <c r="N46" s="32">
        <f t="shared" si="17"/>
        <v>2.4271844660194174E-2</v>
      </c>
      <c r="O46" s="18">
        <f>IF(ISNUMBER(M46), $B64 * N46, "")</f>
        <v>7281.5533980582522</v>
      </c>
      <c r="Q46" s="174"/>
      <c r="R46" s="174"/>
      <c r="S46" s="174"/>
    </row>
    <row r="47" spans="1:19" ht="17.25" customHeight="1" thickBot="1">
      <c r="A47" s="17" t="s">
        <v>254</v>
      </c>
      <c r="B47" s="15">
        <v>96.1</v>
      </c>
      <c r="C47" s="32">
        <v>2.3429180000000001E-2</v>
      </c>
      <c r="D47" s="15">
        <v>95.9</v>
      </c>
      <c r="E47" s="32">
        <f t="shared" si="14"/>
        <v>-2.0811654526533678E-3</v>
      </c>
      <c r="F47" s="18">
        <f>IF(ISNUMBER(D47), $B64 * E47, "")</f>
        <v>-624.34963579601038</v>
      </c>
      <c r="G47" s="31">
        <v>99.4</v>
      </c>
      <c r="H47" s="32">
        <f t="shared" si="15"/>
        <v>3.4339229968782636E-2</v>
      </c>
      <c r="I47" s="101">
        <f>IF(ISNUMBER(G47), $B64 * H47, "")</f>
        <v>10301.768990634791</v>
      </c>
      <c r="J47" s="15">
        <v>98.7</v>
      </c>
      <c r="K47" s="32">
        <f t="shared" si="16"/>
        <v>2.7055150884495408E-2</v>
      </c>
      <c r="L47" s="18">
        <f>IF(ISNUMBER(J47), $B64 * K47, "")</f>
        <v>8116.5452653486218</v>
      </c>
      <c r="M47" s="31">
        <v>99</v>
      </c>
      <c r="N47" s="32">
        <f t="shared" si="17"/>
        <v>3.0176899063475607E-2</v>
      </c>
      <c r="O47" s="18">
        <f>IF(ISNUMBER(M47), $B64 * N47, "")</f>
        <v>9053.0697190426818</v>
      </c>
      <c r="Q47" s="174"/>
      <c r="R47" s="174"/>
      <c r="S47" s="174"/>
    </row>
    <row r="48" spans="1:19" ht="17.25" customHeight="1" thickBot="1">
      <c r="A48" s="19" t="s">
        <v>172</v>
      </c>
      <c r="B48" s="20">
        <v>28.5</v>
      </c>
      <c r="C48" s="21">
        <v>3.5211268000000001E-3</v>
      </c>
      <c r="D48" s="20">
        <v>28.6</v>
      </c>
      <c r="E48" s="21">
        <f t="shared" si="14"/>
        <v>3.5087719298246113E-3</v>
      </c>
      <c r="F48" s="22">
        <f>IF(ISNUMBER(D48), $B64 * E48, "")</f>
        <v>1052.6315789473833</v>
      </c>
      <c r="G48" s="30">
        <v>28.9</v>
      </c>
      <c r="H48" s="21">
        <f t="shared" si="15"/>
        <v>1.4035087719298196E-2</v>
      </c>
      <c r="I48" s="105">
        <f>IF(ISNUMBER(G48), $B64 * H48, "")</f>
        <v>4210.5263157894587</v>
      </c>
      <c r="J48" s="20">
        <v>28.9</v>
      </c>
      <c r="K48" s="21">
        <f t="shared" si="16"/>
        <v>1.4035087719298196E-2</v>
      </c>
      <c r="L48" s="22">
        <f>IF(ISNUMBER(J48), $B64 * K48, "")</f>
        <v>4210.5263157894587</v>
      </c>
      <c r="M48" s="30">
        <v>28.7</v>
      </c>
      <c r="N48" s="21">
        <f t="shared" si="17"/>
        <v>7.0175438596490978E-3</v>
      </c>
      <c r="O48" s="22">
        <f>IF(ISNUMBER(M48), $B64 * N48, "")</f>
        <v>2105.2631578947294</v>
      </c>
      <c r="Q48" s="174"/>
      <c r="R48" s="174"/>
      <c r="S48" s="174"/>
    </row>
    <row r="49" spans="1:19" ht="17.25" customHeight="1" thickBot="1">
      <c r="A49" s="17" t="s">
        <v>214</v>
      </c>
      <c r="B49" s="106">
        <v>24.5</v>
      </c>
      <c r="C49" s="107">
        <v>0</v>
      </c>
      <c r="D49" s="106">
        <v>25.4</v>
      </c>
      <c r="E49" s="107">
        <f>IF(ISNUMBER(D49), (D49 - $B49) / $B49, "")</f>
        <v>3.6734693877550961E-2</v>
      </c>
      <c r="F49" s="108">
        <f>IF(ISNUMBER(D49), $B64 * E49, "")</f>
        <v>11020.408163265289</v>
      </c>
      <c r="G49" s="109">
        <v>25.4</v>
      </c>
      <c r="H49" s="107">
        <f>IF(ISNUMBER(G49), (G49 - $B49) / $B49, "")</f>
        <v>3.6734693877550961E-2</v>
      </c>
      <c r="I49" s="110">
        <f>IF(ISNUMBER(G49), $B64 * H49, "")</f>
        <v>11020.408163265289</v>
      </c>
      <c r="J49" s="106">
        <v>25.4</v>
      </c>
      <c r="K49" s="107">
        <f>IF(ISNUMBER(J49), (J49 - $B49) / $B49, "")</f>
        <v>3.6734693877550961E-2</v>
      </c>
      <c r="L49" s="108">
        <f>IF(ISNUMBER(J49), $B64 * K49, "")</f>
        <v>11020.408163265289</v>
      </c>
      <c r="M49" s="109">
        <v>25.3</v>
      </c>
      <c r="N49" s="107">
        <f>IF(ISNUMBER(M49), (M49 - $B49) / $B49, "")</f>
        <v>3.2653061224489827E-2</v>
      </c>
      <c r="O49" s="108">
        <f>IF(ISNUMBER(M49), $B64 * N49, "")</f>
        <v>9795.9183673469488</v>
      </c>
      <c r="Q49" s="174"/>
      <c r="R49" s="174"/>
      <c r="S49" s="174"/>
    </row>
    <row r="50" spans="1:19" ht="17.25" customHeight="1" thickBot="1">
      <c r="A50" s="17" t="s">
        <v>222</v>
      </c>
      <c r="B50" s="15">
        <v>20.3</v>
      </c>
      <c r="C50" s="32">
        <v>-4.9019607999999998E-3</v>
      </c>
      <c r="D50" s="15">
        <v>21</v>
      </c>
      <c r="E50" s="32">
        <f t="shared" ref="E50:E53" si="18">IF(ISNUMBER(D50), (D50 - $B50) / $B50, "")</f>
        <v>3.448275862068962E-2</v>
      </c>
      <c r="F50" s="18">
        <f>IF(ISNUMBER(D50), $B64 * E50, "")</f>
        <v>10344.827586206886</v>
      </c>
      <c r="G50" s="31">
        <v>20.9</v>
      </c>
      <c r="H50" s="32">
        <f t="shared" ref="H50:H53" si="19">IF(ISNUMBER(G50), (G50 - $B50) / $B50, "")</f>
        <v>2.9556650246305313E-2</v>
      </c>
      <c r="I50" s="101">
        <f>IF(ISNUMBER(G50), $B64 * H50, "")</f>
        <v>8866.9950738915941</v>
      </c>
      <c r="J50" s="15">
        <v>21</v>
      </c>
      <c r="K50" s="32">
        <f t="shared" ref="K50:K53" si="20">IF(ISNUMBER(J50), (J50 - $B50) / $B50, "")</f>
        <v>3.448275862068962E-2</v>
      </c>
      <c r="L50" s="18">
        <f>IF(ISNUMBER(J50), $B64 * K50, "")</f>
        <v>10344.827586206886</v>
      </c>
      <c r="M50" s="31">
        <v>20.7</v>
      </c>
      <c r="N50" s="32">
        <f t="shared" ref="N50:N53" si="21">IF(ISNUMBER(M50), (M50 - $B50) / $B50, "")</f>
        <v>1.9704433497536877E-2</v>
      </c>
      <c r="O50" s="18">
        <f>IF(ISNUMBER(M50), $B64 * N50, "")</f>
        <v>5911.3300492610633</v>
      </c>
      <c r="Q50" s="174"/>
      <c r="R50" s="174"/>
      <c r="S50" s="174"/>
    </row>
    <row r="51" spans="1:19" ht="17.25" customHeight="1" thickBot="1">
      <c r="A51" s="17" t="s">
        <v>154</v>
      </c>
      <c r="B51" s="15">
        <v>22.3</v>
      </c>
      <c r="C51" s="32">
        <v>-8.8888888999999992E-3</v>
      </c>
      <c r="D51" s="15">
        <v>24.7</v>
      </c>
      <c r="E51" s="32">
        <f t="shared" si="18"/>
        <v>0.10762331838565016</v>
      </c>
      <c r="F51" s="18">
        <f>IF(ISNUMBER(D51), $B64 * E51, "")</f>
        <v>32286.995515695049</v>
      </c>
      <c r="G51" s="31">
        <v>24.4</v>
      </c>
      <c r="H51" s="32">
        <f t="shared" si="19"/>
        <v>9.4170403587443843E-2</v>
      </c>
      <c r="I51" s="101">
        <f>IF(ISNUMBER(G51), $B64 * H51, "")</f>
        <v>28251.121076233154</v>
      </c>
      <c r="J51" s="15">
        <v>24.6</v>
      </c>
      <c r="K51" s="32">
        <f t="shared" si="20"/>
        <v>0.10313901345291483</v>
      </c>
      <c r="L51" s="18">
        <f>IF(ISNUMBER(J51), $B64 * K51, "")</f>
        <v>30941.704035874449</v>
      </c>
      <c r="M51" s="31">
        <v>24</v>
      </c>
      <c r="N51" s="32">
        <f t="shared" si="21"/>
        <v>7.6233183856502212E-2</v>
      </c>
      <c r="O51" s="18">
        <f>IF(ISNUMBER(M51), $B64 * N51, "")</f>
        <v>22869.955156950662</v>
      </c>
      <c r="Q51" s="174"/>
      <c r="R51" s="174"/>
      <c r="S51" s="174"/>
    </row>
    <row r="52" spans="1:19" ht="17.25" customHeight="1" thickBot="1">
      <c r="A52" s="17" t="s">
        <v>220</v>
      </c>
      <c r="B52" s="15">
        <v>20.3</v>
      </c>
      <c r="C52" s="32">
        <v>-9.7560975999999994E-3</v>
      </c>
      <c r="D52" s="15">
        <v>22.5</v>
      </c>
      <c r="E52" s="32">
        <f t="shared" si="18"/>
        <v>0.10837438423645317</v>
      </c>
      <c r="F52" s="18">
        <f>IF(ISNUMBER(D52), $B64 * E52, "")</f>
        <v>32512.315270935949</v>
      </c>
      <c r="G52" s="31">
        <v>22.9</v>
      </c>
      <c r="H52" s="32">
        <f t="shared" si="19"/>
        <v>0.12807881773399005</v>
      </c>
      <c r="I52" s="101">
        <f>IF(ISNUMBER(G52), $B64 * H52, "")</f>
        <v>38423.645320197014</v>
      </c>
      <c r="J52" s="15">
        <v>23</v>
      </c>
      <c r="K52" s="32">
        <f t="shared" si="20"/>
        <v>0.13300492610837433</v>
      </c>
      <c r="L52" s="18">
        <f>IF(ISNUMBER(J52), $B64 * K52, "")</f>
        <v>39901.477832512297</v>
      </c>
      <c r="M52" s="31">
        <v>23.9</v>
      </c>
      <c r="N52" s="32">
        <f t="shared" si="21"/>
        <v>0.17733990147783241</v>
      </c>
      <c r="O52" s="18">
        <f>IF(ISNUMBER(M52), $B64 * N52, "")</f>
        <v>53201.970443349725</v>
      </c>
      <c r="Q52" s="33"/>
      <c r="R52" s="33"/>
    </row>
    <row r="53" spans="1:19" ht="17.25" customHeight="1" thickBot="1">
      <c r="A53" s="23" t="s">
        <v>266</v>
      </c>
      <c r="B53" s="24">
        <v>95.4</v>
      </c>
      <c r="C53" s="25">
        <v>-1.0373444000000001E-2</v>
      </c>
      <c r="D53" s="24">
        <v>96</v>
      </c>
      <c r="E53" s="25">
        <f t="shared" si="18"/>
        <v>6.2893081761005686E-3</v>
      </c>
      <c r="F53" s="104">
        <f>IF(ISNUMBER(D53), $B64 * E53, "")</f>
        <v>1886.7924528301705</v>
      </c>
      <c r="G53" s="102">
        <v>98.4</v>
      </c>
      <c r="H53" s="25">
        <f t="shared" si="19"/>
        <v>3.1446540880503145E-2</v>
      </c>
      <c r="I53" s="103">
        <f>IF(ISNUMBER(G53), $B64 * H53, "")</f>
        <v>9433.9622641509432</v>
      </c>
      <c r="J53" s="24">
        <v>98.9</v>
      </c>
      <c r="K53" s="25">
        <f t="shared" si="20"/>
        <v>3.668763102725367E-2</v>
      </c>
      <c r="L53" s="104">
        <f>IF(ISNUMBER(J53), $B64 * K53, "")</f>
        <v>11006.289308176101</v>
      </c>
      <c r="M53" s="102">
        <v>100</v>
      </c>
      <c r="N53" s="25">
        <f t="shared" si="21"/>
        <v>4.821802935010476E-2</v>
      </c>
      <c r="O53" s="104">
        <f>IF(ISNUMBER(M53), $B64 * N53, "")</f>
        <v>14465.408805031428</v>
      </c>
      <c r="Q53" s="175"/>
      <c r="R53" s="176"/>
      <c r="S53" s="177"/>
    </row>
    <row r="54" spans="1:19" ht="17.25" customHeight="1">
      <c r="A54" s="12" t="s">
        <v>236</v>
      </c>
      <c r="B54" s="13">
        <v>77.2</v>
      </c>
      <c r="C54" s="14">
        <v>-1.40485313E-2</v>
      </c>
      <c r="D54" s="13">
        <v>77.099999999999994</v>
      </c>
      <c r="E54" s="14">
        <f>IF(ISNUMBER(D54), (D54 - $B54) / $B54, "")</f>
        <v>-1.2953367875648773E-3</v>
      </c>
      <c r="F54" s="16">
        <f>IF(ISNUMBER(D54), $B64 * E54, "")</f>
        <v>-388.60103626946318</v>
      </c>
      <c r="G54" s="29">
        <v>78.2</v>
      </c>
      <c r="H54" s="14">
        <f>IF(ISNUMBER(G54), (G54 - $B54) / $B54, "")</f>
        <v>1.2953367875647668E-2</v>
      </c>
      <c r="I54" s="100">
        <f>IF(ISNUMBER(G54), $B64 * H54, "")</f>
        <v>3886.0103626943001</v>
      </c>
      <c r="J54" s="13">
        <v>78.599999999999994</v>
      </c>
      <c r="K54" s="14">
        <f>IF(ISNUMBER(J54), (J54 - $B54) / $B54, "")</f>
        <v>1.8134715025906623E-2</v>
      </c>
      <c r="L54" s="16">
        <f>IF(ISNUMBER(J54), $B64 * K54, "")</f>
        <v>5440.4145077719868</v>
      </c>
      <c r="M54" s="29">
        <v>78.400000000000006</v>
      </c>
      <c r="N54" s="14">
        <f>IF(ISNUMBER(M54), (M54 - $B54) / $B54, "")</f>
        <v>1.5544041450777238E-2</v>
      </c>
      <c r="O54" s="16">
        <f>IF(ISNUMBER(M54), $B64 * N54, "")</f>
        <v>4663.2124352331712</v>
      </c>
      <c r="Q54" s="178"/>
      <c r="R54" s="179"/>
      <c r="S54" s="180"/>
    </row>
    <row r="55" spans="1:19" ht="17.25" customHeight="1" thickBot="1">
      <c r="A55" s="17" t="s">
        <v>218</v>
      </c>
      <c r="B55" s="15">
        <v>32.1</v>
      </c>
      <c r="C55" s="32">
        <v>-1.53374233E-2</v>
      </c>
      <c r="D55" s="15">
        <v>32.9</v>
      </c>
      <c r="E55" s="32">
        <f t="shared" ref="E55:E58" si="22">IF(ISNUMBER(D55), (D55 - $B55) / $B55, "")</f>
        <v>2.4922118380062214E-2</v>
      </c>
      <c r="F55" s="18">
        <f>IF(ISNUMBER(D55), $B64 * E55, "")</f>
        <v>7476.6355140186643</v>
      </c>
      <c r="G55" s="31">
        <v>33.1</v>
      </c>
      <c r="H55" s="32">
        <f t="shared" ref="H55:H58" si="23">IF(ISNUMBER(G55), (G55 - $B55) / $B55, "")</f>
        <v>3.1152647975077882E-2</v>
      </c>
      <c r="I55" s="101">
        <f>IF(ISNUMBER(G55), $B64 * H55, "")</f>
        <v>9345.7943925233649</v>
      </c>
      <c r="J55" s="15">
        <v>33.200000000000003</v>
      </c>
      <c r="K55" s="32">
        <f t="shared" ref="K55:K58" si="24">IF(ISNUMBER(J55), (J55 - $B55) / $B55, "")</f>
        <v>3.4267912772585715E-2</v>
      </c>
      <c r="L55" s="18">
        <f>IF(ISNUMBER(J55), $B64 * K55, "")</f>
        <v>10280.373831775714</v>
      </c>
      <c r="M55" s="31">
        <v>32.799999999999997</v>
      </c>
      <c r="N55" s="32">
        <f t="shared" ref="N55:N58" si="25">IF(ISNUMBER(M55), (M55 - $B55) / $B55, "")</f>
        <v>2.1806853582554384E-2</v>
      </c>
      <c r="O55" s="18">
        <f>IF(ISNUMBER(M55), $B64 * N55, "")</f>
        <v>6542.0560747663149</v>
      </c>
      <c r="Q55" s="181"/>
      <c r="R55" s="182"/>
      <c r="S55" s="183"/>
    </row>
    <row r="56" spans="1:19" ht="17.25" customHeight="1" thickBot="1">
      <c r="A56" s="17" t="s">
        <v>198</v>
      </c>
      <c r="B56" s="15">
        <v>31.6</v>
      </c>
      <c r="C56" s="32">
        <v>-1.5576324000000001E-2</v>
      </c>
      <c r="D56" s="15">
        <v>32.4</v>
      </c>
      <c r="E56" s="32">
        <f t="shared" si="22"/>
        <v>2.5316455696202441E-2</v>
      </c>
      <c r="F56" s="18">
        <f>IF(ISNUMBER(D56), $B64 * E56, "")</f>
        <v>7594.9367088607323</v>
      </c>
      <c r="G56" s="31">
        <v>32.700000000000003</v>
      </c>
      <c r="H56" s="32">
        <f t="shared" si="23"/>
        <v>3.4810126582278528E-2</v>
      </c>
      <c r="I56" s="101">
        <f>IF(ISNUMBER(G56), $B64 * H56, "")</f>
        <v>10443.037974683559</v>
      </c>
      <c r="J56" s="15">
        <v>32.700000000000003</v>
      </c>
      <c r="K56" s="32">
        <f t="shared" si="24"/>
        <v>3.4810126582278528E-2</v>
      </c>
      <c r="L56" s="18">
        <f>IF(ISNUMBER(J56), $B64 * K56, "")</f>
        <v>10443.037974683559</v>
      </c>
      <c r="M56" s="31">
        <v>32.4</v>
      </c>
      <c r="N56" s="32">
        <f t="shared" si="25"/>
        <v>2.5316455696202441E-2</v>
      </c>
      <c r="O56" s="18">
        <f>IF(ISNUMBER(M56), $B64 * N56, "")</f>
        <v>7594.9367088607323</v>
      </c>
      <c r="Q56" s="174"/>
      <c r="R56" s="174"/>
      <c r="S56" s="174"/>
    </row>
    <row r="57" spans="1:19" ht="17.25" customHeight="1" thickBot="1">
      <c r="A57" s="17" t="s">
        <v>196</v>
      </c>
      <c r="B57" s="15">
        <v>21.8</v>
      </c>
      <c r="C57" s="32">
        <v>-2.2421524700000001E-2</v>
      </c>
      <c r="D57" s="15">
        <v>22.6</v>
      </c>
      <c r="E57" s="32">
        <f t="shared" si="22"/>
        <v>3.6697247706422048E-2</v>
      </c>
      <c r="F57" s="18">
        <f>IF(ISNUMBER(D57), $B64 * E57, "")</f>
        <v>11009.174311926614</v>
      </c>
      <c r="G57" s="31">
        <v>22.8</v>
      </c>
      <c r="H57" s="32">
        <f t="shared" si="23"/>
        <v>4.5871559633027519E-2</v>
      </c>
      <c r="I57" s="101">
        <f>IF(ISNUMBER(G57), $B64 * H57, "")</f>
        <v>13761.467889908256</v>
      </c>
      <c r="J57" s="15">
        <v>22.9</v>
      </c>
      <c r="K57" s="32">
        <f t="shared" si="24"/>
        <v>5.0458715596330174E-2</v>
      </c>
      <c r="L57" s="18">
        <f>IF(ISNUMBER(J57), $B64 * K57, "")</f>
        <v>15137.614678899052</v>
      </c>
      <c r="M57" s="31">
        <v>22.6</v>
      </c>
      <c r="N57" s="32">
        <f t="shared" si="25"/>
        <v>3.6697247706422048E-2</v>
      </c>
      <c r="O57" s="18">
        <f>IF(ISNUMBER(M57), $B64 * N57, "")</f>
        <v>11009.174311926614</v>
      </c>
      <c r="Q57" s="184"/>
      <c r="R57" s="184"/>
      <c r="S57" s="184"/>
    </row>
    <row r="58" spans="1:19" ht="17.25" customHeight="1" thickBot="1">
      <c r="A58" s="19" t="s">
        <v>100</v>
      </c>
      <c r="B58" s="20">
        <v>8.44</v>
      </c>
      <c r="C58" s="21">
        <v>-2.3148148100000002E-2</v>
      </c>
      <c r="D58" s="20">
        <v>8.5</v>
      </c>
      <c r="E58" s="21">
        <f t="shared" si="22"/>
        <v>7.1090047393365524E-3</v>
      </c>
      <c r="F58" s="22">
        <f>IF(ISNUMBER(D58), $B64 * E58, "")</f>
        <v>2132.7014218009658</v>
      </c>
      <c r="G58" s="30">
        <v>8.5399999999999991</v>
      </c>
      <c r="H58" s="21">
        <f t="shared" si="23"/>
        <v>1.1848341232227447E-2</v>
      </c>
      <c r="I58" s="105">
        <f>IF(ISNUMBER(G58), $B64 * H58, "")</f>
        <v>3554.5023696682342</v>
      </c>
      <c r="J58" s="20">
        <v>8.65</v>
      </c>
      <c r="K58" s="21">
        <f t="shared" si="24"/>
        <v>2.4881516587677826E-2</v>
      </c>
      <c r="L58" s="22">
        <f>IF(ISNUMBER(J58), $B64 * K58, "")</f>
        <v>7464.4549763033474</v>
      </c>
      <c r="M58" s="30">
        <v>8.4700000000000006</v>
      </c>
      <c r="N58" s="21">
        <f t="shared" si="25"/>
        <v>3.5545023696683812E-3</v>
      </c>
      <c r="O58" s="22">
        <f>IF(ISNUMBER(M58), $B64 * N58, "")</f>
        <v>1066.3507109005143</v>
      </c>
      <c r="Q58" s="184"/>
      <c r="R58" s="184"/>
      <c r="S58" s="184"/>
    </row>
    <row r="59" spans="1:19" ht="17.25" customHeight="1" thickBot="1">
      <c r="A59" s="17" t="s">
        <v>72</v>
      </c>
      <c r="B59" s="106">
        <v>36.799999999999997</v>
      </c>
      <c r="C59" s="107">
        <v>-2.3872679000000001E-2</v>
      </c>
      <c r="D59" s="106">
        <v>37.6</v>
      </c>
      <c r="E59" s="107">
        <f>IF(ISNUMBER(D59), (D59 - $B59) / $B59, "")</f>
        <v>2.1739130434782726E-2</v>
      </c>
      <c r="F59" s="108">
        <f>IF(ISNUMBER(D59), $B64 * E59, "")</f>
        <v>6521.7391304348175</v>
      </c>
      <c r="G59" s="109">
        <v>38.5</v>
      </c>
      <c r="H59" s="107">
        <f>IF(ISNUMBER(G59), (G59 - $B59) / $B59, "")</f>
        <v>4.6195652173913124E-2</v>
      </c>
      <c r="I59" s="110">
        <f>IF(ISNUMBER(G59), $B64 * H59, "")</f>
        <v>13858.695652173938</v>
      </c>
      <c r="J59" s="106">
        <v>38.6</v>
      </c>
      <c r="K59" s="107">
        <f>IF(ISNUMBER(J59), (J59 - $B59) / $B59, "")</f>
        <v>4.891304347826099E-2</v>
      </c>
      <c r="L59" s="108">
        <f>IF(ISNUMBER(J59), $B64 * K59, "")</f>
        <v>14673.913043478296</v>
      </c>
      <c r="M59" s="109">
        <v>38.299999999999997</v>
      </c>
      <c r="N59" s="107">
        <f>IF(ISNUMBER(M59), (M59 - $B59) / $B59, "")</f>
        <v>4.0760869565217392E-2</v>
      </c>
      <c r="O59" s="108">
        <f>IF(ISNUMBER(M59), $B64 * N59, "")</f>
        <v>12228.260869565218</v>
      </c>
      <c r="Q59" s="174"/>
      <c r="R59" s="174"/>
      <c r="S59" s="174"/>
    </row>
    <row r="60" spans="1:19" ht="17.25" customHeight="1" thickBot="1">
      <c r="A60" s="17" t="s">
        <v>65</v>
      </c>
      <c r="B60" s="15">
        <v>75.8</v>
      </c>
      <c r="C60" s="32">
        <v>-3.1928480199999998E-2</v>
      </c>
      <c r="D60" s="15">
        <v>78.900000000000006</v>
      </c>
      <c r="E60" s="32">
        <f t="shared" ref="E60:E63" si="26">IF(ISNUMBER(D60), (D60 - $B60) / $B60, "")</f>
        <v>4.0897097625329927E-2</v>
      </c>
      <c r="F60" s="18">
        <f>IF(ISNUMBER(D60), $B64 * E60, "")</f>
        <v>12269.129287598978</v>
      </c>
      <c r="G60" s="31">
        <v>79.2</v>
      </c>
      <c r="H60" s="32">
        <f t="shared" ref="H60:H63" si="27">IF(ISNUMBER(G60), (G60 - $B60) / $B60, "")</f>
        <v>4.4854881266490843E-2</v>
      </c>
      <c r="I60" s="101">
        <f>IF(ISNUMBER(G60), $B64 * H60, "")</f>
        <v>13456.464379947252</v>
      </c>
      <c r="J60" s="15">
        <v>80</v>
      </c>
      <c r="K60" s="32">
        <f t="shared" ref="K60:K63" si="28">IF(ISNUMBER(J60), (J60 - $B60) / $B60, "")</f>
        <v>5.5408970976253337E-2</v>
      </c>
      <c r="L60" s="18">
        <f>IF(ISNUMBER(J60), $B64 * K60, "")</f>
        <v>16622.691292875999</v>
      </c>
      <c r="M60" s="31">
        <v>80</v>
      </c>
      <c r="N60" s="32">
        <f t="shared" ref="N60:N63" si="29">IF(ISNUMBER(M60), (M60 - $B60) / $B60, "")</f>
        <v>5.5408970976253337E-2</v>
      </c>
      <c r="O60" s="18">
        <f>IF(ISNUMBER(M60), $B64 * N60, "")</f>
        <v>16622.691292875999</v>
      </c>
      <c r="Q60" s="174"/>
      <c r="R60" s="174"/>
      <c r="S60" s="174"/>
    </row>
    <row r="61" spans="1:19" ht="17.25" customHeight="1" thickBot="1">
      <c r="A61" s="17" t="s">
        <v>126</v>
      </c>
      <c r="B61" s="15">
        <v>68.7</v>
      </c>
      <c r="C61" s="32">
        <v>-3.7815126099999999E-2</v>
      </c>
      <c r="D61" s="15">
        <v>69.2</v>
      </c>
      <c r="E61" s="32">
        <f t="shared" si="26"/>
        <v>7.2780203784570596E-3</v>
      </c>
      <c r="F61" s="18">
        <f>IF(ISNUMBER(D61), $B64 * E61, "")</f>
        <v>2183.406113537118</v>
      </c>
      <c r="G61" s="31">
        <v>69.400000000000006</v>
      </c>
      <c r="H61" s="32">
        <f t="shared" si="27"/>
        <v>1.0189228529839925E-2</v>
      </c>
      <c r="I61" s="101">
        <f>IF(ISNUMBER(G61), $B64 * H61, "")</f>
        <v>3056.7685589519774</v>
      </c>
      <c r="J61" s="15">
        <v>69.7</v>
      </c>
      <c r="K61" s="32">
        <f t="shared" si="28"/>
        <v>1.4556040756914119E-2</v>
      </c>
      <c r="L61" s="18">
        <f>IF(ISNUMBER(J61), $B64 * K61, "")</f>
        <v>4366.812227074236</v>
      </c>
      <c r="M61" s="31">
        <v>68.7</v>
      </c>
      <c r="N61" s="32">
        <f t="shared" si="29"/>
        <v>0</v>
      </c>
      <c r="O61" s="18">
        <f>IF(ISNUMBER(M61), $B64 * N61, "")</f>
        <v>0</v>
      </c>
      <c r="Q61" s="174"/>
      <c r="R61" s="174"/>
      <c r="S61" s="174"/>
    </row>
    <row r="62" spans="1:19" ht="17.25" customHeight="1">
      <c r="A62" s="17"/>
      <c r="B62" s="15"/>
      <c r="C62" s="32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23"/>
      <c r="B63" s="24"/>
      <c r="C63" s="25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26" t="s">
        <v>301</v>
      </c>
      <c r="B64" s="172">
        <f>$B$37</f>
        <v>300000</v>
      </c>
      <c r="C64" s="173"/>
      <c r="D64" s="26" t="s">
        <v>302</v>
      </c>
      <c r="E64" s="27">
        <f>IF(COUNT(E44:E63), SUM(E44:E63) / COUNT(E44:E63), 0)</f>
        <v>3.2499441931395062E-2</v>
      </c>
      <c r="F64" s="28">
        <f>SUM(F44:F63)</f>
        <v>175496.9864295334</v>
      </c>
      <c r="G64" s="26" t="s">
        <v>302</v>
      </c>
      <c r="H64" s="27">
        <f>IF(COUNT(H44:H63), SUM(H44:H63) / COUNT(H44:H63), 0)</f>
        <v>4.0497312486460504E-2</v>
      </c>
      <c r="I64" s="28">
        <f>SUM(I44:I63)</f>
        <v>218685.48742688677</v>
      </c>
      <c r="J64" s="26" t="s">
        <v>302</v>
      </c>
      <c r="K64" s="27">
        <f>IF(COUNT(K44:K63), SUM(K44:K63) / COUNT(K44:K63), 0)</f>
        <v>4.4959461691749317E-2</v>
      </c>
      <c r="L64" s="28">
        <f>SUM(L44:L63)</f>
        <v>242781.09313544634</v>
      </c>
      <c r="M64" s="26" t="s">
        <v>302</v>
      </c>
      <c r="N64" s="27">
        <f>IF(COUNT(N44:N63), SUM(N44:N63) / COUNT(N44:N63), 0)</f>
        <v>3.6925592937180791E-2</v>
      </c>
      <c r="O64" s="28">
        <f>SUM(O44:O63)</f>
        <v>199398.20186077629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1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194" t="s">
        <v>55</v>
      </c>
      <c r="B69" s="196" t="str">
        <f>TEXT($G$1, "[$-ko-KR]yyyy-mm-dd(ddd) ") &amp; "오전 00:00"</f>
        <v>2021-05-03(월) 오전 00:00</v>
      </c>
      <c r="C69" s="197"/>
      <c r="D69" s="198" t="str">
        <f>TEXT($G$1, "[$-ko-KR]yyyy-mm-dd(ddd) ") &amp; "오후 14:00"</f>
        <v>2021-05-03(월) 오후 14:00</v>
      </c>
      <c r="E69" s="199"/>
      <c r="F69" s="200"/>
      <c r="G69" s="198" t="str">
        <f>TEXT($G$1, "[$-ko-KR]yyyy-mm-dd(ddd) ") &amp; "오후 19:00"</f>
        <v>2021-05-03(월) 오후 19:00</v>
      </c>
      <c r="H69" s="199"/>
      <c r="I69" s="200"/>
      <c r="J69" s="198" t="str">
        <f>TEXT($G$1, "[$-ko-KR]yyyy-mm-dd(ddd) ") &amp; "오후 21:00"</f>
        <v>2021-05-03(월) 오후 21:00</v>
      </c>
      <c r="K69" s="199"/>
      <c r="L69" s="200"/>
      <c r="M69" s="198" t="str">
        <f>TEXT($G$1+1, "[$-ko-KR]yyyy-mm-dd(ddd) ") &amp; "오전 00:00"</f>
        <v>2021-05-04(화) 오전 00:00</v>
      </c>
      <c r="N69" s="199"/>
      <c r="O69" s="200"/>
      <c r="Q69" s="184"/>
      <c r="R69" s="184"/>
      <c r="S69" s="184"/>
    </row>
    <row r="70" spans="1:19" ht="17.25" thickBot="1">
      <c r="A70" s="195"/>
      <c r="B70" s="2" t="s">
        <v>58</v>
      </c>
      <c r="C70" s="10" t="s">
        <v>59</v>
      </c>
      <c r="D70" s="2" t="s">
        <v>58</v>
      </c>
      <c r="E70" s="10" t="s">
        <v>299</v>
      </c>
      <c r="F70" s="11" t="s">
        <v>300</v>
      </c>
      <c r="G70" s="112" t="s">
        <v>58</v>
      </c>
      <c r="H70" s="113" t="s">
        <v>299</v>
      </c>
      <c r="I70" s="114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" t="s">
        <v>202</v>
      </c>
      <c r="B71" s="13">
        <v>252</v>
      </c>
      <c r="C71" s="14">
        <v>0.1454545455</v>
      </c>
      <c r="D71" s="13">
        <v>257</v>
      </c>
      <c r="E71" s="14">
        <f>IF(ISNUMBER(D71), (D71 - $B71) / $B71, "")</f>
        <v>1.984126984126984E-2</v>
      </c>
      <c r="F71" s="16">
        <f>IF(ISNUMBER(D71), $B91 * E71, "")</f>
        <v>5952.3809523809523</v>
      </c>
      <c r="G71" s="29">
        <v>251</v>
      </c>
      <c r="H71" s="14">
        <f>IF(ISNUMBER(G71), (G71 - $B71) / $B71, "")</f>
        <v>-3.968253968253968E-3</v>
      </c>
      <c r="I71" s="100">
        <f>IF(ISNUMBER(G71), $B91 * H71, "")</f>
        <v>-1190.4761904761904</v>
      </c>
      <c r="J71" s="13">
        <v>253</v>
      </c>
      <c r="K71" s="14">
        <f>IF(ISNUMBER(J71), (J71 - $B71) / $B71, "")</f>
        <v>3.968253968253968E-3</v>
      </c>
      <c r="L71" s="16">
        <f>IF(ISNUMBER(J71), $B91 * K71, "")</f>
        <v>1190.4761904761904</v>
      </c>
      <c r="M71" s="29">
        <v>250</v>
      </c>
      <c r="N71" s="14">
        <f>IF(ISNUMBER(M71), (M71 - $B71) / $B71, "")</f>
        <v>-7.9365079365079361E-3</v>
      </c>
      <c r="O71" s="16">
        <f>IF(ISNUMBER(M71), $B91 * N71, "")</f>
        <v>-2380.9523809523807</v>
      </c>
      <c r="Q71" s="184"/>
      <c r="R71" s="184"/>
      <c r="S71" s="184"/>
    </row>
    <row r="72" spans="1:19" ht="17.25" thickBot="1">
      <c r="A72" s="17" t="s">
        <v>212</v>
      </c>
      <c r="B72" s="15">
        <v>181</v>
      </c>
      <c r="C72" s="32">
        <v>0.11042944790000001</v>
      </c>
      <c r="D72" s="15">
        <v>177</v>
      </c>
      <c r="E72" s="32">
        <f t="shared" ref="E72:E75" si="30">IF(ISNUMBER(D72), (D72 - $B72) / $B72, "")</f>
        <v>-2.2099447513812154E-2</v>
      </c>
      <c r="F72" s="18">
        <f>IF(ISNUMBER(D72), $B91 * E72, "")</f>
        <v>-6629.8342541436459</v>
      </c>
      <c r="G72" s="31">
        <v>178</v>
      </c>
      <c r="H72" s="32">
        <f t="shared" ref="H72:H75" si="31">IF(ISNUMBER(G72), (G72 - $B72) / $B72, "")</f>
        <v>-1.6574585635359115E-2</v>
      </c>
      <c r="I72" s="101">
        <f>IF(ISNUMBER(G72), $B91 * H72, "")</f>
        <v>-4972.3756906077342</v>
      </c>
      <c r="J72" s="15">
        <v>180</v>
      </c>
      <c r="K72" s="32">
        <f t="shared" ref="K72:K75" si="32">IF(ISNUMBER(J72), (J72 - $B72) / $B72, "")</f>
        <v>-5.5248618784530384E-3</v>
      </c>
      <c r="L72" s="18">
        <f>IF(ISNUMBER(J72), $B91 * K72, "")</f>
        <v>-1657.4585635359115</v>
      </c>
      <c r="M72" s="31">
        <v>179</v>
      </c>
      <c r="N72" s="32">
        <f t="shared" ref="N72:N75" si="33">IF(ISNUMBER(M72), (M72 - $B72) / $B72, "")</f>
        <v>-1.1049723756906077E-2</v>
      </c>
      <c r="O72" s="18">
        <f>IF(ISNUMBER(M72), $B91 * N72, "")</f>
        <v>-3314.917127071823</v>
      </c>
      <c r="Q72" s="184"/>
      <c r="R72" s="184"/>
      <c r="S72" s="184"/>
    </row>
    <row r="73" spans="1:19" ht="17.25" thickBot="1">
      <c r="A73" s="17" t="s">
        <v>132</v>
      </c>
      <c r="B73" s="15">
        <v>254</v>
      </c>
      <c r="C73" s="32">
        <v>4.5267489700000003E-2</v>
      </c>
      <c r="D73" s="15">
        <v>262</v>
      </c>
      <c r="E73" s="32">
        <f t="shared" si="30"/>
        <v>3.1496062992125984E-2</v>
      </c>
      <c r="F73" s="18">
        <f>IF(ISNUMBER(D73), $B91 * E73, "")</f>
        <v>9448.8188976377951</v>
      </c>
      <c r="G73" s="31">
        <v>263</v>
      </c>
      <c r="H73" s="32">
        <f t="shared" si="31"/>
        <v>3.5433070866141732E-2</v>
      </c>
      <c r="I73" s="101">
        <f>IF(ISNUMBER(G73), $B91 * H73, "")</f>
        <v>10629.92125984252</v>
      </c>
      <c r="J73" s="15">
        <v>265</v>
      </c>
      <c r="K73" s="32">
        <f t="shared" si="32"/>
        <v>4.3307086614173228E-2</v>
      </c>
      <c r="L73" s="18">
        <f>IF(ISNUMBER(J73), $B91 * K73, "")</f>
        <v>12992.125984251968</v>
      </c>
      <c r="M73" s="31">
        <v>258</v>
      </c>
      <c r="N73" s="32">
        <f t="shared" si="33"/>
        <v>1.5748031496062992E-2</v>
      </c>
      <c r="O73" s="18">
        <f>IF(ISNUMBER(M73), $B91 * N73, "")</f>
        <v>4724.4094488188975</v>
      </c>
      <c r="Q73" s="174"/>
      <c r="R73" s="174"/>
      <c r="S73" s="174"/>
    </row>
    <row r="74" spans="1:19" ht="17.25" thickBot="1">
      <c r="A74" s="17" t="s">
        <v>230</v>
      </c>
      <c r="B74" s="15">
        <v>198</v>
      </c>
      <c r="C74" s="32">
        <v>4.21052632E-2</v>
      </c>
      <c r="D74" s="15">
        <v>202</v>
      </c>
      <c r="E74" s="32">
        <f t="shared" si="30"/>
        <v>2.0202020202020204E-2</v>
      </c>
      <c r="F74" s="18">
        <f>IF(ISNUMBER(D74), $B91 * E74, "")</f>
        <v>6060.606060606061</v>
      </c>
      <c r="G74" s="31">
        <v>202</v>
      </c>
      <c r="H74" s="32">
        <f t="shared" si="31"/>
        <v>2.0202020202020204E-2</v>
      </c>
      <c r="I74" s="101">
        <f>IF(ISNUMBER(G74), $B91 * H74, "")</f>
        <v>6060.606060606061</v>
      </c>
      <c r="J74" s="15">
        <v>203</v>
      </c>
      <c r="K74" s="32">
        <f t="shared" si="32"/>
        <v>2.5252525252525252E-2</v>
      </c>
      <c r="L74" s="18">
        <f>IF(ISNUMBER(J74), $B91 * K74, "")</f>
        <v>7575.757575757576</v>
      </c>
      <c r="M74" s="31">
        <v>200</v>
      </c>
      <c r="N74" s="32">
        <f t="shared" si="33"/>
        <v>1.0101010101010102E-2</v>
      </c>
      <c r="O74" s="18">
        <f>IF(ISNUMBER(M74), $B91 * N74, "")</f>
        <v>3030.3030303030305</v>
      </c>
      <c r="Q74" s="174"/>
      <c r="R74" s="174"/>
      <c r="S74" s="174"/>
    </row>
    <row r="75" spans="1:19" ht="17.25" thickBot="1">
      <c r="A75" s="19" t="s">
        <v>122</v>
      </c>
      <c r="B75" s="20">
        <v>130</v>
      </c>
      <c r="C75" s="21">
        <v>3.1746031700000003E-2</v>
      </c>
      <c r="D75" s="20">
        <v>136</v>
      </c>
      <c r="E75" s="21">
        <f t="shared" si="30"/>
        <v>4.6153846153846156E-2</v>
      </c>
      <c r="F75" s="22">
        <f>IF(ISNUMBER(D75), $B91 * E75, "")</f>
        <v>13846.153846153848</v>
      </c>
      <c r="G75" s="30">
        <v>135</v>
      </c>
      <c r="H75" s="21">
        <f t="shared" si="31"/>
        <v>3.8461538461538464E-2</v>
      </c>
      <c r="I75" s="105">
        <f>IF(ISNUMBER(G75), $B91 * H75, "")</f>
        <v>11538.461538461539</v>
      </c>
      <c r="J75" s="20">
        <v>136</v>
      </c>
      <c r="K75" s="21">
        <f t="shared" si="32"/>
        <v>4.6153846153846156E-2</v>
      </c>
      <c r="L75" s="22">
        <f>IF(ISNUMBER(J75), $B91 * K75, "")</f>
        <v>13846.153846153848</v>
      </c>
      <c r="M75" s="30">
        <v>134</v>
      </c>
      <c r="N75" s="21">
        <f t="shared" si="33"/>
        <v>3.0769230769230771E-2</v>
      </c>
      <c r="O75" s="22">
        <f>IF(ISNUMBER(M75), $B91 * N75, "")</f>
        <v>9230.7692307692305</v>
      </c>
      <c r="Q75" s="174"/>
      <c r="R75" s="174"/>
      <c r="S75" s="174"/>
    </row>
    <row r="76" spans="1:19" ht="17.25" thickBot="1">
      <c r="A76" s="17" t="s">
        <v>268</v>
      </c>
      <c r="B76" s="106">
        <v>101</v>
      </c>
      <c r="C76" s="107">
        <v>2.2267206500000001E-2</v>
      </c>
      <c r="D76" s="106">
        <v>108</v>
      </c>
      <c r="E76" s="107">
        <f>IF(ISNUMBER(D76), (D76 - $B76) / $B76, "")</f>
        <v>6.9306930693069313E-2</v>
      </c>
      <c r="F76" s="108">
        <f>IF(ISNUMBER(D76), $B91 * E76, "")</f>
        <v>20792.079207920793</v>
      </c>
      <c r="G76" s="109">
        <v>112</v>
      </c>
      <c r="H76" s="107">
        <f>IF(ISNUMBER(G76), (G76 - $B76) / $B76, "")</f>
        <v>0.10891089108910891</v>
      </c>
      <c r="I76" s="110">
        <f>IF(ISNUMBER(G76), $B91 * H76, "")</f>
        <v>32673.267326732672</v>
      </c>
      <c r="J76" s="106">
        <v>112</v>
      </c>
      <c r="K76" s="107">
        <f>IF(ISNUMBER(J76), (J76 - $B76) / $B76, "")</f>
        <v>0.10891089108910891</v>
      </c>
      <c r="L76" s="108">
        <f>IF(ISNUMBER(J76), $B91 * K76, "")</f>
        <v>32673.267326732672</v>
      </c>
      <c r="M76" s="109">
        <v>113</v>
      </c>
      <c r="N76" s="107">
        <f>IF(ISNUMBER(M76), (M76 - $B76) / $B76, "")</f>
        <v>0.11881188118811881</v>
      </c>
      <c r="O76" s="108">
        <f>IF(ISNUMBER(M76), $B91 * N76, "")</f>
        <v>35643.564356435643</v>
      </c>
      <c r="Q76" s="174"/>
      <c r="R76" s="174"/>
      <c r="S76" s="174"/>
    </row>
    <row r="77" spans="1:19" ht="17.25" thickBot="1">
      <c r="A77" s="17" t="s">
        <v>112</v>
      </c>
      <c r="B77" s="15">
        <v>283</v>
      </c>
      <c r="C77" s="32">
        <v>1.43369176E-2</v>
      </c>
      <c r="D77" s="15">
        <v>289</v>
      </c>
      <c r="E77" s="32">
        <f t="shared" ref="E77:E80" si="34">IF(ISNUMBER(D77), (D77 - $B77) / $B77, "")</f>
        <v>2.1201413427561839E-2</v>
      </c>
      <c r="F77" s="18">
        <f>IF(ISNUMBER(D77), $B91 * E77, "")</f>
        <v>6360.4240282685514</v>
      </c>
      <c r="G77" s="31">
        <v>294</v>
      </c>
      <c r="H77" s="32">
        <f t="shared" ref="H77:H80" si="35">IF(ISNUMBER(G77), (G77 - $B77) / $B77, "")</f>
        <v>3.8869257950530034E-2</v>
      </c>
      <c r="I77" s="101">
        <f>IF(ISNUMBER(G77), $B91 * H77, "")</f>
        <v>11660.77738515901</v>
      </c>
      <c r="J77" s="15">
        <v>294</v>
      </c>
      <c r="K77" s="32">
        <f t="shared" ref="K77:K80" si="36">IF(ISNUMBER(J77), (J77 - $B77) / $B77, "")</f>
        <v>3.8869257950530034E-2</v>
      </c>
      <c r="L77" s="18">
        <f>IF(ISNUMBER(J77), $B91 * K77, "")</f>
        <v>11660.77738515901</v>
      </c>
      <c r="M77" s="31">
        <v>289</v>
      </c>
      <c r="N77" s="32">
        <f t="shared" ref="N77:N80" si="37">IF(ISNUMBER(M77), (M77 - $B77) / $B77, "")</f>
        <v>2.1201413427561839E-2</v>
      </c>
      <c r="O77" s="18">
        <f>IF(ISNUMBER(M77), $B91 * N77, "")</f>
        <v>6360.4240282685514</v>
      </c>
      <c r="Q77" s="174"/>
      <c r="R77" s="174"/>
      <c r="S77" s="174"/>
    </row>
    <row r="78" spans="1:19" ht="17.25" thickBot="1">
      <c r="A78" s="17" t="s">
        <v>208</v>
      </c>
      <c r="B78" s="15">
        <v>540</v>
      </c>
      <c r="C78" s="32">
        <v>1.3133208299999999E-2</v>
      </c>
      <c r="D78" s="15">
        <v>546</v>
      </c>
      <c r="E78" s="32">
        <f t="shared" si="34"/>
        <v>1.1111111111111112E-2</v>
      </c>
      <c r="F78" s="18">
        <f>IF(ISNUMBER(D78), $B91 * E78, "")</f>
        <v>3333.3333333333335</v>
      </c>
      <c r="G78" s="31">
        <v>557</v>
      </c>
      <c r="H78" s="32">
        <f t="shared" si="35"/>
        <v>3.1481481481481478E-2</v>
      </c>
      <c r="I78" s="101">
        <f>IF(ISNUMBER(G78), $B91 * H78, "")</f>
        <v>9444.4444444444434</v>
      </c>
      <c r="J78" s="15">
        <v>562</v>
      </c>
      <c r="K78" s="32">
        <f t="shared" si="36"/>
        <v>4.0740740740740744E-2</v>
      </c>
      <c r="L78" s="18">
        <f>IF(ISNUMBER(J78), $B91 * K78, "")</f>
        <v>12222.222222222223</v>
      </c>
      <c r="M78" s="31">
        <v>550</v>
      </c>
      <c r="N78" s="32">
        <f t="shared" si="37"/>
        <v>1.8518518518518517E-2</v>
      </c>
      <c r="O78" s="18">
        <f>IF(ISNUMBER(M78), $B91 * N78, "")</f>
        <v>5555.5555555555557</v>
      </c>
      <c r="Q78" s="174"/>
      <c r="R78" s="174"/>
      <c r="S78" s="174"/>
    </row>
    <row r="79" spans="1:19" ht="17.25" thickBot="1">
      <c r="A79" s="17" t="s">
        <v>54</v>
      </c>
      <c r="B79" s="15">
        <v>393</v>
      </c>
      <c r="C79" s="32">
        <v>1.0282776299999999E-2</v>
      </c>
      <c r="D79" s="15">
        <v>401</v>
      </c>
      <c r="E79" s="32">
        <f t="shared" si="34"/>
        <v>2.0356234096692113E-2</v>
      </c>
      <c r="F79" s="18">
        <f>IF(ISNUMBER(D79), $B91 * E79, "")</f>
        <v>6106.8702290076344</v>
      </c>
      <c r="G79" s="31">
        <v>404</v>
      </c>
      <c r="H79" s="32">
        <f t="shared" si="35"/>
        <v>2.7989821882951654E-2</v>
      </c>
      <c r="I79" s="101">
        <f>IF(ISNUMBER(G79), $B91 * H79, "")</f>
        <v>8396.9465648854966</v>
      </c>
      <c r="J79" s="15">
        <v>409</v>
      </c>
      <c r="K79" s="32">
        <f t="shared" si="36"/>
        <v>4.0712468193384227E-2</v>
      </c>
      <c r="L79" s="18">
        <f>IF(ISNUMBER(J79), $B91 * K79, "")</f>
        <v>12213.740458015269</v>
      </c>
      <c r="M79" s="31">
        <v>400</v>
      </c>
      <c r="N79" s="32">
        <f t="shared" si="37"/>
        <v>1.7811704834605598E-2</v>
      </c>
      <c r="O79" s="18">
        <f>IF(ISNUMBER(M79), $B91 * N79, "")</f>
        <v>5343.5114503816794</v>
      </c>
      <c r="Q79" s="33"/>
      <c r="R79" s="33"/>
    </row>
    <row r="80" spans="1:19" ht="17.25" thickBot="1">
      <c r="A80" s="23" t="s">
        <v>210</v>
      </c>
      <c r="B80" s="24">
        <v>219</v>
      </c>
      <c r="C80" s="25">
        <v>4.5871560000000002E-3</v>
      </c>
      <c r="D80" s="24">
        <v>222</v>
      </c>
      <c r="E80" s="25">
        <f t="shared" si="34"/>
        <v>1.3698630136986301E-2</v>
      </c>
      <c r="F80" s="104">
        <f>IF(ISNUMBER(D80), $B91 * E80, "")</f>
        <v>4109.58904109589</v>
      </c>
      <c r="G80" s="102">
        <v>225</v>
      </c>
      <c r="H80" s="25">
        <f t="shared" si="35"/>
        <v>2.7397260273972601E-2</v>
      </c>
      <c r="I80" s="103">
        <f>IF(ISNUMBER(G80), $B91 * H80, "")</f>
        <v>8219.17808219178</v>
      </c>
      <c r="J80" s="24">
        <v>224</v>
      </c>
      <c r="K80" s="25">
        <f t="shared" si="36"/>
        <v>2.2831050228310501E-2</v>
      </c>
      <c r="L80" s="104">
        <f>IF(ISNUMBER(J80), $B91 * K80, "")</f>
        <v>6849.3150684931506</v>
      </c>
      <c r="M80" s="102">
        <v>223</v>
      </c>
      <c r="N80" s="25">
        <f t="shared" si="37"/>
        <v>1.8264840182648401E-2</v>
      </c>
      <c r="O80" s="104">
        <f>IF(ISNUMBER(M80), $B91 * N80, "")</f>
        <v>5479.4520547945203</v>
      </c>
      <c r="Q80" s="175"/>
      <c r="R80" s="176"/>
      <c r="S80" s="177"/>
    </row>
    <row r="81" spans="1:19">
      <c r="A81" s="12" t="s">
        <v>142</v>
      </c>
      <c r="B81" s="13">
        <v>424</v>
      </c>
      <c r="C81" s="14">
        <v>-7.0257610999999998E-3</v>
      </c>
      <c r="D81" s="13">
        <v>459</v>
      </c>
      <c r="E81" s="14">
        <f>IF(ISNUMBER(D81), (D81 - $B81) / $B81, "")</f>
        <v>8.254716981132075E-2</v>
      </c>
      <c r="F81" s="16">
        <f>IF(ISNUMBER(D81), $B91 * E81, "")</f>
        <v>24764.150943396224</v>
      </c>
      <c r="G81" s="29">
        <v>464</v>
      </c>
      <c r="H81" s="14">
        <f>IF(ISNUMBER(G81), (G81 - $B81) / $B81, "")</f>
        <v>9.4339622641509441E-2</v>
      </c>
      <c r="I81" s="100">
        <f>IF(ISNUMBER(G81), $B91 * H81, "")</f>
        <v>28301.886792452831</v>
      </c>
      <c r="J81" s="13">
        <v>466</v>
      </c>
      <c r="K81" s="14">
        <f>IF(ISNUMBER(J81), (J81 - $B81) / $B81, "")</f>
        <v>9.9056603773584911E-2</v>
      </c>
      <c r="L81" s="16">
        <f>IF(ISNUMBER(J81), $B91 * K81, "")</f>
        <v>29716.981132075474</v>
      </c>
      <c r="M81" s="29">
        <v>466</v>
      </c>
      <c r="N81" s="14">
        <f>IF(ISNUMBER(M81), (M81 - $B81) / $B81, "")</f>
        <v>9.9056603773584911E-2</v>
      </c>
      <c r="O81" s="16">
        <f>IF(ISNUMBER(M81), $B91 * N81, "")</f>
        <v>29716.981132075474</v>
      </c>
      <c r="Q81" s="178"/>
      <c r="R81" s="179"/>
      <c r="S81" s="180"/>
    </row>
    <row r="82" spans="1:19" ht="17.25" thickBot="1">
      <c r="A82" s="17" t="s">
        <v>270</v>
      </c>
      <c r="B82" s="15">
        <v>548</v>
      </c>
      <c r="C82" s="32">
        <v>-9.0415913000000004E-3</v>
      </c>
      <c r="D82" s="15">
        <v>605</v>
      </c>
      <c r="E82" s="32">
        <f t="shared" ref="E82:E85" si="38">IF(ISNUMBER(D82), (D82 - $B82) / $B82, "")</f>
        <v>0.10401459854014598</v>
      </c>
      <c r="F82" s="18">
        <f>IF(ISNUMBER(D82), $B91 * E82, "")</f>
        <v>31204.379562043796</v>
      </c>
      <c r="G82" s="31">
        <v>607</v>
      </c>
      <c r="H82" s="32">
        <f t="shared" ref="H82:H85" si="39">IF(ISNUMBER(G82), (G82 - $B82) / $B82, "")</f>
        <v>0.10766423357664233</v>
      </c>
      <c r="I82" s="101">
        <f>IF(ISNUMBER(G82), $B91 * H82, "")</f>
        <v>32299.270072992698</v>
      </c>
      <c r="J82" s="15">
        <v>620</v>
      </c>
      <c r="K82" s="32">
        <f t="shared" ref="K82:K85" si="40">IF(ISNUMBER(J82), (J82 - $B82) / $B82, "")</f>
        <v>0.13138686131386862</v>
      </c>
      <c r="L82" s="18">
        <f>IF(ISNUMBER(J82), $B91 * K82, "")</f>
        <v>39416.058394160587</v>
      </c>
      <c r="M82" s="31">
        <v>599</v>
      </c>
      <c r="N82" s="32">
        <f t="shared" ref="N82:N85" si="41">IF(ISNUMBER(M82), (M82 - $B82) / $B82, "")</f>
        <v>9.3065693430656932E-2</v>
      </c>
      <c r="O82" s="18">
        <f>IF(ISNUMBER(M82), $B91 * N82, "")</f>
        <v>27919.708029197078</v>
      </c>
      <c r="Q82" s="181"/>
      <c r="R82" s="182"/>
      <c r="S82" s="183"/>
    </row>
    <row r="83" spans="1:19" ht="17.25" thickBot="1">
      <c r="A83" s="17" t="s">
        <v>238</v>
      </c>
      <c r="B83" s="15">
        <v>316</v>
      </c>
      <c r="C83" s="32">
        <v>-1.2500000000000001E-2</v>
      </c>
      <c r="D83" s="15">
        <v>340</v>
      </c>
      <c r="E83" s="32">
        <f t="shared" si="38"/>
        <v>7.5949367088607597E-2</v>
      </c>
      <c r="F83" s="18">
        <f>IF(ISNUMBER(D83), $B91 * E83, "")</f>
        <v>22784.810126582281</v>
      </c>
      <c r="G83" s="31">
        <v>337</v>
      </c>
      <c r="H83" s="32">
        <f t="shared" si="39"/>
        <v>6.6455696202531639E-2</v>
      </c>
      <c r="I83" s="101">
        <f>IF(ISNUMBER(G83), $B91 * H83, "")</f>
        <v>19936.708860759492</v>
      </c>
      <c r="J83" s="15">
        <v>337</v>
      </c>
      <c r="K83" s="32">
        <f t="shared" si="40"/>
        <v>6.6455696202531639E-2</v>
      </c>
      <c r="L83" s="18">
        <f>IF(ISNUMBER(J83), $B91 * K83, "")</f>
        <v>19936.708860759492</v>
      </c>
      <c r="M83" s="31">
        <v>333</v>
      </c>
      <c r="N83" s="32">
        <f t="shared" si="41"/>
        <v>5.3797468354430382E-2</v>
      </c>
      <c r="O83" s="18">
        <f>IF(ISNUMBER(M83), $B91 * N83, "")</f>
        <v>16139.240506329115</v>
      </c>
      <c r="Q83" s="174"/>
      <c r="R83" s="174"/>
      <c r="S83" s="174"/>
    </row>
    <row r="84" spans="1:19" ht="17.25" thickBot="1">
      <c r="A84" s="17" t="s">
        <v>156</v>
      </c>
      <c r="B84" s="15">
        <v>155</v>
      </c>
      <c r="C84" s="32">
        <v>-1.2738853499999999E-2</v>
      </c>
      <c r="D84" s="15">
        <v>157</v>
      </c>
      <c r="E84" s="32">
        <f t="shared" si="38"/>
        <v>1.2903225806451613E-2</v>
      </c>
      <c r="F84" s="18">
        <f>IF(ISNUMBER(D84), $B91 * E84, "")</f>
        <v>3870.9677419354839</v>
      </c>
      <c r="G84" s="31">
        <v>162</v>
      </c>
      <c r="H84" s="32">
        <f t="shared" si="39"/>
        <v>4.5161290322580643E-2</v>
      </c>
      <c r="I84" s="101">
        <f>IF(ISNUMBER(G84), $B91 * H84, "")</f>
        <v>13548.387096774193</v>
      </c>
      <c r="J84" s="15">
        <v>164</v>
      </c>
      <c r="K84" s="32">
        <f t="shared" si="40"/>
        <v>5.8064516129032261E-2</v>
      </c>
      <c r="L84" s="18">
        <f>IF(ISNUMBER(J84), $B91 * K84, "")</f>
        <v>17419.354838709678</v>
      </c>
      <c r="M84" s="31">
        <v>160</v>
      </c>
      <c r="N84" s="32">
        <f t="shared" si="41"/>
        <v>3.2258064516129031E-2</v>
      </c>
      <c r="O84" s="18">
        <f>IF(ISNUMBER(M84), $B91 * N84, "")</f>
        <v>9677.4193548387102</v>
      </c>
      <c r="Q84" s="184"/>
      <c r="R84" s="184"/>
      <c r="S84" s="184"/>
    </row>
    <row r="85" spans="1:19" ht="17.25" thickBot="1">
      <c r="A85" s="19" t="s">
        <v>170</v>
      </c>
      <c r="B85" s="20">
        <v>541</v>
      </c>
      <c r="C85" s="21">
        <v>-1.4571949000000001E-2</v>
      </c>
      <c r="D85" s="20">
        <v>544</v>
      </c>
      <c r="E85" s="21">
        <f t="shared" si="38"/>
        <v>5.5452865064695009E-3</v>
      </c>
      <c r="F85" s="22">
        <f>IF(ISNUMBER(D85), $B91 * E85, "")</f>
        <v>1663.5859519408502</v>
      </c>
      <c r="G85" s="30">
        <v>551</v>
      </c>
      <c r="H85" s="21">
        <f t="shared" si="39"/>
        <v>1.8484288354898338E-2</v>
      </c>
      <c r="I85" s="105">
        <f>IF(ISNUMBER(G85), $B91 * H85, "")</f>
        <v>5545.2865064695015</v>
      </c>
      <c r="J85" s="20">
        <v>555</v>
      </c>
      <c r="K85" s="21">
        <f t="shared" si="40"/>
        <v>2.5878003696857672E-2</v>
      </c>
      <c r="L85" s="22">
        <f>IF(ISNUMBER(J85), $B91 * K85, "")</f>
        <v>7763.4011090573022</v>
      </c>
      <c r="M85" s="30">
        <v>549</v>
      </c>
      <c r="N85" s="21">
        <f t="shared" si="41"/>
        <v>1.4787430683918669E-2</v>
      </c>
      <c r="O85" s="22">
        <f>IF(ISNUMBER(M85), $B91 * N85, "")</f>
        <v>4436.2292051756003</v>
      </c>
      <c r="Q85" s="184"/>
      <c r="R85" s="184"/>
      <c r="S85" s="184"/>
    </row>
    <row r="86" spans="1:19" ht="17.25" thickBot="1">
      <c r="A86" s="17" t="s">
        <v>88</v>
      </c>
      <c r="B86" s="106">
        <v>649</v>
      </c>
      <c r="C86" s="107">
        <v>-1.6666666699999999E-2</v>
      </c>
      <c r="D86" s="106">
        <v>651</v>
      </c>
      <c r="E86" s="107">
        <f>IF(ISNUMBER(D86), (D86 - $B86) / $B86, "")</f>
        <v>3.0816640986132513E-3</v>
      </c>
      <c r="F86" s="108">
        <f>IF(ISNUMBER(D86), $B91 * E86, "")</f>
        <v>924.49922958397542</v>
      </c>
      <c r="G86" s="109">
        <v>650</v>
      </c>
      <c r="H86" s="107">
        <f>IF(ISNUMBER(G86), (G86 - $B86) / $B86, "")</f>
        <v>1.5408320493066256E-3</v>
      </c>
      <c r="I86" s="110">
        <f>IF(ISNUMBER(G86), $B91 * H86, "")</f>
        <v>462.24961479198771</v>
      </c>
      <c r="J86" s="106">
        <v>652</v>
      </c>
      <c r="K86" s="107">
        <f>IF(ISNUMBER(J86), (J86 - $B86) / $B86, "")</f>
        <v>4.6224961479198771E-3</v>
      </c>
      <c r="L86" s="108">
        <f>IF(ISNUMBER(J86), $B91 * K86, "")</f>
        <v>1386.7488443759632</v>
      </c>
      <c r="M86" s="109">
        <v>650</v>
      </c>
      <c r="N86" s="107">
        <f>IF(ISNUMBER(M86), (M86 - $B86) / $B86, "")</f>
        <v>1.5408320493066256E-3</v>
      </c>
      <c r="O86" s="108">
        <f>IF(ISNUMBER(M86), $B91 * N86, "")</f>
        <v>462.24961479198771</v>
      </c>
      <c r="Q86" s="174"/>
      <c r="R86" s="174"/>
      <c r="S86" s="174"/>
    </row>
    <row r="87" spans="1:19" ht="17.25" thickBot="1">
      <c r="A87" s="17" t="s">
        <v>200</v>
      </c>
      <c r="B87" s="15">
        <v>407</v>
      </c>
      <c r="C87" s="32">
        <v>-1.69082126E-2</v>
      </c>
      <c r="D87" s="15">
        <v>409</v>
      </c>
      <c r="E87" s="32">
        <f t="shared" ref="E87:E90" si="42">IF(ISNUMBER(D87), (D87 - $B87) / $B87, "")</f>
        <v>4.9140049140049139E-3</v>
      </c>
      <c r="F87" s="18">
        <f>IF(ISNUMBER(D87), $B91 * E87, "")</f>
        <v>1474.2014742014742</v>
      </c>
      <c r="G87" s="31">
        <v>415</v>
      </c>
      <c r="H87" s="32">
        <f t="shared" ref="H87:H90" si="43">IF(ISNUMBER(G87), (G87 - $B87) / $B87, "")</f>
        <v>1.9656019656019656E-2</v>
      </c>
      <c r="I87" s="101">
        <f>IF(ISNUMBER(G87), $B91 * H87, "")</f>
        <v>5896.8058968058967</v>
      </c>
      <c r="J87" s="15">
        <v>425</v>
      </c>
      <c r="K87" s="32">
        <f t="shared" ref="K87:K90" si="44">IF(ISNUMBER(J87), (J87 - $B87) / $B87, "")</f>
        <v>4.4226044226044224E-2</v>
      </c>
      <c r="L87" s="18">
        <f>IF(ISNUMBER(J87), $B91 * K87, "")</f>
        <v>13267.813267813268</v>
      </c>
      <c r="M87" s="31">
        <v>411</v>
      </c>
      <c r="N87" s="32">
        <f t="shared" ref="N87:N90" si="45">IF(ISNUMBER(M87), (M87 - $B87) / $B87, "")</f>
        <v>9.8280098280098278E-3</v>
      </c>
      <c r="O87" s="18">
        <f>IF(ISNUMBER(M87), $B91 * N87, "")</f>
        <v>2948.4029484029484</v>
      </c>
      <c r="Q87" s="174"/>
      <c r="R87" s="174"/>
      <c r="S87" s="174"/>
    </row>
    <row r="88" spans="1:19" ht="17.25" thickBot="1">
      <c r="A88" s="17" t="s">
        <v>182</v>
      </c>
      <c r="B88" s="15">
        <v>494</v>
      </c>
      <c r="C88" s="32">
        <v>-1.7892644100000001E-2</v>
      </c>
      <c r="D88" s="15">
        <v>497</v>
      </c>
      <c r="E88" s="32">
        <f t="shared" si="42"/>
        <v>6.0728744939271256E-3</v>
      </c>
      <c r="F88" s="18">
        <f>IF(ISNUMBER(D88), $B91 * E88, "")</f>
        <v>1821.8623481781376</v>
      </c>
      <c r="G88" s="31">
        <v>507</v>
      </c>
      <c r="H88" s="32">
        <f t="shared" si="43"/>
        <v>2.6315789473684209E-2</v>
      </c>
      <c r="I88" s="101">
        <f>IF(ISNUMBER(G88), $B91 * H88, "")</f>
        <v>7894.7368421052624</v>
      </c>
      <c r="J88" s="15">
        <v>513</v>
      </c>
      <c r="K88" s="32">
        <f t="shared" si="44"/>
        <v>3.8461538461538464E-2</v>
      </c>
      <c r="L88" s="18">
        <f>IF(ISNUMBER(J88), $B91 * K88, "")</f>
        <v>11538.461538461539</v>
      </c>
      <c r="M88" s="31">
        <v>504</v>
      </c>
      <c r="N88" s="32">
        <f t="shared" si="45"/>
        <v>2.0242914979757085E-2</v>
      </c>
      <c r="O88" s="18">
        <f>IF(ISNUMBER(M88), $B91 * N88, "")</f>
        <v>6072.8744939271255</v>
      </c>
      <c r="Q88" s="174"/>
      <c r="R88" s="174"/>
      <c r="S88" s="174"/>
    </row>
    <row r="89" spans="1:19">
      <c r="A89" s="17" t="s">
        <v>116</v>
      </c>
      <c r="B89" s="15">
        <v>706</v>
      </c>
      <c r="C89" s="32">
        <v>-1.8080667599999999E-2</v>
      </c>
      <c r="D89" s="15">
        <v>727</v>
      </c>
      <c r="E89" s="32">
        <f t="shared" si="42"/>
        <v>2.9745042492917848E-2</v>
      </c>
      <c r="F89" s="18">
        <f>IF(ISNUMBER(D89), $B91 * E89, "")</f>
        <v>8923.5127478753548</v>
      </c>
      <c r="G89" s="31">
        <v>748</v>
      </c>
      <c r="H89" s="32">
        <f t="shared" si="43"/>
        <v>5.9490084985835696E-2</v>
      </c>
      <c r="I89" s="101">
        <f>IF(ISNUMBER(G89), $B91 * H89, "")</f>
        <v>17847.02549575071</v>
      </c>
      <c r="J89" s="15">
        <v>763</v>
      </c>
      <c r="K89" s="32">
        <f t="shared" si="44"/>
        <v>8.0736543909348438E-2</v>
      </c>
      <c r="L89" s="18">
        <f>IF(ISNUMBER(J89), $B91 * K89, "")</f>
        <v>24220.963172804531</v>
      </c>
      <c r="M89" s="31">
        <v>755</v>
      </c>
      <c r="N89" s="32">
        <f t="shared" si="45"/>
        <v>6.9405099150141647E-2</v>
      </c>
      <c r="O89" s="18">
        <f>IF(ISNUMBER(M89), $B91 * N89, "")</f>
        <v>20821.529745042495</v>
      </c>
      <c r="Q89" s="163"/>
      <c r="R89" s="164"/>
      <c r="S89" s="165"/>
    </row>
    <row r="90" spans="1:19" ht="17.25" thickBot="1">
      <c r="A90" s="23" t="s">
        <v>134</v>
      </c>
      <c r="B90" s="24">
        <v>158</v>
      </c>
      <c r="C90" s="25">
        <v>-1.8633540399999999E-2</v>
      </c>
      <c r="D90" s="24">
        <v>161</v>
      </c>
      <c r="E90" s="25">
        <f t="shared" si="42"/>
        <v>1.8987341772151899E-2</v>
      </c>
      <c r="F90" s="104">
        <f>IF(ISNUMBER(D90), $B91 * E90, "")</f>
        <v>5696.2025316455702</v>
      </c>
      <c r="G90" s="102">
        <v>163</v>
      </c>
      <c r="H90" s="25">
        <f t="shared" si="43"/>
        <v>3.1645569620253167E-2</v>
      </c>
      <c r="I90" s="103">
        <f>IF(ISNUMBER(G90), $B91 * H90, "")</f>
        <v>9493.67088607595</v>
      </c>
      <c r="J90" s="24">
        <v>166</v>
      </c>
      <c r="K90" s="25">
        <f t="shared" si="44"/>
        <v>5.0632911392405063E-2</v>
      </c>
      <c r="L90" s="104">
        <f>IF(ISNUMBER(J90), $B91 * K90, "")</f>
        <v>15189.873417721519</v>
      </c>
      <c r="M90" s="102">
        <v>162</v>
      </c>
      <c r="N90" s="25">
        <f t="shared" si="45"/>
        <v>2.5316455696202531E-2</v>
      </c>
      <c r="O90" s="104">
        <f>IF(ISNUMBER(M90), $B91 * N90, "")</f>
        <v>7594.9367088607596</v>
      </c>
      <c r="Q90" s="166"/>
      <c r="R90" s="167"/>
      <c r="S90" s="168"/>
    </row>
    <row r="91" spans="1:19" ht="17.25" thickBot="1">
      <c r="A91" s="26" t="s">
        <v>301</v>
      </c>
      <c r="B91" s="172">
        <f>$B$37</f>
        <v>300000</v>
      </c>
      <c r="C91" s="173"/>
      <c r="D91" s="26" t="s">
        <v>302</v>
      </c>
      <c r="E91" s="27">
        <f>IF(COUNT(E71:E90), SUM(E71:E90) / COUNT(E71:E90), 0)</f>
        <v>2.8751432333274062E-2</v>
      </c>
      <c r="F91" s="28">
        <f>SUM(F71:F90)</f>
        <v>172508.59399964436</v>
      </c>
      <c r="G91" s="26" t="s">
        <v>302</v>
      </c>
      <c r="H91" s="27">
        <f>IF(COUNT(H71:H90), SUM(H71:H90) / COUNT(H71:H90), 0)</f>
        <v>3.8947796474369689E-2</v>
      </c>
      <c r="I91" s="28">
        <f>SUM(I71:I90)</f>
        <v>233686.77884621805</v>
      </c>
      <c r="J91" s="26" t="s">
        <v>302</v>
      </c>
      <c r="K91" s="27">
        <f>IF(COUNT(K71:K90), SUM(K71:K90) / COUNT(K71:K90), 0)</f>
        <v>4.8237123678277566E-2</v>
      </c>
      <c r="L91" s="28">
        <f>SUM(L71:L90)</f>
        <v>289422.74206966534</v>
      </c>
      <c r="M91" s="26" t="s">
        <v>302</v>
      </c>
      <c r="N91" s="27">
        <f>IF(COUNT(N71:N90), SUM(N71:N90) / COUNT(N71:N90), 0)</f>
        <v>3.2576948564324033E-2</v>
      </c>
      <c r="O91" s="28">
        <f>SUM(O71:O90)</f>
        <v>195461.69138594417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1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194" t="s">
        <v>55</v>
      </c>
      <c r="B96" s="196" t="str">
        <f>TEXT($G$1, "[$-ko-KR]yyyy-mm-dd(ddd) ") &amp; "오전 00:00"</f>
        <v>2021-05-03(월) 오전 00:00</v>
      </c>
      <c r="C96" s="197"/>
      <c r="D96" s="198" t="str">
        <f>TEXT($G$1, "[$-ko-KR]yyyy-mm-dd(ddd) ") &amp; "오후 14:00"</f>
        <v>2021-05-03(월) 오후 14:00</v>
      </c>
      <c r="E96" s="199"/>
      <c r="F96" s="200"/>
      <c r="G96" s="198" t="str">
        <f>TEXT($G$1, "[$-ko-KR]yyyy-mm-dd(ddd) ") &amp; "오후 19:00"</f>
        <v>2021-05-03(월) 오후 19:00</v>
      </c>
      <c r="H96" s="199"/>
      <c r="I96" s="200"/>
      <c r="J96" s="198" t="str">
        <f>TEXT($G$1, "[$-ko-KR]yyyy-mm-dd(ddd) ") &amp; "오후 21:00"</f>
        <v>2021-05-03(월) 오후 21:00</v>
      </c>
      <c r="K96" s="199"/>
      <c r="L96" s="200"/>
      <c r="M96" s="198" t="str">
        <f>TEXT($G$1+1, "[$-ko-KR]yyyy-mm-dd(ddd) ") &amp; "오전 00:00"</f>
        <v>2021-05-04(화) 오전 00:00</v>
      </c>
      <c r="N96" s="199"/>
      <c r="O96" s="200"/>
      <c r="Q96" s="184"/>
      <c r="R96" s="184"/>
      <c r="S96" s="184"/>
    </row>
    <row r="97" spans="1:19" ht="17.25" thickBot="1">
      <c r="A97" s="195"/>
      <c r="B97" s="2" t="s">
        <v>58</v>
      </c>
      <c r="C97" s="10" t="s">
        <v>59</v>
      </c>
      <c r="D97" s="2" t="s">
        <v>58</v>
      </c>
      <c r="E97" s="10" t="s">
        <v>299</v>
      </c>
      <c r="F97" s="11" t="s">
        <v>300</v>
      </c>
      <c r="G97" s="112" t="s">
        <v>58</v>
      </c>
      <c r="H97" s="113" t="s">
        <v>299</v>
      </c>
      <c r="I97" s="114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" t="s">
        <v>202</v>
      </c>
      <c r="B98" s="13">
        <v>252</v>
      </c>
      <c r="C98" s="14">
        <v>0.1454545455</v>
      </c>
      <c r="D98" s="13">
        <v>257</v>
      </c>
      <c r="E98" s="14">
        <f>IF(ISNUMBER(D98), (D98 - $B98) / $B98, "")</f>
        <v>1.984126984126984E-2</v>
      </c>
      <c r="F98" s="16">
        <f>IF(ISNUMBER(D98), $B118 * E98, "")</f>
        <v>5952.3809523809523</v>
      </c>
      <c r="G98" s="29">
        <v>251</v>
      </c>
      <c r="H98" s="14">
        <f>IF(ISNUMBER(G98), (G98 - $B98) / $B98, "")</f>
        <v>-3.968253968253968E-3</v>
      </c>
      <c r="I98" s="100">
        <f>IF(ISNUMBER(G98), $B118 * H98, "")</f>
        <v>-1190.4761904761904</v>
      </c>
      <c r="J98" s="13">
        <v>253</v>
      </c>
      <c r="K98" s="14">
        <f>IF(ISNUMBER(J98), (J98 - $B98) / $B98, "")</f>
        <v>3.968253968253968E-3</v>
      </c>
      <c r="L98" s="16">
        <f>IF(ISNUMBER(J98), $B118 * K98, "")</f>
        <v>1190.4761904761904</v>
      </c>
      <c r="M98" s="29">
        <v>250</v>
      </c>
      <c r="N98" s="14">
        <f>IF(ISNUMBER(M98), (M98 - $B98) / $B98, "")</f>
        <v>-7.9365079365079361E-3</v>
      </c>
      <c r="O98" s="16">
        <f>IF(ISNUMBER(M98), $B118 * N98, "")</f>
        <v>-2380.9523809523807</v>
      </c>
      <c r="Q98" s="184"/>
      <c r="R98" s="184"/>
      <c r="S98" s="184"/>
    </row>
    <row r="99" spans="1:19" ht="17.25" thickBot="1">
      <c r="A99" s="17" t="s">
        <v>212</v>
      </c>
      <c r="B99" s="15">
        <v>181</v>
      </c>
      <c r="C99" s="32">
        <v>0.11042944790000001</v>
      </c>
      <c r="D99" s="15">
        <v>177</v>
      </c>
      <c r="E99" s="32">
        <f t="shared" ref="E99:E102" si="46">IF(ISNUMBER(D99), (D99 - $B99) / $B99, "")</f>
        <v>-2.2099447513812154E-2</v>
      </c>
      <c r="F99" s="18">
        <f>IF(ISNUMBER(D99), $B118 * E99, "")</f>
        <v>-6629.8342541436459</v>
      </c>
      <c r="G99" s="31">
        <v>178</v>
      </c>
      <c r="H99" s="32">
        <f t="shared" ref="H99:H102" si="47">IF(ISNUMBER(G99), (G99 - $B99) / $B99, "")</f>
        <v>-1.6574585635359115E-2</v>
      </c>
      <c r="I99" s="101">
        <f>IF(ISNUMBER(G99), $B118 * H99, "")</f>
        <v>-4972.3756906077342</v>
      </c>
      <c r="J99" s="15">
        <v>180</v>
      </c>
      <c r="K99" s="32">
        <f t="shared" ref="K99:K102" si="48">IF(ISNUMBER(J99), (J99 - $B99) / $B99, "")</f>
        <v>-5.5248618784530384E-3</v>
      </c>
      <c r="L99" s="18">
        <f>IF(ISNUMBER(J99), $B118 * K99, "")</f>
        <v>-1657.4585635359115</v>
      </c>
      <c r="M99" s="31">
        <v>179</v>
      </c>
      <c r="N99" s="32">
        <f t="shared" ref="N99:N102" si="49">IF(ISNUMBER(M99), (M99 - $B99) / $B99, "")</f>
        <v>-1.1049723756906077E-2</v>
      </c>
      <c r="O99" s="18">
        <f>IF(ISNUMBER(M99), $B118 * N99, "")</f>
        <v>-3314.917127071823</v>
      </c>
      <c r="Q99" s="184"/>
      <c r="R99" s="184"/>
      <c r="S99" s="184"/>
    </row>
    <row r="100" spans="1:19" ht="17.25" thickBot="1">
      <c r="A100" s="17" t="s">
        <v>164</v>
      </c>
      <c r="B100" s="15">
        <v>29000</v>
      </c>
      <c r="C100" s="32">
        <v>8.0476900099999998E-2</v>
      </c>
      <c r="D100" s="15">
        <v>28930</v>
      </c>
      <c r="E100" s="32">
        <f t="shared" si="46"/>
        <v>-2.413793103448276E-3</v>
      </c>
      <c r="F100" s="18">
        <f>IF(ISNUMBER(D100), $B118 * E100, "")</f>
        <v>-724.13793103448279</v>
      </c>
      <c r="G100" s="31">
        <v>41500</v>
      </c>
      <c r="H100" s="32">
        <f t="shared" si="47"/>
        <v>0.43103448275862066</v>
      </c>
      <c r="I100" s="101">
        <f>IF(ISNUMBER(G100), $B118 * H100, "")</f>
        <v>129310.3448275862</v>
      </c>
      <c r="J100" s="15">
        <v>41630</v>
      </c>
      <c r="K100" s="32">
        <f t="shared" si="48"/>
        <v>0.43551724137931036</v>
      </c>
      <c r="L100" s="18">
        <f>IF(ISNUMBER(J100), $B118 * K100, "")</f>
        <v>130655.1724137931</v>
      </c>
      <c r="M100" s="31">
        <v>40760</v>
      </c>
      <c r="N100" s="32">
        <f t="shared" si="49"/>
        <v>0.40551724137931033</v>
      </c>
      <c r="O100" s="18">
        <f>IF(ISNUMBER(M100), $B118 * N100, "")</f>
        <v>121655.1724137931</v>
      </c>
      <c r="Q100" s="174"/>
      <c r="R100" s="174"/>
      <c r="S100" s="174"/>
    </row>
    <row r="101" spans="1:19" ht="17.25" thickBot="1">
      <c r="A101" s="17" t="s">
        <v>146</v>
      </c>
      <c r="B101" s="15">
        <v>19750</v>
      </c>
      <c r="C101" s="32">
        <v>6.8144943200000002E-2</v>
      </c>
      <c r="D101" s="15">
        <v>20490</v>
      </c>
      <c r="E101" s="32">
        <f t="shared" si="46"/>
        <v>3.7468354430379748E-2</v>
      </c>
      <c r="F101" s="18">
        <f>IF(ISNUMBER(D101), $B118 * E101, "")</f>
        <v>11240.506329113925</v>
      </c>
      <c r="G101" s="31">
        <v>20330</v>
      </c>
      <c r="H101" s="32">
        <f t="shared" si="47"/>
        <v>2.9367088607594936E-2</v>
      </c>
      <c r="I101" s="101">
        <f>IF(ISNUMBER(G101), $B118 * H101, "")</f>
        <v>8810.1265822784808</v>
      </c>
      <c r="J101" s="15">
        <v>20430</v>
      </c>
      <c r="K101" s="32">
        <f t="shared" si="48"/>
        <v>3.4430379746835445E-2</v>
      </c>
      <c r="L101" s="18">
        <f>IF(ISNUMBER(J101), $B118 * K101, "")</f>
        <v>10329.113924050633</v>
      </c>
      <c r="M101" s="31">
        <v>19910</v>
      </c>
      <c r="N101" s="32">
        <f t="shared" si="49"/>
        <v>8.1012658227848106E-3</v>
      </c>
      <c r="O101" s="18">
        <f>IF(ISNUMBER(M101), $B118 * N101, "")</f>
        <v>2430.3797468354433</v>
      </c>
      <c r="Q101" s="174"/>
      <c r="R101" s="174"/>
      <c r="S101" s="174"/>
    </row>
    <row r="102" spans="1:19" ht="17.25" thickBot="1">
      <c r="A102" s="19" t="s">
        <v>280</v>
      </c>
      <c r="B102" s="20">
        <v>1730</v>
      </c>
      <c r="C102" s="21">
        <v>6.1349693300000001E-2</v>
      </c>
      <c r="D102" s="20">
        <v>1800</v>
      </c>
      <c r="E102" s="21">
        <f t="shared" si="46"/>
        <v>4.046242774566474E-2</v>
      </c>
      <c r="F102" s="22">
        <f>IF(ISNUMBER(D102), $B118 * E102, "")</f>
        <v>12138.728323699423</v>
      </c>
      <c r="G102" s="30">
        <v>1865</v>
      </c>
      <c r="H102" s="21">
        <f t="shared" si="47"/>
        <v>7.8034682080924858E-2</v>
      </c>
      <c r="I102" s="105">
        <f>IF(ISNUMBER(G102), $B118 * H102, "")</f>
        <v>23410.404624277457</v>
      </c>
      <c r="J102" s="20">
        <v>1885</v>
      </c>
      <c r="K102" s="21">
        <f t="shared" si="48"/>
        <v>8.9595375722543349E-2</v>
      </c>
      <c r="L102" s="22">
        <f>IF(ISNUMBER(J102), $B118 * K102, "")</f>
        <v>26878.612716763004</v>
      </c>
      <c r="M102" s="30">
        <v>1825</v>
      </c>
      <c r="N102" s="21">
        <f t="shared" si="49"/>
        <v>5.4913294797687862E-2</v>
      </c>
      <c r="O102" s="22">
        <f>IF(ISNUMBER(M102), $B118 * N102, "")</f>
        <v>16473.988439306358</v>
      </c>
      <c r="Q102" s="174"/>
      <c r="R102" s="174"/>
      <c r="S102" s="174"/>
    </row>
    <row r="103" spans="1:19" ht="17.25" thickBot="1">
      <c r="A103" s="17" t="s">
        <v>262</v>
      </c>
      <c r="B103" s="106">
        <v>1135</v>
      </c>
      <c r="C103" s="107">
        <v>6.0747663600000001E-2</v>
      </c>
      <c r="D103" s="106">
        <v>1125</v>
      </c>
      <c r="E103" s="107">
        <f>IF(ISNUMBER(D103), (D103 - $B103) / $B103, "")</f>
        <v>-8.8105726872246704E-3</v>
      </c>
      <c r="F103" s="108">
        <f>IF(ISNUMBER(D103), $B118 * E103, "")</f>
        <v>-2643.171806167401</v>
      </c>
      <c r="G103" s="109">
        <v>1165</v>
      </c>
      <c r="H103" s="107">
        <f>IF(ISNUMBER(G103), (G103 - $B103) / $B103, "")</f>
        <v>2.643171806167401E-2</v>
      </c>
      <c r="I103" s="110">
        <f>IF(ISNUMBER(G103), $B118 * H103, "")</f>
        <v>7929.5154185022029</v>
      </c>
      <c r="J103" s="106">
        <v>1155</v>
      </c>
      <c r="K103" s="107">
        <f>IF(ISNUMBER(J103), (J103 - $B103) / $B103, "")</f>
        <v>1.7621145374449341E-2</v>
      </c>
      <c r="L103" s="108">
        <f>IF(ISNUMBER(J103), $B118 * K103, "")</f>
        <v>5286.3436123348019</v>
      </c>
      <c r="M103" s="109">
        <v>1140</v>
      </c>
      <c r="N103" s="107">
        <f>IF(ISNUMBER(M103), (M103 - $B103) / $B103, "")</f>
        <v>4.4052863436123352E-3</v>
      </c>
      <c r="O103" s="108">
        <f>IF(ISNUMBER(M103), $B118 * N103, "")</f>
        <v>1321.5859030837005</v>
      </c>
      <c r="Q103" s="174"/>
      <c r="R103" s="174"/>
      <c r="S103" s="174"/>
    </row>
    <row r="104" spans="1:19" ht="17.25" thickBot="1">
      <c r="A104" s="17" t="s">
        <v>152</v>
      </c>
      <c r="B104" s="15">
        <v>50</v>
      </c>
      <c r="C104" s="32">
        <v>4.8218029400000001E-2</v>
      </c>
      <c r="D104" s="15">
        <v>50.3</v>
      </c>
      <c r="E104" s="32">
        <f t="shared" ref="E104:E107" si="50">IF(ISNUMBER(D104), (D104 - $B104) / $B104, "")</f>
        <v>5.9999999999999429E-3</v>
      </c>
      <c r="F104" s="18">
        <f>IF(ISNUMBER(D104), $B118 * E104, "")</f>
        <v>1799.9999999999829</v>
      </c>
      <c r="G104" s="31">
        <v>50.3</v>
      </c>
      <c r="H104" s="32">
        <f t="shared" ref="H104:H107" si="51">IF(ISNUMBER(G104), (G104 - $B104) / $B104, "")</f>
        <v>5.9999999999999429E-3</v>
      </c>
      <c r="I104" s="101">
        <f>IF(ISNUMBER(G104), $B118 * H104, "")</f>
        <v>1799.9999999999829</v>
      </c>
      <c r="J104" s="15">
        <v>50.4</v>
      </c>
      <c r="K104" s="32">
        <f t="shared" ref="K104:K107" si="52">IF(ISNUMBER(J104), (J104 - $B104) / $B104, "")</f>
        <v>7.9999999999999724E-3</v>
      </c>
      <c r="L104" s="18">
        <f>IF(ISNUMBER(J104), $B118 * K104, "")</f>
        <v>2399.9999999999918</v>
      </c>
      <c r="M104" s="31">
        <v>49.8</v>
      </c>
      <c r="N104" s="32">
        <f t="shared" ref="N104:N107" si="53">IF(ISNUMBER(M104), (M104 - $B104) / $B104, "")</f>
        <v>-4.0000000000000565E-3</v>
      </c>
      <c r="O104" s="18">
        <f>IF(ISNUMBER(M104), $B118 * N104, "")</f>
        <v>-1200.0000000000168</v>
      </c>
      <c r="Q104" s="174"/>
      <c r="R104" s="174"/>
      <c r="S104" s="174"/>
    </row>
    <row r="105" spans="1:19" ht="17.25" thickBot="1">
      <c r="A105" s="17" t="s">
        <v>234</v>
      </c>
      <c r="B105" s="15">
        <v>1500</v>
      </c>
      <c r="C105" s="32">
        <v>4.5296167200000001E-2</v>
      </c>
      <c r="D105" s="15">
        <v>1465</v>
      </c>
      <c r="E105" s="32">
        <f t="shared" si="50"/>
        <v>-2.3333333333333334E-2</v>
      </c>
      <c r="F105" s="18">
        <f>IF(ISNUMBER(D105), $B118 * E105, "")</f>
        <v>-7000</v>
      </c>
      <c r="G105" s="31">
        <v>1485</v>
      </c>
      <c r="H105" s="32">
        <f t="shared" si="51"/>
        <v>-0.01</v>
      </c>
      <c r="I105" s="101">
        <f>IF(ISNUMBER(G105), $B118 * H105, "")</f>
        <v>-3000</v>
      </c>
      <c r="J105" s="15">
        <v>1500</v>
      </c>
      <c r="K105" s="32">
        <f t="shared" si="52"/>
        <v>0</v>
      </c>
      <c r="L105" s="18">
        <f>IF(ISNUMBER(J105), $B118 * K105, "")</f>
        <v>0</v>
      </c>
      <c r="M105" s="31">
        <v>1510</v>
      </c>
      <c r="N105" s="32">
        <f t="shared" si="53"/>
        <v>6.6666666666666671E-3</v>
      </c>
      <c r="O105" s="18">
        <f>IF(ISNUMBER(M105), $B118 * N105, "")</f>
        <v>2000.0000000000002</v>
      </c>
      <c r="Q105" s="174"/>
      <c r="R105" s="174"/>
      <c r="S105" s="174"/>
    </row>
    <row r="106" spans="1:19" ht="17.25" thickBot="1">
      <c r="A106" s="17" t="s">
        <v>132</v>
      </c>
      <c r="B106" s="15">
        <v>254</v>
      </c>
      <c r="C106" s="32">
        <v>4.5267489700000003E-2</v>
      </c>
      <c r="D106" s="15">
        <v>262</v>
      </c>
      <c r="E106" s="32">
        <f t="shared" si="50"/>
        <v>3.1496062992125984E-2</v>
      </c>
      <c r="F106" s="18">
        <f>IF(ISNUMBER(D106), $B118 * E106, "")</f>
        <v>9448.8188976377951</v>
      </c>
      <c r="G106" s="31">
        <v>263</v>
      </c>
      <c r="H106" s="32">
        <f t="shared" si="51"/>
        <v>3.5433070866141732E-2</v>
      </c>
      <c r="I106" s="101">
        <f>IF(ISNUMBER(G106), $B118 * H106, "")</f>
        <v>10629.92125984252</v>
      </c>
      <c r="J106" s="15">
        <v>265</v>
      </c>
      <c r="K106" s="32">
        <f t="shared" si="52"/>
        <v>4.3307086614173228E-2</v>
      </c>
      <c r="L106" s="18">
        <f>IF(ISNUMBER(J106), $B118 * K106, "")</f>
        <v>12992.125984251968</v>
      </c>
      <c r="M106" s="31">
        <v>258</v>
      </c>
      <c r="N106" s="32">
        <f t="shared" si="53"/>
        <v>1.5748031496062992E-2</v>
      </c>
      <c r="O106" s="18">
        <f>IF(ISNUMBER(M106), $B118 * N106, "")</f>
        <v>4724.4094488188975</v>
      </c>
      <c r="Q106" s="33"/>
      <c r="R106" s="33"/>
    </row>
    <row r="107" spans="1:19" ht="17.25" thickBot="1">
      <c r="A107" s="23" t="s">
        <v>230</v>
      </c>
      <c r="B107" s="24">
        <v>198</v>
      </c>
      <c r="C107" s="25">
        <v>4.21052632E-2</v>
      </c>
      <c r="D107" s="24">
        <v>202</v>
      </c>
      <c r="E107" s="25">
        <f t="shared" si="50"/>
        <v>2.0202020202020204E-2</v>
      </c>
      <c r="F107" s="104">
        <f>IF(ISNUMBER(D107), $B118 * E107, "")</f>
        <v>6060.606060606061</v>
      </c>
      <c r="G107" s="102">
        <v>202</v>
      </c>
      <c r="H107" s="25">
        <f t="shared" si="51"/>
        <v>2.0202020202020204E-2</v>
      </c>
      <c r="I107" s="103">
        <f>IF(ISNUMBER(G107), $B118 * H107, "")</f>
        <v>6060.606060606061</v>
      </c>
      <c r="J107" s="24">
        <v>203</v>
      </c>
      <c r="K107" s="25">
        <f t="shared" si="52"/>
        <v>2.5252525252525252E-2</v>
      </c>
      <c r="L107" s="104">
        <f>IF(ISNUMBER(J107), $B118 * K107, "")</f>
        <v>7575.757575757576</v>
      </c>
      <c r="M107" s="102">
        <v>200</v>
      </c>
      <c r="N107" s="25">
        <f t="shared" si="53"/>
        <v>1.0101010101010102E-2</v>
      </c>
      <c r="O107" s="104">
        <f>IF(ISNUMBER(M107), $B118 * N107, "")</f>
        <v>3030.3030303030305</v>
      </c>
      <c r="Q107" s="175"/>
      <c r="R107" s="176"/>
      <c r="S107" s="177"/>
    </row>
    <row r="108" spans="1:19">
      <c r="A108" s="12" t="s">
        <v>122</v>
      </c>
      <c r="B108" s="13">
        <v>130</v>
      </c>
      <c r="C108" s="14">
        <v>3.1746031700000003E-2</v>
      </c>
      <c r="D108" s="13">
        <v>136</v>
      </c>
      <c r="E108" s="14">
        <f>IF(ISNUMBER(D108), (D108 - $B108) / $B108, "")</f>
        <v>4.6153846153846156E-2</v>
      </c>
      <c r="F108" s="16">
        <f>IF(ISNUMBER(D108), $B118 * E108, "")</f>
        <v>13846.153846153848</v>
      </c>
      <c r="G108" s="29">
        <v>135</v>
      </c>
      <c r="H108" s="14">
        <f>IF(ISNUMBER(G108), (G108 - $B108) / $B108, "")</f>
        <v>3.8461538461538464E-2</v>
      </c>
      <c r="I108" s="100">
        <f>IF(ISNUMBER(G108), $B118 * H108, "")</f>
        <v>11538.461538461539</v>
      </c>
      <c r="J108" s="13">
        <v>136</v>
      </c>
      <c r="K108" s="14">
        <f>IF(ISNUMBER(J108), (J108 - $B108) / $B108, "")</f>
        <v>4.6153846153846156E-2</v>
      </c>
      <c r="L108" s="16">
        <f>IF(ISNUMBER(J108), $B118 * K108, "")</f>
        <v>13846.153846153848</v>
      </c>
      <c r="M108" s="29">
        <v>134</v>
      </c>
      <c r="N108" s="14">
        <f>IF(ISNUMBER(M108), (M108 - $B108) / $B108, "")</f>
        <v>3.0769230769230771E-2</v>
      </c>
      <c r="O108" s="16">
        <f>IF(ISNUMBER(M108), $B118 * N108, "")</f>
        <v>9230.7692307692305</v>
      </c>
      <c r="Q108" s="178"/>
      <c r="R108" s="179"/>
      <c r="S108" s="180"/>
    </row>
    <row r="109" spans="1:19" ht="17.25" thickBot="1">
      <c r="A109" s="17" t="s">
        <v>186</v>
      </c>
      <c r="B109" s="15">
        <v>27.8</v>
      </c>
      <c r="C109" s="32">
        <v>2.9629629599999999E-2</v>
      </c>
      <c r="D109" s="15">
        <v>30.5</v>
      </c>
      <c r="E109" s="32">
        <f t="shared" ref="E109:E112" si="54">IF(ISNUMBER(D109), (D109 - $B109) / $B109, "")</f>
        <v>9.7122302158273346E-2</v>
      </c>
      <c r="F109" s="18">
        <f>IF(ISNUMBER(D109), $B118 * E109, "")</f>
        <v>29136.690647482003</v>
      </c>
      <c r="G109" s="31">
        <v>30.1</v>
      </c>
      <c r="H109" s="32">
        <f t="shared" ref="H109:H112" si="55">IF(ISNUMBER(G109), (G109 - $B109) / $B109, "")</f>
        <v>8.2733812949640315E-2</v>
      </c>
      <c r="I109" s="101">
        <f>IF(ISNUMBER(G109), $B118 * H109, "")</f>
        <v>24820.143884892095</v>
      </c>
      <c r="J109" s="15">
        <v>30.6</v>
      </c>
      <c r="K109" s="32">
        <f t="shared" ref="K109:K112" si="56">IF(ISNUMBER(J109), (J109 - $B109) / $B109, "")</f>
        <v>0.10071942446043168</v>
      </c>
      <c r="L109" s="18">
        <f>IF(ISNUMBER(J109), $B118 * K109, "")</f>
        <v>30215.827338129504</v>
      </c>
      <c r="M109" s="31">
        <v>29.3</v>
      </c>
      <c r="N109" s="32">
        <f t="shared" ref="N109:N112" si="57">IF(ISNUMBER(M109), (M109 - $B109) / $B109, "")</f>
        <v>5.3956834532374098E-2</v>
      </c>
      <c r="O109" s="18">
        <f>IF(ISNUMBER(M109), $B118 * N109, "")</f>
        <v>16187.05035971223</v>
      </c>
      <c r="Q109" s="181"/>
      <c r="R109" s="182"/>
      <c r="S109" s="183"/>
    </row>
    <row r="110" spans="1:19" ht="17.25" thickBot="1">
      <c r="A110" s="17" t="s">
        <v>188</v>
      </c>
      <c r="B110" s="15">
        <v>18550</v>
      </c>
      <c r="C110" s="32">
        <v>2.9411764699999999E-2</v>
      </c>
      <c r="D110" s="15">
        <v>18670</v>
      </c>
      <c r="E110" s="32">
        <f t="shared" si="54"/>
        <v>6.4690026954177899E-3</v>
      </c>
      <c r="F110" s="18">
        <f>IF(ISNUMBER(D110), $B118 * E110, "")</f>
        <v>1940.700808625337</v>
      </c>
      <c r="G110" s="31">
        <v>19190</v>
      </c>
      <c r="H110" s="32">
        <f t="shared" si="55"/>
        <v>3.4501347708894882E-2</v>
      </c>
      <c r="I110" s="101">
        <f>IF(ISNUMBER(G110), $B118 * H110, "")</f>
        <v>10350.404312668465</v>
      </c>
      <c r="J110" s="15">
        <v>19380</v>
      </c>
      <c r="K110" s="32">
        <f t="shared" si="56"/>
        <v>4.4743935309973046E-2</v>
      </c>
      <c r="L110" s="18">
        <f>IF(ISNUMBER(J110), $B118 * K110, "")</f>
        <v>13423.180592991914</v>
      </c>
      <c r="M110" s="31">
        <v>18960</v>
      </c>
      <c r="N110" s="32">
        <f t="shared" si="57"/>
        <v>2.2102425876010783E-2</v>
      </c>
      <c r="O110" s="18">
        <f>IF(ISNUMBER(M110), $B118 * N110, "")</f>
        <v>6630.7277628032352</v>
      </c>
      <c r="Q110" s="174"/>
      <c r="R110" s="174"/>
      <c r="S110" s="174"/>
    </row>
    <row r="111" spans="1:19" ht="17.25" thickBot="1">
      <c r="A111" s="17" t="s">
        <v>63</v>
      </c>
      <c r="B111" s="15">
        <v>125150</v>
      </c>
      <c r="C111" s="32">
        <v>2.8771064499999999E-2</v>
      </c>
      <c r="D111" s="15">
        <v>133600</v>
      </c>
      <c r="E111" s="32">
        <f t="shared" si="54"/>
        <v>6.7518977227327207E-2</v>
      </c>
      <c r="F111" s="18">
        <f>IF(ISNUMBER(D111), $B118 * E111, "")</f>
        <v>20255.693168198162</v>
      </c>
      <c r="G111" s="31">
        <v>133050</v>
      </c>
      <c r="H111" s="32">
        <f t="shared" si="55"/>
        <v>6.3124250898921291E-2</v>
      </c>
      <c r="I111" s="101">
        <f>IF(ISNUMBER(G111), $B118 * H111, "")</f>
        <v>18937.275269676389</v>
      </c>
      <c r="J111" s="15">
        <v>134100</v>
      </c>
      <c r="K111" s="32">
        <f t="shared" si="56"/>
        <v>7.1514182980423488E-2</v>
      </c>
      <c r="L111" s="18">
        <f>IF(ISNUMBER(J111), $B118 * K111, "")</f>
        <v>21454.254894127047</v>
      </c>
      <c r="M111" s="31">
        <v>131200</v>
      </c>
      <c r="N111" s="32">
        <f t="shared" si="57"/>
        <v>4.8341989612465039E-2</v>
      </c>
      <c r="O111" s="18">
        <f>IF(ISNUMBER(M111), $B118 * N111, "")</f>
        <v>14502.596883739512</v>
      </c>
      <c r="Q111" s="184"/>
      <c r="R111" s="184"/>
      <c r="S111" s="184"/>
    </row>
    <row r="112" spans="1:19" ht="17.25" thickBot="1">
      <c r="A112" s="19" t="s">
        <v>228</v>
      </c>
      <c r="B112" s="20">
        <v>20.6</v>
      </c>
      <c r="C112" s="21">
        <v>2.4875621899999999E-2</v>
      </c>
      <c r="D112" s="20">
        <v>21.1</v>
      </c>
      <c r="E112" s="21">
        <f t="shared" si="54"/>
        <v>2.4271844660194174E-2</v>
      </c>
      <c r="F112" s="22">
        <f>IF(ISNUMBER(D112), $B118 * E112, "")</f>
        <v>7281.5533980582522</v>
      </c>
      <c r="G112" s="30">
        <v>21.3</v>
      </c>
      <c r="H112" s="21">
        <f t="shared" si="55"/>
        <v>3.3980582524271809E-2</v>
      </c>
      <c r="I112" s="105">
        <f>IF(ISNUMBER(G112), $B118 * H112, "")</f>
        <v>10194.174757281542</v>
      </c>
      <c r="J112" s="20">
        <v>21.3</v>
      </c>
      <c r="K112" s="21">
        <f t="shared" si="56"/>
        <v>3.3980582524271809E-2</v>
      </c>
      <c r="L112" s="22">
        <f>IF(ISNUMBER(J112), $B118 * K112, "")</f>
        <v>10194.174757281542</v>
      </c>
      <c r="M112" s="30">
        <v>21.1</v>
      </c>
      <c r="N112" s="21">
        <f t="shared" si="57"/>
        <v>2.4271844660194174E-2</v>
      </c>
      <c r="O112" s="22">
        <f>IF(ISNUMBER(M112), $B118 * N112, "")</f>
        <v>7281.5533980582522</v>
      </c>
      <c r="Q112" s="184"/>
      <c r="R112" s="184"/>
      <c r="S112" s="184"/>
    </row>
    <row r="113" spans="1:19" ht="17.25" thickBot="1">
      <c r="A113" s="17" t="s">
        <v>254</v>
      </c>
      <c r="B113" s="106">
        <v>96.1</v>
      </c>
      <c r="C113" s="107">
        <v>2.3429180000000001E-2</v>
      </c>
      <c r="D113" s="106">
        <v>95.9</v>
      </c>
      <c r="E113" s="107">
        <f>IF(ISNUMBER(D113), (D113 - $B113) / $B113, "")</f>
        <v>-2.0811654526533678E-3</v>
      </c>
      <c r="F113" s="108">
        <f>IF(ISNUMBER(D113), $B118 * E113, "")</f>
        <v>-624.34963579601038</v>
      </c>
      <c r="G113" s="109">
        <v>99.4</v>
      </c>
      <c r="H113" s="107">
        <f>IF(ISNUMBER(G113), (G113 - $B113) / $B113, "")</f>
        <v>3.4339229968782636E-2</v>
      </c>
      <c r="I113" s="110">
        <f>IF(ISNUMBER(G113), $B118 * H113, "")</f>
        <v>10301.768990634791</v>
      </c>
      <c r="J113" s="106">
        <v>98.7</v>
      </c>
      <c r="K113" s="107">
        <f>IF(ISNUMBER(J113), (J113 - $B113) / $B113, "")</f>
        <v>2.7055150884495408E-2</v>
      </c>
      <c r="L113" s="108">
        <f>IF(ISNUMBER(J113), $B118 * K113, "")</f>
        <v>8116.5452653486218</v>
      </c>
      <c r="M113" s="109">
        <v>99</v>
      </c>
      <c r="N113" s="107">
        <f>IF(ISNUMBER(M113), (M113 - $B113) / $B113, "")</f>
        <v>3.0176899063475607E-2</v>
      </c>
      <c r="O113" s="108">
        <f>IF(ISNUMBER(M113), $B118 * N113, "")</f>
        <v>9053.0697190426818</v>
      </c>
      <c r="Q113" s="174"/>
      <c r="R113" s="174"/>
      <c r="S113" s="174"/>
    </row>
    <row r="114" spans="1:19" ht="17.25" thickBot="1">
      <c r="A114" s="17" t="s">
        <v>268</v>
      </c>
      <c r="B114" s="15">
        <v>101</v>
      </c>
      <c r="C114" s="32">
        <v>2.2267206500000001E-2</v>
      </c>
      <c r="D114" s="15">
        <v>108</v>
      </c>
      <c r="E114" s="32">
        <f t="shared" ref="E114:E117" si="58">IF(ISNUMBER(D114), (D114 - $B114) / $B114, "")</f>
        <v>6.9306930693069313E-2</v>
      </c>
      <c r="F114" s="18">
        <f>IF(ISNUMBER(D114), $B118 * E114, "")</f>
        <v>20792.079207920793</v>
      </c>
      <c r="G114" s="31">
        <v>112</v>
      </c>
      <c r="H114" s="32">
        <f t="shared" ref="H114:H117" si="59">IF(ISNUMBER(G114), (G114 - $B114) / $B114, "")</f>
        <v>0.10891089108910891</v>
      </c>
      <c r="I114" s="101">
        <f>IF(ISNUMBER(G114), $B118 * H114, "")</f>
        <v>32673.267326732672</v>
      </c>
      <c r="J114" s="15">
        <v>112</v>
      </c>
      <c r="K114" s="32">
        <f t="shared" ref="K114:K117" si="60">IF(ISNUMBER(J114), (J114 - $B114) / $B114, "")</f>
        <v>0.10891089108910891</v>
      </c>
      <c r="L114" s="18">
        <f>IF(ISNUMBER(J114), $B118 * K114, "")</f>
        <v>32673.267326732672</v>
      </c>
      <c r="M114" s="31">
        <v>113</v>
      </c>
      <c r="N114" s="32">
        <f t="shared" ref="N114:N117" si="61">IF(ISNUMBER(M114), (M114 - $B114) / $B114, "")</f>
        <v>0.11881188118811881</v>
      </c>
      <c r="O114" s="18">
        <f>IF(ISNUMBER(M114), $B118 * N114, "")</f>
        <v>35643.564356435643</v>
      </c>
      <c r="Q114" s="174"/>
      <c r="R114" s="174"/>
      <c r="S114" s="174"/>
    </row>
    <row r="115" spans="1:19" ht="17.25" thickBot="1">
      <c r="A115" s="17" t="s">
        <v>112</v>
      </c>
      <c r="B115" s="15">
        <v>283</v>
      </c>
      <c r="C115" s="32">
        <v>1.43369176E-2</v>
      </c>
      <c r="D115" s="15">
        <v>289</v>
      </c>
      <c r="E115" s="32">
        <f t="shared" si="58"/>
        <v>2.1201413427561839E-2</v>
      </c>
      <c r="F115" s="18">
        <f>IF(ISNUMBER(D115), $B118 * E115, "")</f>
        <v>6360.4240282685514</v>
      </c>
      <c r="G115" s="31">
        <v>294</v>
      </c>
      <c r="H115" s="32">
        <f t="shared" si="59"/>
        <v>3.8869257950530034E-2</v>
      </c>
      <c r="I115" s="101">
        <f>IF(ISNUMBER(G115), $B118 * H115, "")</f>
        <v>11660.77738515901</v>
      </c>
      <c r="J115" s="15">
        <v>294</v>
      </c>
      <c r="K115" s="32">
        <f t="shared" si="60"/>
        <v>3.8869257950530034E-2</v>
      </c>
      <c r="L115" s="18">
        <f>IF(ISNUMBER(J115), $B118 * K115, "")</f>
        <v>11660.77738515901</v>
      </c>
      <c r="M115" s="31">
        <v>289</v>
      </c>
      <c r="N115" s="32">
        <f t="shared" si="61"/>
        <v>2.1201413427561839E-2</v>
      </c>
      <c r="O115" s="18">
        <f>IF(ISNUMBER(M115), $B118 * N115, "")</f>
        <v>6360.4240282685514</v>
      </c>
      <c r="Q115" s="174"/>
      <c r="R115" s="174"/>
      <c r="S115" s="174"/>
    </row>
    <row r="116" spans="1:19">
      <c r="A116" s="17" t="s">
        <v>90</v>
      </c>
      <c r="B116" s="15">
        <v>400700</v>
      </c>
      <c r="C116" s="32">
        <v>1.41736269E-2</v>
      </c>
      <c r="D116" s="15">
        <v>407200</v>
      </c>
      <c r="E116" s="32">
        <f t="shared" si="58"/>
        <v>1.6221612178687297E-2</v>
      </c>
      <c r="F116" s="18">
        <f>IF(ISNUMBER(D116), $B118 * E116, "")</f>
        <v>4866.4836536061894</v>
      </c>
      <c r="G116" s="31">
        <v>422000</v>
      </c>
      <c r="H116" s="32">
        <f t="shared" si="59"/>
        <v>5.3156975293236833E-2</v>
      </c>
      <c r="I116" s="101">
        <f>IF(ISNUMBER(G116), $B118 * H116, "")</f>
        <v>15947.09258797105</v>
      </c>
      <c r="J116" s="15">
        <v>424700</v>
      </c>
      <c r="K116" s="32">
        <f t="shared" si="60"/>
        <v>5.989518342899925E-2</v>
      </c>
      <c r="L116" s="18">
        <f>IF(ISNUMBER(J116), $B118 * K116, "")</f>
        <v>17968.555028699775</v>
      </c>
      <c r="M116" s="31">
        <v>420700</v>
      </c>
      <c r="N116" s="32">
        <f t="shared" si="61"/>
        <v>4.9912652857499379E-2</v>
      </c>
      <c r="O116" s="18">
        <f>IF(ISNUMBER(M116), $B118 * N116, "")</f>
        <v>14973.795857249814</v>
      </c>
      <c r="Q116" s="163"/>
      <c r="R116" s="164"/>
      <c r="S116" s="165"/>
    </row>
    <row r="117" spans="1:19" ht="17.25" thickBot="1">
      <c r="A117" s="23" t="s">
        <v>208</v>
      </c>
      <c r="B117" s="24">
        <v>540</v>
      </c>
      <c r="C117" s="25">
        <v>1.3133208299999999E-2</v>
      </c>
      <c r="D117" s="24">
        <v>546</v>
      </c>
      <c r="E117" s="25">
        <f t="shared" si="58"/>
        <v>1.1111111111111112E-2</v>
      </c>
      <c r="F117" s="104">
        <f>IF(ISNUMBER(D117), $B118 * E117, "")</f>
        <v>3333.3333333333335</v>
      </c>
      <c r="G117" s="102">
        <v>557</v>
      </c>
      <c r="H117" s="25">
        <f t="shared" si="59"/>
        <v>3.1481481481481478E-2</v>
      </c>
      <c r="I117" s="103">
        <f>IF(ISNUMBER(G117), $B118 * H117, "")</f>
        <v>9444.4444444444434</v>
      </c>
      <c r="J117" s="24">
        <v>562</v>
      </c>
      <c r="K117" s="25">
        <f t="shared" si="60"/>
        <v>4.0740740740740744E-2</v>
      </c>
      <c r="L117" s="104">
        <f>IF(ISNUMBER(J117), $B118 * K117, "")</f>
        <v>12222.222222222223</v>
      </c>
      <c r="M117" s="102">
        <v>550</v>
      </c>
      <c r="N117" s="25">
        <f t="shared" si="61"/>
        <v>1.8518518518518517E-2</v>
      </c>
      <c r="O117" s="104">
        <f>IF(ISNUMBER(M117), $B118 * N117, "")</f>
        <v>5555.5555555555557</v>
      </c>
      <c r="Q117" s="166"/>
      <c r="R117" s="167"/>
      <c r="S117" s="168"/>
    </row>
    <row r="118" spans="1:19" ht="17.25" thickBot="1">
      <c r="A118" s="26" t="s">
        <v>301</v>
      </c>
      <c r="B118" s="172">
        <f>$B$37</f>
        <v>300000</v>
      </c>
      <c r="C118" s="173"/>
      <c r="D118" s="26" t="s">
        <v>302</v>
      </c>
      <c r="E118" s="27">
        <f>IF(COUNT(E98:E117), SUM(E98:E117) / COUNT(E98:E117), 0)</f>
        <v>2.2805443171323846E-2</v>
      </c>
      <c r="F118" s="28">
        <f>SUM(F98:F117)</f>
        <v>136832.65902794307</v>
      </c>
      <c r="G118" s="26" t="s">
        <v>302</v>
      </c>
      <c r="H118" s="27">
        <f>IF(COUNT(H98:H117), SUM(H98:H117) / COUNT(H98:H117), 0)</f>
        <v>5.577597956498849E-2</v>
      </c>
      <c r="I118" s="28">
        <f>SUM(I98:I117)</f>
        <v>334655.87738993095</v>
      </c>
      <c r="J118" s="26" t="s">
        <v>302</v>
      </c>
      <c r="K118" s="27">
        <f>IF(COUNT(K98:K117), SUM(K98:K117) / COUNT(K98:K117), 0)</f>
        <v>6.1237517085122928E-2</v>
      </c>
      <c r="L118" s="28">
        <f>SUM(L98:L117)</f>
        <v>367425.10251073749</v>
      </c>
      <c r="M118" s="26" t="s">
        <v>302</v>
      </c>
      <c r="N118" s="27">
        <f>IF(COUNT(N98:N117), SUM(N98:N117) / COUNT(N98:N117), 0)</f>
        <v>4.5026512770958503E-2</v>
      </c>
      <c r="O118" s="28">
        <f>SUM(O98:O117)</f>
        <v>270159.07662575098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1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194" t="s">
        <v>55</v>
      </c>
      <c r="B123" s="196" t="str">
        <f>TEXT($G$1, "[$-ko-KR]yyyy-mm-dd(ddd) ") &amp; "오전 00:00"</f>
        <v>2021-05-03(월) 오전 00:00</v>
      </c>
      <c r="C123" s="197"/>
      <c r="D123" s="198" t="str">
        <f>TEXT($G$1, "[$-ko-KR]yyyy-mm-dd(ddd) ") &amp; "오후 14:00"</f>
        <v>2021-05-03(월) 오후 14:00</v>
      </c>
      <c r="E123" s="199"/>
      <c r="F123" s="200"/>
      <c r="G123" s="198" t="str">
        <f>TEXT($G$1, "[$-ko-KR]yyyy-mm-dd(ddd) ") &amp; "오후 19:00"</f>
        <v>2021-05-03(월) 오후 19:00</v>
      </c>
      <c r="H123" s="199"/>
      <c r="I123" s="200"/>
      <c r="J123" s="198" t="str">
        <f>TEXT($G$1, "[$-ko-KR]yyyy-mm-dd(ddd) ") &amp; "오후 21:00"</f>
        <v>2021-05-03(월) 오후 21:00</v>
      </c>
      <c r="K123" s="199"/>
      <c r="L123" s="200"/>
      <c r="M123" s="198" t="str">
        <f>TEXT($G$1+1, "[$-ko-KR]yyyy-mm-dd(ddd) ") &amp; "오전 00:00"</f>
        <v>2021-05-04(화) 오전 00:00</v>
      </c>
      <c r="N123" s="199"/>
      <c r="O123" s="200"/>
      <c r="Q123" s="184"/>
      <c r="R123" s="184"/>
      <c r="S123" s="184"/>
    </row>
    <row r="124" spans="1:19" ht="17.25" thickBot="1">
      <c r="A124" s="195"/>
      <c r="B124" s="2" t="s">
        <v>58</v>
      </c>
      <c r="C124" s="10" t="s">
        <v>59</v>
      </c>
      <c r="D124" s="2" t="s">
        <v>58</v>
      </c>
      <c r="E124" s="10" t="s">
        <v>299</v>
      </c>
      <c r="F124" s="11" t="s">
        <v>300</v>
      </c>
      <c r="G124" s="112" t="s">
        <v>58</v>
      </c>
      <c r="H124" s="113" t="s">
        <v>299</v>
      </c>
      <c r="I124" s="114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" t="s">
        <v>152</v>
      </c>
      <c r="B125" s="13">
        <v>50</v>
      </c>
      <c r="C125" s="14">
        <v>4.8218029400000001E-2</v>
      </c>
      <c r="D125" s="13">
        <v>50.3</v>
      </c>
      <c r="E125" s="14">
        <f>IF(ISNUMBER(D125), (D125 - $B125) / $B125, "")</f>
        <v>5.9999999999999429E-3</v>
      </c>
      <c r="F125" s="16">
        <f>IF(ISNUMBER(D125), $B145 * E125, "")</f>
        <v>1799.9999999999829</v>
      </c>
      <c r="G125" s="29">
        <v>50.3</v>
      </c>
      <c r="H125" s="14">
        <f>IF(ISNUMBER(G125), (G125 - $B125) / $B125, "")</f>
        <v>5.9999999999999429E-3</v>
      </c>
      <c r="I125" s="100">
        <f>IF(ISNUMBER(G125), $B145 * H125, "")</f>
        <v>1799.9999999999829</v>
      </c>
      <c r="J125" s="13">
        <v>50.4</v>
      </c>
      <c r="K125" s="14">
        <f>IF(ISNUMBER(J125), (J125 - $B125) / $B125, "")</f>
        <v>7.9999999999999724E-3</v>
      </c>
      <c r="L125" s="16">
        <f>IF(ISNUMBER(J125), $B145 * K125, "")</f>
        <v>2399.9999999999918</v>
      </c>
      <c r="M125" s="29">
        <v>49.8</v>
      </c>
      <c r="N125" s="14">
        <f>IF(ISNUMBER(M125), (M125 - $B125) / $B125, "")</f>
        <v>-4.0000000000000565E-3</v>
      </c>
      <c r="O125" s="16">
        <f>IF(ISNUMBER(M125), $B145 * N125, "")</f>
        <v>-1200.0000000000168</v>
      </c>
      <c r="Q125" s="184"/>
      <c r="R125" s="184"/>
      <c r="S125" s="184"/>
    </row>
    <row r="126" spans="1:19" ht="17.25" thickBot="1">
      <c r="A126" s="17" t="s">
        <v>186</v>
      </c>
      <c r="B126" s="15">
        <v>27.8</v>
      </c>
      <c r="C126" s="32">
        <v>2.9629629599999999E-2</v>
      </c>
      <c r="D126" s="15">
        <v>30.5</v>
      </c>
      <c r="E126" s="32">
        <f t="shared" ref="E126:E129" si="62">IF(ISNUMBER(D126), (D126 - $B126) / $B126, "")</f>
        <v>9.7122302158273346E-2</v>
      </c>
      <c r="F126" s="18">
        <f>IF(ISNUMBER(D126), $B145 * E126, "")</f>
        <v>29136.690647482003</v>
      </c>
      <c r="G126" s="31">
        <v>30.1</v>
      </c>
      <c r="H126" s="32">
        <f t="shared" ref="H126:H129" si="63">IF(ISNUMBER(G126), (G126 - $B126) / $B126, "")</f>
        <v>8.2733812949640315E-2</v>
      </c>
      <c r="I126" s="101">
        <f>IF(ISNUMBER(G126), $B145 * H126, "")</f>
        <v>24820.143884892095</v>
      </c>
      <c r="J126" s="15">
        <v>30.6</v>
      </c>
      <c r="K126" s="32">
        <f t="shared" ref="K126:K129" si="64">IF(ISNUMBER(J126), (J126 - $B126) / $B126, "")</f>
        <v>0.10071942446043168</v>
      </c>
      <c r="L126" s="18">
        <f>IF(ISNUMBER(J126), $B145 * K126, "")</f>
        <v>30215.827338129504</v>
      </c>
      <c r="M126" s="31">
        <v>29.3</v>
      </c>
      <c r="N126" s="32">
        <f t="shared" ref="N126:N129" si="65">IF(ISNUMBER(M126), (M126 - $B126) / $B126, "")</f>
        <v>5.3956834532374098E-2</v>
      </c>
      <c r="O126" s="18">
        <f>IF(ISNUMBER(M126), $B145 * N126, "")</f>
        <v>16187.05035971223</v>
      </c>
      <c r="Q126" s="184"/>
      <c r="R126" s="184"/>
      <c r="S126" s="184"/>
    </row>
    <row r="127" spans="1:19" ht="17.25" thickBot="1">
      <c r="A127" s="17" t="s">
        <v>228</v>
      </c>
      <c r="B127" s="15">
        <v>20.6</v>
      </c>
      <c r="C127" s="32">
        <v>2.4875621899999999E-2</v>
      </c>
      <c r="D127" s="15">
        <v>21.1</v>
      </c>
      <c r="E127" s="32">
        <f t="shared" si="62"/>
        <v>2.4271844660194174E-2</v>
      </c>
      <c r="F127" s="18">
        <f>IF(ISNUMBER(D127), $B145 * E127, "")</f>
        <v>7281.5533980582522</v>
      </c>
      <c r="G127" s="31">
        <v>21.3</v>
      </c>
      <c r="H127" s="32">
        <f t="shared" si="63"/>
        <v>3.3980582524271809E-2</v>
      </c>
      <c r="I127" s="101">
        <f>IF(ISNUMBER(G127), $B145 * H127, "")</f>
        <v>10194.174757281542</v>
      </c>
      <c r="J127" s="15">
        <v>21.3</v>
      </c>
      <c r="K127" s="32">
        <f t="shared" si="64"/>
        <v>3.3980582524271809E-2</v>
      </c>
      <c r="L127" s="18">
        <f>IF(ISNUMBER(J127), $B145 * K127, "")</f>
        <v>10194.174757281542</v>
      </c>
      <c r="M127" s="31">
        <v>21.1</v>
      </c>
      <c r="N127" s="32">
        <f t="shared" si="65"/>
        <v>2.4271844660194174E-2</v>
      </c>
      <c r="O127" s="18">
        <f>IF(ISNUMBER(M127), $B145 * N127, "")</f>
        <v>7281.5533980582522</v>
      </c>
      <c r="Q127" s="174"/>
      <c r="R127" s="174"/>
      <c r="S127" s="174"/>
    </row>
    <row r="128" spans="1:19" ht="17.25" thickBot="1">
      <c r="A128" s="17" t="s">
        <v>254</v>
      </c>
      <c r="B128" s="15">
        <v>96.1</v>
      </c>
      <c r="C128" s="32">
        <v>2.3429180000000001E-2</v>
      </c>
      <c r="D128" s="15">
        <v>95.9</v>
      </c>
      <c r="E128" s="32">
        <f t="shared" si="62"/>
        <v>-2.0811654526533678E-3</v>
      </c>
      <c r="F128" s="18">
        <f>IF(ISNUMBER(D128), $B145 * E128, "")</f>
        <v>-624.34963579601038</v>
      </c>
      <c r="G128" s="31">
        <v>99.4</v>
      </c>
      <c r="H128" s="32">
        <f t="shared" si="63"/>
        <v>3.4339229968782636E-2</v>
      </c>
      <c r="I128" s="101">
        <f>IF(ISNUMBER(G128), $B145 * H128, "")</f>
        <v>10301.768990634791</v>
      </c>
      <c r="J128" s="15">
        <v>98.7</v>
      </c>
      <c r="K128" s="32">
        <f t="shared" si="64"/>
        <v>2.7055150884495408E-2</v>
      </c>
      <c r="L128" s="18">
        <f>IF(ISNUMBER(J128), $B145 * K128, "")</f>
        <v>8116.5452653486218</v>
      </c>
      <c r="M128" s="31">
        <v>99</v>
      </c>
      <c r="N128" s="32">
        <f t="shared" si="65"/>
        <v>3.0176899063475607E-2</v>
      </c>
      <c r="O128" s="18">
        <f>IF(ISNUMBER(M128), $B145 * N128, "")</f>
        <v>9053.0697190426818</v>
      </c>
      <c r="Q128" s="174"/>
      <c r="R128" s="174"/>
      <c r="S128" s="174"/>
    </row>
    <row r="129" spans="1:19" ht="17.25" thickBot="1">
      <c r="A129" s="19" t="s">
        <v>172</v>
      </c>
      <c r="B129" s="20">
        <v>28.5</v>
      </c>
      <c r="C129" s="21">
        <v>3.5211268000000001E-3</v>
      </c>
      <c r="D129" s="20">
        <v>28.6</v>
      </c>
      <c r="E129" s="21">
        <f t="shared" si="62"/>
        <v>3.5087719298246113E-3</v>
      </c>
      <c r="F129" s="22">
        <f>IF(ISNUMBER(D129), $B145 * E129, "")</f>
        <v>1052.6315789473833</v>
      </c>
      <c r="G129" s="30">
        <v>28.9</v>
      </c>
      <c r="H129" s="21">
        <f t="shared" si="63"/>
        <v>1.4035087719298196E-2</v>
      </c>
      <c r="I129" s="105">
        <f>IF(ISNUMBER(G129), $B145 * H129, "")</f>
        <v>4210.5263157894587</v>
      </c>
      <c r="J129" s="20">
        <v>28.9</v>
      </c>
      <c r="K129" s="21">
        <f t="shared" si="64"/>
        <v>1.4035087719298196E-2</v>
      </c>
      <c r="L129" s="22">
        <f>IF(ISNUMBER(J129), $B145 * K129, "")</f>
        <v>4210.5263157894587</v>
      </c>
      <c r="M129" s="30">
        <v>28.7</v>
      </c>
      <c r="N129" s="21">
        <f t="shared" si="65"/>
        <v>7.0175438596490978E-3</v>
      </c>
      <c r="O129" s="22">
        <f>IF(ISNUMBER(M129), $B145 * N129, "")</f>
        <v>2105.2631578947294</v>
      </c>
      <c r="Q129" s="174"/>
      <c r="R129" s="174"/>
      <c r="S129" s="174"/>
    </row>
    <row r="130" spans="1:19" ht="17.25" thickBot="1">
      <c r="A130" s="17" t="s">
        <v>214</v>
      </c>
      <c r="B130" s="106">
        <v>24.5</v>
      </c>
      <c r="C130" s="107">
        <v>0</v>
      </c>
      <c r="D130" s="106">
        <v>25.4</v>
      </c>
      <c r="E130" s="107">
        <f>IF(ISNUMBER(D130), (D130 - $B130) / $B130, "")</f>
        <v>3.6734693877550961E-2</v>
      </c>
      <c r="F130" s="108">
        <f>IF(ISNUMBER(D130), $B145 * E130, "")</f>
        <v>11020.408163265289</v>
      </c>
      <c r="G130" s="109">
        <v>25.4</v>
      </c>
      <c r="H130" s="107">
        <f>IF(ISNUMBER(G130), (G130 - $B130) / $B130, "")</f>
        <v>3.6734693877550961E-2</v>
      </c>
      <c r="I130" s="110">
        <f>IF(ISNUMBER(G130), $B145 * H130, "")</f>
        <v>11020.408163265289</v>
      </c>
      <c r="J130" s="106">
        <v>25.4</v>
      </c>
      <c r="K130" s="107">
        <f>IF(ISNUMBER(J130), (J130 - $B130) / $B130, "")</f>
        <v>3.6734693877550961E-2</v>
      </c>
      <c r="L130" s="108">
        <f>IF(ISNUMBER(J130), $B145 * K130, "")</f>
        <v>11020.408163265289</v>
      </c>
      <c r="M130" s="109">
        <v>25.3</v>
      </c>
      <c r="N130" s="107">
        <f>IF(ISNUMBER(M130), (M130 - $B130) / $B130, "")</f>
        <v>3.2653061224489827E-2</v>
      </c>
      <c r="O130" s="108">
        <f>IF(ISNUMBER(M130), $B145 * N130, "")</f>
        <v>9795.9183673469488</v>
      </c>
      <c r="Q130" s="174"/>
      <c r="R130" s="174"/>
      <c r="S130" s="174"/>
    </row>
    <row r="131" spans="1:19" ht="17.25" thickBot="1">
      <c r="A131" s="17" t="s">
        <v>222</v>
      </c>
      <c r="B131" s="15">
        <v>20.3</v>
      </c>
      <c r="C131" s="32">
        <v>-4.9019607999999998E-3</v>
      </c>
      <c r="D131" s="15">
        <v>21</v>
      </c>
      <c r="E131" s="32">
        <f t="shared" ref="E131:E134" si="66">IF(ISNUMBER(D131), (D131 - $B131) / $B131, "")</f>
        <v>3.448275862068962E-2</v>
      </c>
      <c r="F131" s="18">
        <f>IF(ISNUMBER(D131), $B145 * E131, "")</f>
        <v>10344.827586206886</v>
      </c>
      <c r="G131" s="31">
        <v>20.9</v>
      </c>
      <c r="H131" s="32">
        <f t="shared" ref="H131:H134" si="67">IF(ISNUMBER(G131), (G131 - $B131) / $B131, "")</f>
        <v>2.9556650246305313E-2</v>
      </c>
      <c r="I131" s="101">
        <f>IF(ISNUMBER(G131), $B145 * H131, "")</f>
        <v>8866.9950738915941</v>
      </c>
      <c r="J131" s="15">
        <v>21</v>
      </c>
      <c r="K131" s="32">
        <f t="shared" ref="K131:K134" si="68">IF(ISNUMBER(J131), (J131 - $B131) / $B131, "")</f>
        <v>3.448275862068962E-2</v>
      </c>
      <c r="L131" s="18">
        <f>IF(ISNUMBER(J131), $B145 * K131, "")</f>
        <v>10344.827586206886</v>
      </c>
      <c r="M131" s="31">
        <v>20.7</v>
      </c>
      <c r="N131" s="32">
        <f t="shared" ref="N131:N134" si="69">IF(ISNUMBER(M131), (M131 - $B131) / $B131, "")</f>
        <v>1.9704433497536877E-2</v>
      </c>
      <c r="O131" s="18">
        <f>IF(ISNUMBER(M131), $B145 * N131, "")</f>
        <v>5911.3300492610633</v>
      </c>
      <c r="Q131" s="174"/>
      <c r="R131" s="174"/>
      <c r="S131" s="174"/>
    </row>
    <row r="132" spans="1:19" ht="17.25" thickBot="1">
      <c r="A132" s="17" t="s">
        <v>154</v>
      </c>
      <c r="B132" s="15">
        <v>22.3</v>
      </c>
      <c r="C132" s="32">
        <v>-8.8888888999999992E-3</v>
      </c>
      <c r="D132" s="15">
        <v>24.7</v>
      </c>
      <c r="E132" s="32">
        <f t="shared" si="66"/>
        <v>0.10762331838565016</v>
      </c>
      <c r="F132" s="18">
        <f>IF(ISNUMBER(D132), $B145 * E132, "")</f>
        <v>32286.995515695049</v>
      </c>
      <c r="G132" s="31">
        <v>24.4</v>
      </c>
      <c r="H132" s="32">
        <f t="shared" si="67"/>
        <v>9.4170403587443843E-2</v>
      </c>
      <c r="I132" s="101">
        <f>IF(ISNUMBER(G132), $B145 * H132, "")</f>
        <v>28251.121076233154</v>
      </c>
      <c r="J132" s="15">
        <v>24.6</v>
      </c>
      <c r="K132" s="32">
        <f t="shared" si="68"/>
        <v>0.10313901345291483</v>
      </c>
      <c r="L132" s="18">
        <f>IF(ISNUMBER(J132), $B145 * K132, "")</f>
        <v>30941.704035874449</v>
      </c>
      <c r="M132" s="31">
        <v>24</v>
      </c>
      <c r="N132" s="32">
        <f t="shared" si="69"/>
        <v>7.6233183856502212E-2</v>
      </c>
      <c r="O132" s="18">
        <f>IF(ISNUMBER(M132), $B145 * N132, "")</f>
        <v>22869.955156950662</v>
      </c>
      <c r="Q132" s="174"/>
      <c r="R132" s="174"/>
      <c r="S132" s="174"/>
    </row>
    <row r="133" spans="1:19" ht="17.25" thickBot="1">
      <c r="A133" s="17" t="s">
        <v>220</v>
      </c>
      <c r="B133" s="15">
        <v>20.3</v>
      </c>
      <c r="C133" s="32">
        <v>-9.7560975999999994E-3</v>
      </c>
      <c r="D133" s="15">
        <v>22.5</v>
      </c>
      <c r="E133" s="32">
        <f t="shared" si="66"/>
        <v>0.10837438423645317</v>
      </c>
      <c r="F133" s="18">
        <f>IF(ISNUMBER(D133), $B145 * E133, "")</f>
        <v>32512.315270935949</v>
      </c>
      <c r="G133" s="31">
        <v>22.9</v>
      </c>
      <c r="H133" s="32">
        <f t="shared" si="67"/>
        <v>0.12807881773399005</v>
      </c>
      <c r="I133" s="101">
        <f>IF(ISNUMBER(G133), $B145 * H133, "")</f>
        <v>38423.645320197014</v>
      </c>
      <c r="J133" s="15">
        <v>23</v>
      </c>
      <c r="K133" s="32">
        <f t="shared" si="68"/>
        <v>0.13300492610837433</v>
      </c>
      <c r="L133" s="18">
        <f>IF(ISNUMBER(J133), $B145 * K133, "")</f>
        <v>39901.477832512297</v>
      </c>
      <c r="M133" s="31">
        <v>23.9</v>
      </c>
      <c r="N133" s="32">
        <f t="shared" si="69"/>
        <v>0.17733990147783241</v>
      </c>
      <c r="O133" s="18">
        <f>IF(ISNUMBER(M133), $B145 * N133, "")</f>
        <v>53201.970443349725</v>
      </c>
      <c r="Q133" s="33"/>
      <c r="R133" s="33"/>
    </row>
    <row r="134" spans="1:19" ht="17.25" thickBot="1">
      <c r="A134" s="23" t="s">
        <v>266</v>
      </c>
      <c r="B134" s="24">
        <v>95.4</v>
      </c>
      <c r="C134" s="25">
        <v>-1.0373444000000001E-2</v>
      </c>
      <c r="D134" s="24">
        <v>96</v>
      </c>
      <c r="E134" s="25">
        <f t="shared" si="66"/>
        <v>6.2893081761005686E-3</v>
      </c>
      <c r="F134" s="104">
        <f>IF(ISNUMBER(D134), $B145 * E134, "")</f>
        <v>1886.7924528301705</v>
      </c>
      <c r="G134" s="102">
        <v>98.4</v>
      </c>
      <c r="H134" s="25">
        <f t="shared" si="67"/>
        <v>3.1446540880503145E-2</v>
      </c>
      <c r="I134" s="103">
        <f>IF(ISNUMBER(G134), $B145 * H134, "")</f>
        <v>9433.9622641509432</v>
      </c>
      <c r="J134" s="24">
        <v>98.9</v>
      </c>
      <c r="K134" s="25">
        <f t="shared" si="68"/>
        <v>3.668763102725367E-2</v>
      </c>
      <c r="L134" s="104">
        <f>IF(ISNUMBER(J134), $B145 * K134, "")</f>
        <v>11006.289308176101</v>
      </c>
      <c r="M134" s="102">
        <v>100</v>
      </c>
      <c r="N134" s="25">
        <f t="shared" si="69"/>
        <v>4.821802935010476E-2</v>
      </c>
      <c r="O134" s="104">
        <f>IF(ISNUMBER(M134), $B145 * N134, "")</f>
        <v>14465.408805031428</v>
      </c>
      <c r="Q134" s="175"/>
      <c r="R134" s="176"/>
      <c r="S134" s="177"/>
    </row>
    <row r="135" spans="1:19">
      <c r="A135" s="12" t="s">
        <v>236</v>
      </c>
      <c r="B135" s="13">
        <v>77.2</v>
      </c>
      <c r="C135" s="14">
        <v>-1.40485313E-2</v>
      </c>
      <c r="D135" s="13">
        <v>77.099999999999994</v>
      </c>
      <c r="E135" s="14">
        <f>IF(ISNUMBER(D135), (D135 - $B135) / $B135, "")</f>
        <v>-1.2953367875648773E-3</v>
      </c>
      <c r="F135" s="16">
        <f>IF(ISNUMBER(D135), $B145 * E135, "")</f>
        <v>-388.60103626946318</v>
      </c>
      <c r="G135" s="29">
        <v>78.2</v>
      </c>
      <c r="H135" s="14">
        <f>IF(ISNUMBER(G135), (G135 - $B135) / $B135, "")</f>
        <v>1.2953367875647668E-2</v>
      </c>
      <c r="I135" s="100">
        <f>IF(ISNUMBER(G135), $B145 * H135, "")</f>
        <v>3886.0103626943001</v>
      </c>
      <c r="J135" s="13">
        <v>78.599999999999994</v>
      </c>
      <c r="K135" s="14">
        <f>IF(ISNUMBER(J135), (J135 - $B135) / $B135, "")</f>
        <v>1.8134715025906623E-2</v>
      </c>
      <c r="L135" s="16">
        <f>IF(ISNUMBER(J135), $B145 * K135, "")</f>
        <v>5440.4145077719868</v>
      </c>
      <c r="M135" s="29">
        <v>78.400000000000006</v>
      </c>
      <c r="N135" s="14">
        <f>IF(ISNUMBER(M135), (M135 - $B135) / $B135, "")</f>
        <v>1.5544041450777238E-2</v>
      </c>
      <c r="O135" s="16">
        <f>IF(ISNUMBER(M135), $B145 * N135, "")</f>
        <v>4663.2124352331712</v>
      </c>
      <c r="Q135" s="178"/>
      <c r="R135" s="179"/>
      <c r="S135" s="180"/>
    </row>
    <row r="136" spans="1:19" ht="17.25" thickBot="1">
      <c r="A136" s="17" t="s">
        <v>218</v>
      </c>
      <c r="B136" s="15">
        <v>32.1</v>
      </c>
      <c r="C136" s="32">
        <v>-1.53374233E-2</v>
      </c>
      <c r="D136" s="15">
        <v>32.9</v>
      </c>
      <c r="E136" s="32">
        <f t="shared" ref="E136:E139" si="70">IF(ISNUMBER(D136), (D136 - $B136) / $B136, "")</f>
        <v>2.4922118380062214E-2</v>
      </c>
      <c r="F136" s="18">
        <f>IF(ISNUMBER(D136), $B145 * E136, "")</f>
        <v>7476.6355140186643</v>
      </c>
      <c r="G136" s="31">
        <v>33.1</v>
      </c>
      <c r="H136" s="32">
        <f t="shared" ref="H136:H139" si="71">IF(ISNUMBER(G136), (G136 - $B136) / $B136, "")</f>
        <v>3.1152647975077882E-2</v>
      </c>
      <c r="I136" s="101">
        <f>IF(ISNUMBER(G136), $B145 * H136, "")</f>
        <v>9345.7943925233649</v>
      </c>
      <c r="J136" s="15">
        <v>33.200000000000003</v>
      </c>
      <c r="K136" s="32">
        <f t="shared" ref="K136:K139" si="72">IF(ISNUMBER(J136), (J136 - $B136) / $B136, "")</f>
        <v>3.4267912772585715E-2</v>
      </c>
      <c r="L136" s="18">
        <f>IF(ISNUMBER(J136), $B145 * K136, "")</f>
        <v>10280.373831775714</v>
      </c>
      <c r="M136" s="31">
        <v>32.799999999999997</v>
      </c>
      <c r="N136" s="32">
        <f t="shared" ref="N136:N139" si="73">IF(ISNUMBER(M136), (M136 - $B136) / $B136, "")</f>
        <v>2.1806853582554384E-2</v>
      </c>
      <c r="O136" s="18">
        <f>IF(ISNUMBER(M136), $B145 * N136, "")</f>
        <v>6542.0560747663149</v>
      </c>
      <c r="Q136" s="181"/>
      <c r="R136" s="182"/>
      <c r="S136" s="183"/>
    </row>
    <row r="137" spans="1:19" ht="17.25" thickBot="1">
      <c r="A137" s="17" t="s">
        <v>198</v>
      </c>
      <c r="B137" s="15">
        <v>31.6</v>
      </c>
      <c r="C137" s="32">
        <v>-1.5576324000000001E-2</v>
      </c>
      <c r="D137" s="15">
        <v>32.4</v>
      </c>
      <c r="E137" s="32">
        <f t="shared" si="70"/>
        <v>2.5316455696202441E-2</v>
      </c>
      <c r="F137" s="18">
        <f>IF(ISNUMBER(D137), $B145 * E137, "")</f>
        <v>7594.9367088607323</v>
      </c>
      <c r="G137" s="31">
        <v>32.700000000000003</v>
      </c>
      <c r="H137" s="32">
        <f t="shared" si="71"/>
        <v>3.4810126582278528E-2</v>
      </c>
      <c r="I137" s="101">
        <f>IF(ISNUMBER(G137), $B145 * H137, "")</f>
        <v>10443.037974683559</v>
      </c>
      <c r="J137" s="15">
        <v>32.700000000000003</v>
      </c>
      <c r="K137" s="32">
        <f t="shared" si="72"/>
        <v>3.4810126582278528E-2</v>
      </c>
      <c r="L137" s="18">
        <f>IF(ISNUMBER(J137), $B145 * K137, "")</f>
        <v>10443.037974683559</v>
      </c>
      <c r="M137" s="31">
        <v>32.4</v>
      </c>
      <c r="N137" s="32">
        <f t="shared" si="73"/>
        <v>2.5316455696202441E-2</v>
      </c>
      <c r="O137" s="18">
        <f>IF(ISNUMBER(M137), $B145 * N137, "")</f>
        <v>7594.9367088607323</v>
      </c>
      <c r="Q137" s="174"/>
      <c r="R137" s="174"/>
      <c r="S137" s="174"/>
    </row>
    <row r="138" spans="1:19" ht="17.25" thickBot="1">
      <c r="A138" s="17" t="s">
        <v>196</v>
      </c>
      <c r="B138" s="15">
        <v>21.8</v>
      </c>
      <c r="C138" s="32">
        <v>-2.2421524700000001E-2</v>
      </c>
      <c r="D138" s="15">
        <v>22.6</v>
      </c>
      <c r="E138" s="32">
        <f t="shared" si="70"/>
        <v>3.6697247706422048E-2</v>
      </c>
      <c r="F138" s="18">
        <f>IF(ISNUMBER(D138), $B145 * E138, "")</f>
        <v>11009.174311926614</v>
      </c>
      <c r="G138" s="31">
        <v>22.8</v>
      </c>
      <c r="H138" s="32">
        <f t="shared" si="71"/>
        <v>4.5871559633027519E-2</v>
      </c>
      <c r="I138" s="101">
        <f>IF(ISNUMBER(G138), $B145 * H138, "")</f>
        <v>13761.467889908256</v>
      </c>
      <c r="J138" s="15">
        <v>22.9</v>
      </c>
      <c r="K138" s="32">
        <f t="shared" si="72"/>
        <v>5.0458715596330174E-2</v>
      </c>
      <c r="L138" s="18">
        <f>IF(ISNUMBER(J138), $B145 * K138, "")</f>
        <v>15137.614678899052</v>
      </c>
      <c r="M138" s="31">
        <v>22.6</v>
      </c>
      <c r="N138" s="32">
        <f t="shared" si="73"/>
        <v>3.6697247706422048E-2</v>
      </c>
      <c r="O138" s="18">
        <f>IF(ISNUMBER(M138), $B145 * N138, "")</f>
        <v>11009.174311926614</v>
      </c>
      <c r="Q138" s="184"/>
      <c r="R138" s="184"/>
      <c r="S138" s="184"/>
    </row>
    <row r="139" spans="1:19" ht="17.25" thickBot="1">
      <c r="A139" s="19" t="s">
        <v>100</v>
      </c>
      <c r="B139" s="20">
        <v>8.44</v>
      </c>
      <c r="C139" s="21">
        <v>-2.3148148100000002E-2</v>
      </c>
      <c r="D139" s="20">
        <v>8.5</v>
      </c>
      <c r="E139" s="21">
        <f t="shared" si="70"/>
        <v>7.1090047393365524E-3</v>
      </c>
      <c r="F139" s="22">
        <f>IF(ISNUMBER(D139), $B145 * E139, "")</f>
        <v>2132.7014218009658</v>
      </c>
      <c r="G139" s="30">
        <v>8.5399999999999991</v>
      </c>
      <c r="H139" s="21">
        <f t="shared" si="71"/>
        <v>1.1848341232227447E-2</v>
      </c>
      <c r="I139" s="105">
        <f>IF(ISNUMBER(G139), $B145 * H139, "")</f>
        <v>3554.5023696682342</v>
      </c>
      <c r="J139" s="20">
        <v>8.65</v>
      </c>
      <c r="K139" s="21">
        <f t="shared" si="72"/>
        <v>2.4881516587677826E-2</v>
      </c>
      <c r="L139" s="22">
        <f>IF(ISNUMBER(J139), $B145 * K139, "")</f>
        <v>7464.4549763033474</v>
      </c>
      <c r="M139" s="30">
        <v>8.4700000000000006</v>
      </c>
      <c r="N139" s="21">
        <f t="shared" si="73"/>
        <v>3.5545023696683812E-3</v>
      </c>
      <c r="O139" s="22">
        <f>IF(ISNUMBER(M139), $B145 * N139, "")</f>
        <v>1066.3507109005143</v>
      </c>
      <c r="Q139" s="184"/>
      <c r="R139" s="184"/>
      <c r="S139" s="184"/>
    </row>
    <row r="140" spans="1:19" ht="17.25" thickBot="1">
      <c r="A140" s="17" t="s">
        <v>72</v>
      </c>
      <c r="B140" s="106">
        <v>36.799999999999997</v>
      </c>
      <c r="C140" s="107">
        <v>-2.3872679000000001E-2</v>
      </c>
      <c r="D140" s="106">
        <v>37.6</v>
      </c>
      <c r="E140" s="107">
        <f>IF(ISNUMBER(D140), (D140 - $B140) / $B140, "")</f>
        <v>2.1739130434782726E-2</v>
      </c>
      <c r="F140" s="108">
        <f>IF(ISNUMBER(D140), $B145 * E140, "")</f>
        <v>6521.7391304348175</v>
      </c>
      <c r="G140" s="109">
        <v>38.5</v>
      </c>
      <c r="H140" s="107">
        <f>IF(ISNUMBER(G140), (G140 - $B140) / $B140, "")</f>
        <v>4.6195652173913124E-2</v>
      </c>
      <c r="I140" s="110">
        <f>IF(ISNUMBER(G140), $B145 * H140, "")</f>
        <v>13858.695652173938</v>
      </c>
      <c r="J140" s="106">
        <v>38.6</v>
      </c>
      <c r="K140" s="107">
        <f>IF(ISNUMBER(J140), (J140 - $B140) / $B140, "")</f>
        <v>4.891304347826099E-2</v>
      </c>
      <c r="L140" s="108">
        <f>IF(ISNUMBER(J140), $B145 * K140, "")</f>
        <v>14673.913043478296</v>
      </c>
      <c r="M140" s="109">
        <v>38.299999999999997</v>
      </c>
      <c r="N140" s="107">
        <f>IF(ISNUMBER(M140), (M140 - $B140) / $B140, "")</f>
        <v>4.0760869565217392E-2</v>
      </c>
      <c r="O140" s="108">
        <f>IF(ISNUMBER(M140), $B145 * N140, "")</f>
        <v>12228.260869565218</v>
      </c>
      <c r="Q140" s="174"/>
      <c r="R140" s="174"/>
      <c r="S140" s="174"/>
    </row>
    <row r="141" spans="1:19" ht="17.25" thickBot="1">
      <c r="A141" s="17" t="s">
        <v>65</v>
      </c>
      <c r="B141" s="15">
        <v>75.8</v>
      </c>
      <c r="C141" s="32">
        <v>-3.1928480199999998E-2</v>
      </c>
      <c r="D141" s="15">
        <v>78.900000000000006</v>
      </c>
      <c r="E141" s="32">
        <f t="shared" ref="E141:E144" si="74">IF(ISNUMBER(D141), (D141 - $B141) / $B141, "")</f>
        <v>4.0897097625329927E-2</v>
      </c>
      <c r="F141" s="18">
        <f>IF(ISNUMBER(D141), $B145 * E141, "")</f>
        <v>12269.129287598978</v>
      </c>
      <c r="G141" s="31">
        <v>79.2</v>
      </c>
      <c r="H141" s="32">
        <f t="shared" ref="H141:H144" si="75">IF(ISNUMBER(G141), (G141 - $B141) / $B141, "")</f>
        <v>4.4854881266490843E-2</v>
      </c>
      <c r="I141" s="101">
        <f>IF(ISNUMBER(G141), $B145 * H141, "")</f>
        <v>13456.464379947252</v>
      </c>
      <c r="J141" s="15">
        <v>80</v>
      </c>
      <c r="K141" s="32">
        <f t="shared" ref="K141:K144" si="76">IF(ISNUMBER(J141), (J141 - $B141) / $B141, "")</f>
        <v>5.5408970976253337E-2</v>
      </c>
      <c r="L141" s="18">
        <f>IF(ISNUMBER(J141), $B145 * K141, "")</f>
        <v>16622.691292875999</v>
      </c>
      <c r="M141" s="31">
        <v>80</v>
      </c>
      <c r="N141" s="32">
        <f t="shared" ref="N141:N144" si="77">IF(ISNUMBER(M141), (M141 - $B141) / $B141, "")</f>
        <v>5.5408970976253337E-2</v>
      </c>
      <c r="O141" s="18">
        <f>IF(ISNUMBER(M141), $B145 * N141, "")</f>
        <v>16622.691292875999</v>
      </c>
      <c r="Q141" s="174"/>
      <c r="R141" s="174"/>
      <c r="S141" s="174"/>
    </row>
    <row r="142" spans="1:19" ht="17.25" thickBot="1">
      <c r="A142" s="17" t="s">
        <v>126</v>
      </c>
      <c r="B142" s="15">
        <v>68.7</v>
      </c>
      <c r="C142" s="32">
        <v>-3.7815126099999999E-2</v>
      </c>
      <c r="D142" s="15">
        <v>69.2</v>
      </c>
      <c r="E142" s="32">
        <f t="shared" si="74"/>
        <v>7.2780203784570596E-3</v>
      </c>
      <c r="F142" s="18">
        <f>IF(ISNUMBER(D142), $B145 * E142, "")</f>
        <v>2183.406113537118</v>
      </c>
      <c r="G142" s="31">
        <v>69.400000000000006</v>
      </c>
      <c r="H142" s="32">
        <f t="shared" si="75"/>
        <v>1.0189228529839925E-2</v>
      </c>
      <c r="I142" s="101">
        <f>IF(ISNUMBER(G142), $B145 * H142, "")</f>
        <v>3056.7685589519774</v>
      </c>
      <c r="J142" s="15">
        <v>69.7</v>
      </c>
      <c r="K142" s="32">
        <f t="shared" si="76"/>
        <v>1.4556040756914119E-2</v>
      </c>
      <c r="L142" s="18">
        <f>IF(ISNUMBER(J142), $B145 * K142, "")</f>
        <v>4366.812227074236</v>
      </c>
      <c r="M142" s="31">
        <v>68.7</v>
      </c>
      <c r="N142" s="32">
        <f t="shared" si="77"/>
        <v>0</v>
      </c>
      <c r="O142" s="18">
        <f>IF(ISNUMBER(M142), $B145 * N142, "")</f>
        <v>0</v>
      </c>
      <c r="Q142" s="174"/>
      <c r="R142" s="174"/>
      <c r="S142" s="174"/>
    </row>
    <row r="143" spans="1:19">
      <c r="A143" s="17"/>
      <c r="B143" s="15"/>
      <c r="C143" s="32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23"/>
      <c r="B144" s="24"/>
      <c r="C144" s="25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26" t="s">
        <v>301</v>
      </c>
      <c r="B145" s="172">
        <f>$B$37</f>
        <v>300000</v>
      </c>
      <c r="C145" s="173"/>
      <c r="D145" s="26" t="s">
        <v>302</v>
      </c>
      <c r="E145" s="27">
        <f>IF(COUNT(E125:E144), SUM(E125:E144) / COUNT(E125:E144), 0)</f>
        <v>3.2499441931395062E-2</v>
      </c>
      <c r="F145" s="28">
        <f>SUM(F125:F144)</f>
        <v>175496.9864295334</v>
      </c>
      <c r="G145" s="26" t="s">
        <v>302</v>
      </c>
      <c r="H145" s="27">
        <f>IF(COUNT(H125:H144), SUM(H125:H144) / COUNT(H125:H144), 0)</f>
        <v>4.0497312486460504E-2</v>
      </c>
      <c r="I145" s="28">
        <f>SUM(I125:I144)</f>
        <v>218685.48742688677</v>
      </c>
      <c r="J145" s="26" t="s">
        <v>302</v>
      </c>
      <c r="K145" s="27">
        <f>IF(COUNT(K125:K144), SUM(K125:K144) / COUNT(K125:K144), 0)</f>
        <v>4.4959461691749317E-2</v>
      </c>
      <c r="L145" s="28">
        <f>SUM(L125:L144)</f>
        <v>242781.09313544634</v>
      </c>
      <c r="M145" s="26" t="s">
        <v>302</v>
      </c>
      <c r="N145" s="27">
        <f>IF(COUNT(N125:N144), SUM(N125:N144) / COUNT(N125:N144), 0)</f>
        <v>3.6925592937180791E-2</v>
      </c>
      <c r="O145" s="28">
        <f>SUM(O125:O144)</f>
        <v>199398.20186077629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1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194" t="s">
        <v>55</v>
      </c>
      <c r="B150" s="196" t="str">
        <f>TEXT($G$1, "[$-ko-KR]yyyy-mm-dd(ddd) ") &amp; "오전 00:00"</f>
        <v>2021-05-03(월) 오전 00:00</v>
      </c>
      <c r="C150" s="197"/>
      <c r="D150" s="198" t="str">
        <f>TEXT($G$1, "[$-ko-KR]yyyy-mm-dd(ddd) ") &amp; "오후 14:00"</f>
        <v>2021-05-03(월) 오후 14:00</v>
      </c>
      <c r="E150" s="199"/>
      <c r="F150" s="200"/>
      <c r="G150" s="198" t="str">
        <f>TEXT($G$1, "[$-ko-KR]yyyy-mm-dd(ddd) ") &amp; "오후 19:00"</f>
        <v>2021-05-03(월) 오후 19:00</v>
      </c>
      <c r="H150" s="199"/>
      <c r="I150" s="200"/>
      <c r="J150" s="198" t="str">
        <f>TEXT($G$1, "[$-ko-KR]yyyy-mm-dd(ddd) ") &amp; "오후 21:00"</f>
        <v>2021-05-03(월) 오후 21:00</v>
      </c>
      <c r="K150" s="199"/>
      <c r="L150" s="200"/>
      <c r="M150" s="198" t="str">
        <f>TEXT($G$1+1, "[$-ko-KR]yyyy-mm-dd(ddd) ") &amp; "오전 00:00"</f>
        <v>2021-05-04(화) 오전 00:00</v>
      </c>
      <c r="N150" s="199"/>
      <c r="O150" s="200"/>
      <c r="Q150" s="184"/>
      <c r="R150" s="184"/>
      <c r="S150" s="184"/>
    </row>
    <row r="151" spans="1:19" ht="17.25" thickBot="1">
      <c r="A151" s="195"/>
      <c r="B151" s="2" t="s">
        <v>58</v>
      </c>
      <c r="C151" s="10" t="s">
        <v>59</v>
      </c>
      <c r="D151" s="2" t="s">
        <v>58</v>
      </c>
      <c r="E151" s="10" t="s">
        <v>299</v>
      </c>
      <c r="F151" s="11" t="s">
        <v>300</v>
      </c>
      <c r="G151" s="112" t="s">
        <v>58</v>
      </c>
      <c r="H151" s="113" t="s">
        <v>299</v>
      </c>
      <c r="I151" s="114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" t="s">
        <v>136</v>
      </c>
      <c r="B152" s="13">
        <v>246</v>
      </c>
      <c r="C152" s="14">
        <v>-1.9920318699999998E-2</v>
      </c>
      <c r="D152" s="13">
        <v>247</v>
      </c>
      <c r="E152" s="14">
        <f>IF(ISNUMBER(D152), (D152 - $B152) / $B152, "")</f>
        <v>4.0650406504065045E-3</v>
      </c>
      <c r="F152" s="16">
        <f>IF(ISNUMBER(D152), $B172 * E152, "")</f>
        <v>1219.5121951219514</v>
      </c>
      <c r="G152" s="29">
        <v>258</v>
      </c>
      <c r="H152" s="14">
        <f>IF(ISNUMBER(G152), (G152 - $B152) / $B152, "")</f>
        <v>4.878048780487805E-2</v>
      </c>
      <c r="I152" s="100">
        <f>IF(ISNUMBER(G152), $B172 * H152, "")</f>
        <v>14634.146341463415</v>
      </c>
      <c r="J152" s="13">
        <v>260</v>
      </c>
      <c r="K152" s="14">
        <f>IF(ISNUMBER(J152), (J152 - $B152) / $B152, "")</f>
        <v>5.6910569105691054E-2</v>
      </c>
      <c r="L152" s="16">
        <f>IF(ISNUMBER(J152), $B172 * K152, "")</f>
        <v>17073.170731707316</v>
      </c>
      <c r="M152" s="29">
        <v>269</v>
      </c>
      <c r="N152" s="14">
        <f>IF(ISNUMBER(M152), (M152 - $B152) / $B152, "")</f>
        <v>9.3495934959349589E-2</v>
      </c>
      <c r="O152" s="16">
        <f>IF(ISNUMBER(M152), $B172 * N152, "")</f>
        <v>28048.780487804877</v>
      </c>
      <c r="Q152" s="184"/>
      <c r="R152" s="184"/>
      <c r="S152" s="184"/>
    </row>
    <row r="153" spans="1:19" ht="17.25" thickBot="1">
      <c r="A153" s="17" t="s">
        <v>216</v>
      </c>
      <c r="B153" s="15">
        <v>477</v>
      </c>
      <c r="C153" s="32">
        <v>-2.0533880899999999E-2</v>
      </c>
      <c r="D153" s="15">
        <v>490</v>
      </c>
      <c r="E153" s="32">
        <f t="shared" ref="E153:E156" si="78">IF(ISNUMBER(D153), (D153 - $B153) / $B153, "")</f>
        <v>2.7253668763102725E-2</v>
      </c>
      <c r="F153" s="18">
        <f>IF(ISNUMBER(D153), $B172 * E153, "")</f>
        <v>8176.1006289308179</v>
      </c>
      <c r="G153" s="31">
        <v>497</v>
      </c>
      <c r="H153" s="32">
        <f t="shared" ref="H153:H156" si="79">IF(ISNUMBER(G153), (G153 - $B153) / $B153, "")</f>
        <v>4.1928721174004195E-2</v>
      </c>
      <c r="I153" s="101">
        <f>IF(ISNUMBER(G153), $B172 * H153, "")</f>
        <v>12578.616352201259</v>
      </c>
      <c r="J153" s="15">
        <v>500</v>
      </c>
      <c r="K153" s="32">
        <f t="shared" ref="K153:K156" si="80">IF(ISNUMBER(J153), (J153 - $B153) / $B153, "")</f>
        <v>4.8218029350104823E-2</v>
      </c>
      <c r="L153" s="18">
        <f>IF(ISNUMBER(J153), $B172 * K153, "")</f>
        <v>14465.408805031448</v>
      </c>
      <c r="M153" s="31">
        <v>492</v>
      </c>
      <c r="N153" s="32">
        <f t="shared" ref="N153:N156" si="81">IF(ISNUMBER(M153), (M153 - $B153) / $B153, "")</f>
        <v>3.1446540880503145E-2</v>
      </c>
      <c r="O153" s="18">
        <f>IF(ISNUMBER(M153), $B172 * N153, "")</f>
        <v>9433.9622641509432</v>
      </c>
      <c r="Q153" s="184"/>
      <c r="R153" s="184"/>
      <c r="S153" s="184"/>
    </row>
    <row r="154" spans="1:19" ht="17.25" thickBot="1">
      <c r="A154" s="17" t="s">
        <v>264</v>
      </c>
      <c r="B154" s="15">
        <v>184</v>
      </c>
      <c r="C154" s="32">
        <v>-2.1276595700000001E-2</v>
      </c>
      <c r="D154" s="15">
        <v>191</v>
      </c>
      <c r="E154" s="32">
        <f t="shared" si="78"/>
        <v>3.8043478260869568E-2</v>
      </c>
      <c r="F154" s="18">
        <f>IF(ISNUMBER(D154), $B172 * E154, "")</f>
        <v>11413.04347826087</v>
      </c>
      <c r="G154" s="31">
        <v>196</v>
      </c>
      <c r="H154" s="32">
        <f t="shared" si="79"/>
        <v>6.5217391304347824E-2</v>
      </c>
      <c r="I154" s="101">
        <f>IF(ISNUMBER(G154), $B172 * H154, "")</f>
        <v>19565.217391304348</v>
      </c>
      <c r="J154" s="15">
        <v>197</v>
      </c>
      <c r="K154" s="32">
        <f t="shared" si="80"/>
        <v>7.0652173913043473E-2</v>
      </c>
      <c r="L154" s="18">
        <f>IF(ISNUMBER(J154), $B172 * K154, "")</f>
        <v>21195.65217391304</v>
      </c>
      <c r="M154" s="31">
        <v>193</v>
      </c>
      <c r="N154" s="32">
        <f t="shared" si="81"/>
        <v>4.8913043478260872E-2</v>
      </c>
      <c r="O154" s="18">
        <f>IF(ISNUMBER(M154), $B172 * N154, "")</f>
        <v>14673.913043478262</v>
      </c>
      <c r="Q154" s="174"/>
      <c r="R154" s="174"/>
      <c r="S154" s="174"/>
    </row>
    <row r="155" spans="1:19" ht="17.25" thickBot="1">
      <c r="A155" s="17" t="s">
        <v>57</v>
      </c>
      <c r="B155" s="15">
        <v>410</v>
      </c>
      <c r="C155" s="32">
        <v>-2.1479713599999999E-2</v>
      </c>
      <c r="D155" s="15">
        <v>418</v>
      </c>
      <c r="E155" s="32">
        <f t="shared" si="78"/>
        <v>1.9512195121951219E-2</v>
      </c>
      <c r="F155" s="18">
        <f>IF(ISNUMBER(D155), $B172 * E155, "")</f>
        <v>5853.6585365853662</v>
      </c>
      <c r="G155" s="31">
        <v>426</v>
      </c>
      <c r="H155" s="32">
        <f t="shared" si="79"/>
        <v>3.9024390243902439E-2</v>
      </c>
      <c r="I155" s="101">
        <f>IF(ISNUMBER(G155), $B172 * H155, "")</f>
        <v>11707.317073170732</v>
      </c>
      <c r="J155" s="15">
        <v>425</v>
      </c>
      <c r="K155" s="32">
        <f t="shared" si="80"/>
        <v>3.6585365853658534E-2</v>
      </c>
      <c r="L155" s="18">
        <f>IF(ISNUMBER(J155), $B172 * K155, "")</f>
        <v>10975.60975609756</v>
      </c>
      <c r="M155" s="31">
        <v>418</v>
      </c>
      <c r="N155" s="32">
        <f t="shared" si="81"/>
        <v>1.9512195121951219E-2</v>
      </c>
      <c r="O155" s="18">
        <f>IF(ISNUMBER(M155), $B172 * N155, "")</f>
        <v>5853.6585365853662</v>
      </c>
      <c r="Q155" s="174"/>
      <c r="R155" s="174"/>
      <c r="S155" s="174"/>
    </row>
    <row r="156" spans="1:19" ht="17.25" thickBot="1">
      <c r="A156" s="19" t="s">
        <v>282</v>
      </c>
      <c r="B156" s="20">
        <v>181</v>
      </c>
      <c r="C156" s="21">
        <v>-2.1621621600000002E-2</v>
      </c>
      <c r="D156" s="20">
        <v>179</v>
      </c>
      <c r="E156" s="21">
        <f t="shared" si="78"/>
        <v>-1.1049723756906077E-2</v>
      </c>
      <c r="F156" s="22">
        <f>IF(ISNUMBER(D156), $B172 * E156, "")</f>
        <v>-3314.917127071823</v>
      </c>
      <c r="G156" s="30">
        <v>182</v>
      </c>
      <c r="H156" s="21">
        <f t="shared" si="79"/>
        <v>5.5248618784530384E-3</v>
      </c>
      <c r="I156" s="105">
        <f>IF(ISNUMBER(G156), $B172 * H156, "")</f>
        <v>1657.4585635359115</v>
      </c>
      <c r="J156" s="20">
        <v>184</v>
      </c>
      <c r="K156" s="21">
        <f t="shared" si="80"/>
        <v>1.6574585635359115E-2</v>
      </c>
      <c r="L156" s="22">
        <f>IF(ISNUMBER(J156), $B172 * K156, "")</f>
        <v>4972.3756906077342</v>
      </c>
      <c r="M156" s="30">
        <v>182</v>
      </c>
      <c r="N156" s="21">
        <f t="shared" si="81"/>
        <v>5.5248618784530384E-3</v>
      </c>
      <c r="O156" s="22">
        <f>IF(ISNUMBER(M156), $B172 * N156, "")</f>
        <v>1657.4585635359115</v>
      </c>
      <c r="Q156" s="174"/>
      <c r="R156" s="174"/>
      <c r="S156" s="174"/>
    </row>
    <row r="157" spans="1:19" ht="17.25" thickBot="1">
      <c r="A157" s="17" t="s">
        <v>120</v>
      </c>
      <c r="B157" s="106">
        <v>226</v>
      </c>
      <c r="C157" s="107">
        <v>-2.1645021600000001E-2</v>
      </c>
      <c r="D157" s="106">
        <v>230</v>
      </c>
      <c r="E157" s="107">
        <f>IF(ISNUMBER(D157), (D157 - $B157) / $B157, "")</f>
        <v>1.7699115044247787E-2</v>
      </c>
      <c r="F157" s="108">
        <f>IF(ISNUMBER(D157), $B172 * E157, "")</f>
        <v>5309.7345132743358</v>
      </c>
      <c r="G157" s="109">
        <v>231</v>
      </c>
      <c r="H157" s="107">
        <f>IF(ISNUMBER(G157), (G157 - $B157) / $B157, "")</f>
        <v>2.2123893805309734E-2</v>
      </c>
      <c r="I157" s="110">
        <f>IF(ISNUMBER(G157), $B172 * H157, "")</f>
        <v>6637.1681415929206</v>
      </c>
      <c r="J157" s="106">
        <v>234</v>
      </c>
      <c r="K157" s="107">
        <f>IF(ISNUMBER(J157), (J157 - $B157) / $B157, "")</f>
        <v>3.5398230088495575E-2</v>
      </c>
      <c r="L157" s="108">
        <f>IF(ISNUMBER(J157), $B172 * K157, "")</f>
        <v>10619.469026548672</v>
      </c>
      <c r="M157" s="109">
        <v>230</v>
      </c>
      <c r="N157" s="107">
        <f>IF(ISNUMBER(M157), (M157 - $B157) / $B157, "")</f>
        <v>1.7699115044247787E-2</v>
      </c>
      <c r="O157" s="108">
        <f>IF(ISNUMBER(M157), $B172 * N157, "")</f>
        <v>5309.7345132743358</v>
      </c>
      <c r="Q157" s="174"/>
      <c r="R157" s="174"/>
      <c r="S157" s="174"/>
    </row>
    <row r="158" spans="1:19" ht="17.25" thickBot="1">
      <c r="A158" s="17" t="s">
        <v>128</v>
      </c>
      <c r="B158" s="15">
        <v>626</v>
      </c>
      <c r="C158" s="32">
        <v>-2.1874999999999999E-2</v>
      </c>
      <c r="D158" s="15">
        <v>721</v>
      </c>
      <c r="E158" s="32">
        <f t="shared" ref="E158:E161" si="82">IF(ISNUMBER(D158), (D158 - $B158) / $B158, "")</f>
        <v>0.15175718849840256</v>
      </c>
      <c r="F158" s="18">
        <f>IF(ISNUMBER(D158), $B172 * E158, "")</f>
        <v>45527.156549520769</v>
      </c>
      <c r="G158" s="31">
        <v>738</v>
      </c>
      <c r="H158" s="32">
        <f t="shared" ref="H158:H161" si="83">IF(ISNUMBER(G158), (G158 - $B158) / $B158, "")</f>
        <v>0.17891373801916932</v>
      </c>
      <c r="I158" s="101">
        <f>IF(ISNUMBER(G158), $B172 * H158, "")</f>
        <v>53674.121405750797</v>
      </c>
      <c r="J158" s="15">
        <v>743</v>
      </c>
      <c r="K158" s="32">
        <f t="shared" ref="K158:K161" si="84">IF(ISNUMBER(J158), (J158 - $B158) / $B158, "")</f>
        <v>0.18690095846645369</v>
      </c>
      <c r="L158" s="18">
        <f>IF(ISNUMBER(J158), $B172 * K158, "")</f>
        <v>56070.287539936107</v>
      </c>
      <c r="M158" s="31">
        <v>724</v>
      </c>
      <c r="N158" s="32">
        <f t="shared" ref="N158:N161" si="85">IF(ISNUMBER(M158), (M158 - $B158) / $B158, "")</f>
        <v>0.15654952076677317</v>
      </c>
      <c r="O158" s="18">
        <f>IF(ISNUMBER(M158), $B172 * N158, "")</f>
        <v>46964.856230031954</v>
      </c>
      <c r="Q158" s="174"/>
      <c r="R158" s="174"/>
      <c r="S158" s="174"/>
    </row>
    <row r="159" spans="1:19" ht="17.25" thickBot="1">
      <c r="A159" s="17" t="s">
        <v>174</v>
      </c>
      <c r="B159" s="15">
        <v>303</v>
      </c>
      <c r="C159" s="32">
        <v>-2.2580645199999999E-2</v>
      </c>
      <c r="D159" s="15">
        <v>305</v>
      </c>
      <c r="E159" s="32">
        <f t="shared" si="82"/>
        <v>6.6006600660066007E-3</v>
      </c>
      <c r="F159" s="18">
        <f>IF(ISNUMBER(D159), $B172 * E159, "")</f>
        <v>1980.1980198019803</v>
      </c>
      <c r="G159" s="31">
        <v>307</v>
      </c>
      <c r="H159" s="32">
        <f t="shared" si="83"/>
        <v>1.3201320132013201E-2</v>
      </c>
      <c r="I159" s="101">
        <f>IF(ISNUMBER(G159), $B172 * H159, "")</f>
        <v>3960.3960396039606</v>
      </c>
      <c r="J159" s="15">
        <v>309</v>
      </c>
      <c r="K159" s="32">
        <f t="shared" si="84"/>
        <v>1.9801980198019802E-2</v>
      </c>
      <c r="L159" s="18">
        <f>IF(ISNUMBER(J159), $B172 * K159, "")</f>
        <v>5940.5940594059402</v>
      </c>
      <c r="M159" s="31">
        <v>305</v>
      </c>
      <c r="N159" s="32">
        <f t="shared" si="85"/>
        <v>6.6006600660066007E-3</v>
      </c>
      <c r="O159" s="18">
        <f>IF(ISNUMBER(M159), $B172 * N159, "")</f>
        <v>1980.1980198019803</v>
      </c>
      <c r="Q159" s="174"/>
      <c r="R159" s="174"/>
      <c r="S159" s="174"/>
    </row>
    <row r="160" spans="1:19" ht="17.25" thickBot="1">
      <c r="A160" s="17" t="s">
        <v>252</v>
      </c>
      <c r="B160" s="15">
        <v>587</v>
      </c>
      <c r="C160" s="32">
        <v>-2.3294509200000001E-2</v>
      </c>
      <c r="D160" s="15">
        <v>589</v>
      </c>
      <c r="E160" s="32">
        <f t="shared" si="82"/>
        <v>3.4071550255536627E-3</v>
      </c>
      <c r="F160" s="18">
        <f>IF(ISNUMBER(D160), $B172 * E160, "")</f>
        <v>1022.1465076660988</v>
      </c>
      <c r="G160" s="31">
        <v>600</v>
      </c>
      <c r="H160" s="32">
        <f t="shared" si="83"/>
        <v>2.2146507666098807E-2</v>
      </c>
      <c r="I160" s="101">
        <f>IF(ISNUMBER(G160), $B172 * H160, "")</f>
        <v>6643.9522998296425</v>
      </c>
      <c r="J160" s="15">
        <v>596</v>
      </c>
      <c r="K160" s="32">
        <f t="shared" si="84"/>
        <v>1.5332197614991482E-2</v>
      </c>
      <c r="L160" s="18">
        <f>IF(ISNUMBER(J160), $B172 * K160, "")</f>
        <v>4599.6592844974448</v>
      </c>
      <c r="M160" s="31">
        <v>599</v>
      </c>
      <c r="N160" s="32">
        <f t="shared" si="85"/>
        <v>2.0442930153321975E-2</v>
      </c>
      <c r="O160" s="18">
        <f>IF(ISNUMBER(M160), $B172 * N160, "")</f>
        <v>6132.8790459965921</v>
      </c>
      <c r="Q160" s="33"/>
      <c r="R160" s="33"/>
    </row>
    <row r="161" spans="1:19" ht="17.25" thickBot="1">
      <c r="A161" s="23" t="s">
        <v>226</v>
      </c>
      <c r="B161" s="24">
        <v>543</v>
      </c>
      <c r="C161" s="25">
        <v>-2.3381295E-2</v>
      </c>
      <c r="D161" s="24">
        <v>558</v>
      </c>
      <c r="E161" s="25">
        <f t="shared" si="82"/>
        <v>2.7624309392265192E-2</v>
      </c>
      <c r="F161" s="104">
        <f>IF(ISNUMBER(D161), $B172 * E161, "")</f>
        <v>8287.2928176795576</v>
      </c>
      <c r="G161" s="102">
        <v>564</v>
      </c>
      <c r="H161" s="25">
        <f t="shared" si="83"/>
        <v>3.8674033149171269E-2</v>
      </c>
      <c r="I161" s="103">
        <f>IF(ISNUMBER(G161), $B172 * H161, "")</f>
        <v>11602.209944751381</v>
      </c>
      <c r="J161" s="24">
        <v>563</v>
      </c>
      <c r="K161" s="25">
        <f t="shared" si="84"/>
        <v>3.6832412523020261E-2</v>
      </c>
      <c r="L161" s="104">
        <f>IF(ISNUMBER(J161), $B172 * K161, "")</f>
        <v>11049.723756906078</v>
      </c>
      <c r="M161" s="102">
        <v>559</v>
      </c>
      <c r="N161" s="25">
        <f t="shared" si="85"/>
        <v>2.9465930018416207E-2</v>
      </c>
      <c r="O161" s="104">
        <f>IF(ISNUMBER(M161), $B172 * N161, "")</f>
        <v>8839.7790055248624</v>
      </c>
      <c r="Q161" s="175"/>
      <c r="R161" s="176"/>
      <c r="S161" s="177"/>
    </row>
    <row r="162" spans="1:19">
      <c r="A162" s="12" t="s">
        <v>168</v>
      </c>
      <c r="B162" s="13">
        <v>207</v>
      </c>
      <c r="C162" s="14">
        <v>-2.3584905699999999E-2</v>
      </c>
      <c r="D162" s="13">
        <v>213</v>
      </c>
      <c r="E162" s="14">
        <f>IF(ISNUMBER(D162), (D162 - $B162) / $B162, "")</f>
        <v>2.8985507246376812E-2</v>
      </c>
      <c r="F162" s="16">
        <f>IF(ISNUMBER(D162), $B172 * E162, "")</f>
        <v>8695.652173913044</v>
      </c>
      <c r="G162" s="29">
        <v>218</v>
      </c>
      <c r="H162" s="14">
        <f>IF(ISNUMBER(G162), (G162 - $B162) / $B162, "")</f>
        <v>5.3140096618357488E-2</v>
      </c>
      <c r="I162" s="100">
        <f>IF(ISNUMBER(G162), $B172 * H162, "")</f>
        <v>15942.028985507246</v>
      </c>
      <c r="J162" s="13">
        <v>220</v>
      </c>
      <c r="K162" s="14">
        <f>IF(ISNUMBER(J162), (J162 - $B162) / $B162, "")</f>
        <v>6.280193236714976E-2</v>
      </c>
      <c r="L162" s="16">
        <f>IF(ISNUMBER(J162), $B172 * K162, "")</f>
        <v>18840.579710144928</v>
      </c>
      <c r="M162" s="29">
        <v>216</v>
      </c>
      <c r="N162" s="14">
        <f>IF(ISNUMBER(M162), (M162 - $B162) / $B162, "")</f>
        <v>4.3478260869565216E-2</v>
      </c>
      <c r="O162" s="16">
        <f>IF(ISNUMBER(M162), $B172 * N162, "")</f>
        <v>13043.478260869564</v>
      </c>
      <c r="Q162" s="178"/>
      <c r="R162" s="179"/>
      <c r="S162" s="180"/>
    </row>
    <row r="163" spans="1:19" ht="17.25" thickBot="1">
      <c r="A163" s="17" t="s">
        <v>296</v>
      </c>
      <c r="B163" s="15">
        <v>454</v>
      </c>
      <c r="C163" s="32">
        <v>-2.3655914E-2</v>
      </c>
      <c r="D163" s="15">
        <v>459</v>
      </c>
      <c r="E163" s="32">
        <f t="shared" ref="E163:E166" si="86">IF(ISNUMBER(D163), (D163 - $B163) / $B163, "")</f>
        <v>1.1013215859030838E-2</v>
      </c>
      <c r="F163" s="18">
        <f>IF(ISNUMBER(D163), $B172 * E163, "")</f>
        <v>3303.9647577092514</v>
      </c>
      <c r="G163" s="31">
        <v>471</v>
      </c>
      <c r="H163" s="32">
        <f t="shared" ref="H163:H166" si="87">IF(ISNUMBER(G163), (G163 - $B163) / $B163, "")</f>
        <v>3.7444933920704845E-2</v>
      </c>
      <c r="I163" s="101">
        <f>IF(ISNUMBER(G163), $B172 * H163, "")</f>
        <v>11233.480176211453</v>
      </c>
      <c r="J163" s="15">
        <v>464</v>
      </c>
      <c r="K163" s="32">
        <f t="shared" ref="K163:K166" si="88">IF(ISNUMBER(J163), (J163 - $B163) / $B163, "")</f>
        <v>2.2026431718061675E-2</v>
      </c>
      <c r="L163" s="18">
        <f>IF(ISNUMBER(J163), $B172 * K163, "")</f>
        <v>6607.9295154185029</v>
      </c>
      <c r="M163" s="31">
        <v>479</v>
      </c>
      <c r="N163" s="32">
        <f t="shared" ref="N163:N166" si="89">IF(ISNUMBER(M163), (M163 - $B163) / $B163, "")</f>
        <v>5.5066079295154183E-2</v>
      </c>
      <c r="O163" s="18">
        <f>IF(ISNUMBER(M163), $B172 * N163, "")</f>
        <v>16519.823788546255</v>
      </c>
      <c r="Q163" s="181"/>
      <c r="R163" s="182"/>
      <c r="S163" s="183"/>
    </row>
    <row r="164" spans="1:19" ht="17.25" thickBot="1">
      <c r="A164" s="17" t="s">
        <v>284</v>
      </c>
      <c r="B164" s="15">
        <v>469</v>
      </c>
      <c r="C164" s="32">
        <v>-2.69709544E-2</v>
      </c>
      <c r="D164" s="15">
        <v>472</v>
      </c>
      <c r="E164" s="32">
        <f t="shared" si="86"/>
        <v>6.3965884861407248E-3</v>
      </c>
      <c r="F164" s="18">
        <f>IF(ISNUMBER(D164), $B172 * E164, "")</f>
        <v>1918.9765458422175</v>
      </c>
      <c r="G164" s="31">
        <v>483</v>
      </c>
      <c r="H164" s="32">
        <f t="shared" si="87"/>
        <v>2.9850746268656716E-2</v>
      </c>
      <c r="I164" s="101">
        <f>IF(ISNUMBER(G164), $B172 * H164, "")</f>
        <v>8955.2238805970155</v>
      </c>
      <c r="J164" s="15">
        <v>488</v>
      </c>
      <c r="K164" s="32">
        <f t="shared" si="88"/>
        <v>4.0511727078891259E-2</v>
      </c>
      <c r="L164" s="18">
        <f>IF(ISNUMBER(J164), $B172 * K164, "")</f>
        <v>12153.518123667378</v>
      </c>
      <c r="M164" s="31">
        <v>480</v>
      </c>
      <c r="N164" s="32">
        <f t="shared" si="89"/>
        <v>2.3454157782515993E-2</v>
      </c>
      <c r="O164" s="18">
        <f>IF(ISNUMBER(M164), $B172 * N164, "")</f>
        <v>7036.2473347547975</v>
      </c>
      <c r="Q164" s="174"/>
      <c r="R164" s="174"/>
      <c r="S164" s="174"/>
    </row>
    <row r="165" spans="1:19" ht="17.25" thickBot="1">
      <c r="A165" s="17" t="s">
        <v>148</v>
      </c>
      <c r="B165" s="15">
        <v>207</v>
      </c>
      <c r="C165" s="32">
        <v>-2.8169014100000001E-2</v>
      </c>
      <c r="D165" s="15">
        <v>212</v>
      </c>
      <c r="E165" s="32">
        <f t="shared" si="86"/>
        <v>2.4154589371980676E-2</v>
      </c>
      <c r="F165" s="18">
        <f>IF(ISNUMBER(D165), $B172 * E165, "")</f>
        <v>7246.376811594203</v>
      </c>
      <c r="G165" s="31">
        <v>214</v>
      </c>
      <c r="H165" s="32">
        <f t="shared" si="87"/>
        <v>3.3816425120772944E-2</v>
      </c>
      <c r="I165" s="101">
        <f>IF(ISNUMBER(G165), $B172 * H165, "")</f>
        <v>10144.927536231884</v>
      </c>
      <c r="J165" s="15">
        <v>212</v>
      </c>
      <c r="K165" s="32">
        <f t="shared" si="88"/>
        <v>2.4154589371980676E-2</v>
      </c>
      <c r="L165" s="18">
        <f>IF(ISNUMBER(J165), $B172 * K165, "")</f>
        <v>7246.376811594203</v>
      </c>
      <c r="M165" s="31">
        <v>215</v>
      </c>
      <c r="N165" s="32">
        <f t="shared" si="89"/>
        <v>3.864734299516908E-2</v>
      </c>
      <c r="O165" s="18">
        <f>IF(ISNUMBER(M165), $B172 * N165, "")</f>
        <v>11594.202898550724</v>
      </c>
      <c r="Q165" s="184"/>
      <c r="R165" s="184"/>
      <c r="S165" s="184"/>
    </row>
    <row r="166" spans="1:19" ht="17.25" thickBot="1">
      <c r="A166" s="19" t="s">
        <v>260</v>
      </c>
      <c r="B166" s="20">
        <v>136</v>
      </c>
      <c r="C166" s="21">
        <v>-2.85714286E-2</v>
      </c>
      <c r="D166" s="20">
        <v>140</v>
      </c>
      <c r="E166" s="21">
        <f t="shared" si="86"/>
        <v>2.9411764705882353E-2</v>
      </c>
      <c r="F166" s="22">
        <f>IF(ISNUMBER(D166), $B172 * E166, "")</f>
        <v>8823.5294117647063</v>
      </c>
      <c r="G166" s="30">
        <v>140</v>
      </c>
      <c r="H166" s="21">
        <f t="shared" si="87"/>
        <v>2.9411764705882353E-2</v>
      </c>
      <c r="I166" s="105">
        <f>IF(ISNUMBER(G166), $B172 * H166, "")</f>
        <v>8823.5294117647063</v>
      </c>
      <c r="J166" s="20">
        <v>141</v>
      </c>
      <c r="K166" s="21">
        <f t="shared" si="88"/>
        <v>3.6764705882352942E-2</v>
      </c>
      <c r="L166" s="22">
        <f>IF(ISNUMBER(J166), $B172 * K166, "")</f>
        <v>11029.411764705883</v>
      </c>
      <c r="M166" s="30">
        <v>140</v>
      </c>
      <c r="N166" s="21">
        <f t="shared" si="89"/>
        <v>2.9411764705882353E-2</v>
      </c>
      <c r="O166" s="22">
        <f>IF(ISNUMBER(M166), $B172 * N166, "")</f>
        <v>8823.5294117647063</v>
      </c>
      <c r="Q166" s="184"/>
      <c r="R166" s="184"/>
      <c r="S166" s="184"/>
    </row>
    <row r="167" spans="1:19" ht="17.25" thickBot="1">
      <c r="A167" s="17" t="s">
        <v>246</v>
      </c>
      <c r="B167" s="106">
        <v>439</v>
      </c>
      <c r="C167" s="107">
        <v>-2.8761061899999999E-2</v>
      </c>
      <c r="D167" s="106">
        <v>441</v>
      </c>
      <c r="E167" s="107">
        <f>IF(ISNUMBER(D167), (D167 - $B167) / $B167, "")</f>
        <v>4.5558086560364463E-3</v>
      </c>
      <c r="F167" s="108">
        <f>IF(ISNUMBER(D167), $B172 * E167, "")</f>
        <v>1366.7425968109339</v>
      </c>
      <c r="G167" s="109">
        <v>445</v>
      </c>
      <c r="H167" s="107">
        <f>IF(ISNUMBER(G167), (G167 - $B167) / $B167, "")</f>
        <v>1.366742596810934E-2</v>
      </c>
      <c r="I167" s="110">
        <f>IF(ISNUMBER(G167), $B172 * H167, "")</f>
        <v>4100.2277904328021</v>
      </c>
      <c r="J167" s="106">
        <v>448</v>
      </c>
      <c r="K167" s="107">
        <f>IF(ISNUMBER(J167), (J167 - $B167) / $B167, "")</f>
        <v>2.0501138952164009E-2</v>
      </c>
      <c r="L167" s="108">
        <f>IF(ISNUMBER(J167), $B172 * K167, "")</f>
        <v>6150.3416856492031</v>
      </c>
      <c r="M167" s="109">
        <v>443</v>
      </c>
      <c r="N167" s="107">
        <f>IF(ISNUMBER(M167), (M167 - $B167) / $B167, "")</f>
        <v>9.1116173120728925E-3</v>
      </c>
      <c r="O167" s="108">
        <f>IF(ISNUMBER(M167), $B172 * N167, "")</f>
        <v>2733.4851936218679</v>
      </c>
      <c r="Q167" s="174"/>
      <c r="R167" s="174"/>
      <c r="S167" s="174"/>
    </row>
    <row r="168" spans="1:19" ht="17.25" thickBot="1">
      <c r="A168" s="17" t="s">
        <v>256</v>
      </c>
      <c r="B168" s="15">
        <v>267</v>
      </c>
      <c r="C168" s="32">
        <v>-2.9090909099999999E-2</v>
      </c>
      <c r="D168" s="15">
        <v>277</v>
      </c>
      <c r="E168" s="32">
        <f t="shared" ref="E168:E171" si="90">IF(ISNUMBER(D168), (D168 - $B168) / $B168, "")</f>
        <v>3.7453183520599252E-2</v>
      </c>
      <c r="F168" s="18">
        <f>IF(ISNUMBER(D168), $B172 * E168, "")</f>
        <v>11235.955056179775</v>
      </c>
      <c r="G168" s="31">
        <v>283</v>
      </c>
      <c r="H168" s="32">
        <f t="shared" ref="H168:H171" si="91">IF(ISNUMBER(G168), (G168 - $B168) / $B168, "")</f>
        <v>5.9925093632958802E-2</v>
      </c>
      <c r="I168" s="101">
        <f>IF(ISNUMBER(G168), $B172 * H168, "")</f>
        <v>17977.528089887641</v>
      </c>
      <c r="J168" s="15">
        <v>280</v>
      </c>
      <c r="K168" s="32">
        <f t="shared" ref="K168:K171" si="92">IF(ISNUMBER(J168), (J168 - $B168) / $B168, "")</f>
        <v>4.8689138576779027E-2</v>
      </c>
      <c r="L168" s="18">
        <f>IF(ISNUMBER(J168), $B172 * K168, "")</f>
        <v>14606.741573033709</v>
      </c>
      <c r="M168" s="31">
        <v>282</v>
      </c>
      <c r="N168" s="32">
        <f t="shared" ref="N168:N171" si="93">IF(ISNUMBER(M168), (M168 - $B168) / $B168, "")</f>
        <v>5.6179775280898875E-2</v>
      </c>
      <c r="O168" s="18">
        <f>IF(ISNUMBER(M168), $B172 * N168, "")</f>
        <v>16853.932584269663</v>
      </c>
      <c r="Q168" s="174"/>
      <c r="R168" s="174"/>
      <c r="S168" s="174"/>
    </row>
    <row r="169" spans="1:19" ht="17.25" thickBot="1">
      <c r="A169" s="17" t="s">
        <v>232</v>
      </c>
      <c r="B169" s="15">
        <v>196</v>
      </c>
      <c r="C169" s="32">
        <v>-2.9702970299999999E-2</v>
      </c>
      <c r="D169" s="15">
        <v>197</v>
      </c>
      <c r="E169" s="32">
        <f t="shared" si="90"/>
        <v>5.1020408163265302E-3</v>
      </c>
      <c r="F169" s="18">
        <f>IF(ISNUMBER(D169), $B172 * E169, "")</f>
        <v>1530.612244897959</v>
      </c>
      <c r="G169" s="31">
        <v>204</v>
      </c>
      <c r="H169" s="32">
        <f t="shared" si="91"/>
        <v>4.0816326530612242E-2</v>
      </c>
      <c r="I169" s="101">
        <f>IF(ISNUMBER(G169), $B172 * H169, "")</f>
        <v>12244.897959183672</v>
      </c>
      <c r="J169" s="15">
        <v>200</v>
      </c>
      <c r="K169" s="32">
        <f t="shared" si="92"/>
        <v>2.0408163265306121E-2</v>
      </c>
      <c r="L169" s="18">
        <f>IF(ISNUMBER(J169), $B172 * K169, "")</f>
        <v>6122.4489795918362</v>
      </c>
      <c r="M169" s="31">
        <v>198</v>
      </c>
      <c r="N169" s="32">
        <f t="shared" si="93"/>
        <v>1.020408163265306E-2</v>
      </c>
      <c r="O169" s="18">
        <f>IF(ISNUMBER(M169), $B172 * N169, "")</f>
        <v>3061.2244897959181</v>
      </c>
      <c r="Q169" s="174"/>
      <c r="R169" s="174"/>
      <c r="S169" s="174"/>
    </row>
    <row r="170" spans="1:19">
      <c r="A170" s="17" t="s">
        <v>250</v>
      </c>
      <c r="B170" s="15">
        <v>242</v>
      </c>
      <c r="C170" s="32">
        <v>-3.5856573699999998E-2</v>
      </c>
      <c r="D170" s="15">
        <v>241</v>
      </c>
      <c r="E170" s="32">
        <f t="shared" si="90"/>
        <v>-4.1322314049586778E-3</v>
      </c>
      <c r="F170" s="18">
        <f>IF(ISNUMBER(D170), $B172 * E170, "")</f>
        <v>-1239.6694214876034</v>
      </c>
      <c r="G170" s="31">
        <v>246</v>
      </c>
      <c r="H170" s="32">
        <f t="shared" si="91"/>
        <v>1.6528925619834711E-2</v>
      </c>
      <c r="I170" s="101">
        <f>IF(ISNUMBER(G170), $B172 * H170, "")</f>
        <v>4958.6776859504134</v>
      </c>
      <c r="J170" s="15">
        <v>245</v>
      </c>
      <c r="K170" s="32">
        <f t="shared" si="92"/>
        <v>1.2396694214876033E-2</v>
      </c>
      <c r="L170" s="18">
        <f>IF(ISNUMBER(J170), $B172 * K170, "")</f>
        <v>3719.0082644628101</v>
      </c>
      <c r="M170" s="31">
        <v>244</v>
      </c>
      <c r="N170" s="32">
        <f t="shared" si="93"/>
        <v>8.2644628099173556E-3</v>
      </c>
      <c r="O170" s="18">
        <f>IF(ISNUMBER(M170), $B172 * N170, "")</f>
        <v>2479.3388429752067</v>
      </c>
      <c r="Q170" s="163"/>
      <c r="R170" s="164"/>
      <c r="S170" s="165"/>
    </row>
    <row r="171" spans="1:19" ht="17.25" thickBot="1">
      <c r="A171" s="23" t="s">
        <v>258</v>
      </c>
      <c r="B171" s="24">
        <v>752</v>
      </c>
      <c r="C171" s="25">
        <v>-3.7131882200000001E-2</v>
      </c>
      <c r="D171" s="24">
        <v>752</v>
      </c>
      <c r="E171" s="25">
        <f t="shared" si="90"/>
        <v>0</v>
      </c>
      <c r="F171" s="104">
        <f>IF(ISNUMBER(D171), $B172 * E171, "")</f>
        <v>0</v>
      </c>
      <c r="G171" s="102">
        <v>761</v>
      </c>
      <c r="H171" s="25">
        <f t="shared" si="91"/>
        <v>1.1968085106382979E-2</v>
      </c>
      <c r="I171" s="103">
        <f>IF(ISNUMBER(G171), $B172 * H171, "")</f>
        <v>3590.4255319148938</v>
      </c>
      <c r="J171" s="24">
        <v>764</v>
      </c>
      <c r="K171" s="25">
        <f t="shared" si="92"/>
        <v>1.5957446808510637E-2</v>
      </c>
      <c r="L171" s="104">
        <f>IF(ISNUMBER(J171), $B172 * K171, "")</f>
        <v>4787.2340425531911</v>
      </c>
      <c r="M171" s="102">
        <v>780</v>
      </c>
      <c r="N171" s="25">
        <f t="shared" si="93"/>
        <v>3.7234042553191488E-2</v>
      </c>
      <c r="O171" s="104">
        <f>IF(ISNUMBER(M171), $B172 * N171, "")</f>
        <v>11170.212765957447</v>
      </c>
      <c r="Q171" s="166"/>
      <c r="R171" s="167"/>
      <c r="S171" s="168"/>
    </row>
    <row r="172" spans="1:19" ht="17.25" thickBot="1">
      <c r="A172" s="26" t="s">
        <v>301</v>
      </c>
      <c r="B172" s="172">
        <f>$B$37</f>
        <v>300000</v>
      </c>
      <c r="C172" s="173"/>
      <c r="D172" s="26" t="s">
        <v>302</v>
      </c>
      <c r="E172" s="27">
        <f>IF(COUNT(E152:E171), SUM(E152:E171) / COUNT(E152:E171), 0)</f>
        <v>2.1392677716165733E-2</v>
      </c>
      <c r="F172" s="28">
        <f>SUM(F152:F171)</f>
        <v>128356.06629699441</v>
      </c>
      <c r="G172" s="26" t="s">
        <v>302</v>
      </c>
      <c r="H172" s="27">
        <f>IF(COUNT(H152:H171), SUM(H152:H171) / COUNT(H152:H171), 0)</f>
        <v>4.010525843348102E-2</v>
      </c>
      <c r="I172" s="28">
        <f>SUM(I152:I171)</f>
        <v>240631.55060088605</v>
      </c>
      <c r="J172" s="26" t="s">
        <v>302</v>
      </c>
      <c r="K172" s="27">
        <f>IF(COUNT(K152:K171), SUM(K152:K171) / COUNT(K152:K171), 0)</f>
        <v>4.1370923549245493E-2</v>
      </c>
      <c r="L172" s="28">
        <f>SUM(L152:L171)</f>
        <v>248225.541295473</v>
      </c>
      <c r="M172" s="26" t="s">
        <v>302</v>
      </c>
      <c r="N172" s="27">
        <f>IF(COUNT(N152:N171), SUM(N152:N171) / COUNT(N152:N171), 0)</f>
        <v>3.7035115880215207E-2</v>
      </c>
      <c r="O172" s="28">
        <f>SUM(O152:O171)</f>
        <v>222210.69528129121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1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194" t="s">
        <v>55</v>
      </c>
      <c r="B177" s="196" t="str">
        <f>TEXT($G$1, "[$-ko-KR]yyyy-mm-dd(ddd) ") &amp; "오전 00:00"</f>
        <v>2021-05-03(월) 오전 00:00</v>
      </c>
      <c r="C177" s="197"/>
      <c r="D177" s="198" t="str">
        <f>TEXT($G$1, "[$-ko-KR]yyyy-mm-dd(ddd) ") &amp; "오후 14:00"</f>
        <v>2021-05-03(월) 오후 14:00</v>
      </c>
      <c r="E177" s="199"/>
      <c r="F177" s="200"/>
      <c r="G177" s="198" t="str">
        <f>TEXT($G$1, "[$-ko-KR]yyyy-mm-dd(ddd) ") &amp; "오후 19:00"</f>
        <v>2021-05-03(월) 오후 19:00</v>
      </c>
      <c r="H177" s="199"/>
      <c r="I177" s="200"/>
      <c r="J177" s="198" t="str">
        <f>TEXT($G$1, "[$-ko-KR]yyyy-mm-dd(ddd) ") &amp; "오후 21:00"</f>
        <v>2021-05-03(월) 오후 21:00</v>
      </c>
      <c r="K177" s="199"/>
      <c r="L177" s="200"/>
      <c r="M177" s="198" t="str">
        <f>TEXT($G$1+1, "[$-ko-KR]yyyy-mm-dd(ddd) ") &amp; "오전 00:00"</f>
        <v>2021-05-04(화) 오전 00:00</v>
      </c>
      <c r="N177" s="199"/>
      <c r="O177" s="200"/>
      <c r="Q177" s="184"/>
      <c r="R177" s="184"/>
      <c r="S177" s="184"/>
    </row>
    <row r="178" spans="1:19" ht="17.25" thickBot="1">
      <c r="A178" s="195"/>
      <c r="B178" s="2" t="s">
        <v>58</v>
      </c>
      <c r="C178" s="10" t="s">
        <v>59</v>
      </c>
      <c r="D178" s="2" t="s">
        <v>58</v>
      </c>
      <c r="E178" s="10" t="s">
        <v>299</v>
      </c>
      <c r="F178" s="11" t="s">
        <v>300</v>
      </c>
      <c r="G178" s="112" t="s">
        <v>58</v>
      </c>
      <c r="H178" s="113" t="s">
        <v>299</v>
      </c>
      <c r="I178" s="114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" t="s">
        <v>67</v>
      </c>
      <c r="B179" s="13">
        <v>9890</v>
      </c>
      <c r="C179" s="14">
        <v>-2.6574803099999999E-2</v>
      </c>
      <c r="D179" s="13">
        <v>9800</v>
      </c>
      <c r="E179" s="14">
        <f>IF(ISNUMBER(D179), (D179 - $B179) / $B179, "")</f>
        <v>-9.1001011122345803E-3</v>
      </c>
      <c r="F179" s="16">
        <f>IF(ISNUMBER(D179), $B199 * E179, "")</f>
        <v>-2730.0303336703741</v>
      </c>
      <c r="G179" s="29">
        <v>9955</v>
      </c>
      <c r="H179" s="14">
        <f>IF(ISNUMBER(G179), (G179 - $B179) / $B179, "")</f>
        <v>6.5722952477249748E-3</v>
      </c>
      <c r="I179" s="100">
        <f>IF(ISNUMBER(G179), $B199 * H179, "")</f>
        <v>1971.6885743174923</v>
      </c>
      <c r="J179" s="13">
        <v>9980</v>
      </c>
      <c r="K179" s="14">
        <f>IF(ISNUMBER(J179), (J179 - $B179) / $B179, "")</f>
        <v>9.1001011122345803E-3</v>
      </c>
      <c r="L179" s="16">
        <f>IF(ISNUMBER(J179), $B199 * K179, "")</f>
        <v>2730.0303336703741</v>
      </c>
      <c r="M179" s="29">
        <v>9965</v>
      </c>
      <c r="N179" s="14">
        <f>IF(ISNUMBER(M179), (M179 - $B179) / $B179, "")</f>
        <v>7.5834175935288167E-3</v>
      </c>
      <c r="O179" s="16">
        <f>IF(ISNUMBER(M179), $B199 * N179, "")</f>
        <v>2275.0252780586452</v>
      </c>
      <c r="Q179" s="184"/>
      <c r="R179" s="184"/>
      <c r="S179" s="184"/>
    </row>
    <row r="180" spans="1:19" ht="17.25" thickBot="1">
      <c r="A180" s="17" t="s">
        <v>284</v>
      </c>
      <c r="B180" s="15">
        <v>469</v>
      </c>
      <c r="C180" s="32">
        <v>-2.69709544E-2</v>
      </c>
      <c r="D180" s="15">
        <v>472</v>
      </c>
      <c r="E180" s="32">
        <f t="shared" ref="E180:E183" si="94">IF(ISNUMBER(D180), (D180 - $B180) / $B180, "")</f>
        <v>6.3965884861407248E-3</v>
      </c>
      <c r="F180" s="18">
        <f>IF(ISNUMBER(D180), $B199 * E180, "")</f>
        <v>1918.9765458422175</v>
      </c>
      <c r="G180" s="31">
        <v>483</v>
      </c>
      <c r="H180" s="32">
        <f t="shared" ref="H180:H183" si="95">IF(ISNUMBER(G180), (G180 - $B180) / $B180, "")</f>
        <v>2.9850746268656716E-2</v>
      </c>
      <c r="I180" s="101">
        <f>IF(ISNUMBER(G180), $B199 * H180, "")</f>
        <v>8955.2238805970155</v>
      </c>
      <c r="J180" s="15">
        <v>488</v>
      </c>
      <c r="K180" s="32">
        <f t="shared" ref="K180:K183" si="96">IF(ISNUMBER(J180), (J180 - $B180) / $B180, "")</f>
        <v>4.0511727078891259E-2</v>
      </c>
      <c r="L180" s="18">
        <f>IF(ISNUMBER(J180), $B199 * K180, "")</f>
        <v>12153.518123667378</v>
      </c>
      <c r="M180" s="31">
        <v>480</v>
      </c>
      <c r="N180" s="32">
        <f t="shared" ref="N180:N183" si="97">IF(ISNUMBER(M180), (M180 - $B180) / $B180, "")</f>
        <v>2.3454157782515993E-2</v>
      </c>
      <c r="O180" s="18">
        <f>IF(ISNUMBER(M180), $B199 * N180, "")</f>
        <v>7036.2473347547975</v>
      </c>
      <c r="Q180" s="184"/>
      <c r="R180" s="184"/>
      <c r="S180" s="184"/>
    </row>
    <row r="181" spans="1:19" ht="17.25" thickBot="1">
      <c r="A181" s="17" t="s">
        <v>94</v>
      </c>
      <c r="B181" s="15">
        <v>113550</v>
      </c>
      <c r="C181" s="32">
        <v>-2.6992287899999998E-2</v>
      </c>
      <c r="D181" s="15">
        <v>114900</v>
      </c>
      <c r="E181" s="32">
        <f t="shared" si="94"/>
        <v>1.1889035667107001E-2</v>
      </c>
      <c r="F181" s="18">
        <f>IF(ISNUMBER(D181), $B199 * E181, "")</f>
        <v>3566.7107001321001</v>
      </c>
      <c r="G181" s="31">
        <v>116300</v>
      </c>
      <c r="H181" s="32">
        <f t="shared" si="95"/>
        <v>2.4218405988551298E-2</v>
      </c>
      <c r="I181" s="101">
        <f>IF(ISNUMBER(G181), $B199 * H181, "")</f>
        <v>7265.5217965653892</v>
      </c>
      <c r="J181" s="15">
        <v>116900</v>
      </c>
      <c r="K181" s="32">
        <f t="shared" si="96"/>
        <v>2.9502421840598855E-2</v>
      </c>
      <c r="L181" s="18">
        <f>IF(ISNUMBER(J181), $B199 * K181, "")</f>
        <v>8850.7265521796562</v>
      </c>
      <c r="M181" s="31">
        <v>114900</v>
      </c>
      <c r="N181" s="32">
        <f t="shared" si="97"/>
        <v>1.1889035667107001E-2</v>
      </c>
      <c r="O181" s="18">
        <f>IF(ISNUMBER(M181), $B199 * N181, "")</f>
        <v>3566.7107001321001</v>
      </c>
      <c r="Q181" s="174"/>
      <c r="R181" s="174"/>
      <c r="S181" s="174"/>
    </row>
    <row r="182" spans="1:19" ht="17.25" thickBot="1">
      <c r="A182" s="17" t="s">
        <v>98</v>
      </c>
      <c r="B182" s="15">
        <v>6750</v>
      </c>
      <c r="C182" s="32">
        <v>-2.7377521599999999E-2</v>
      </c>
      <c r="D182" s="15">
        <v>6900</v>
      </c>
      <c r="E182" s="32">
        <f t="shared" si="94"/>
        <v>2.2222222222222223E-2</v>
      </c>
      <c r="F182" s="18">
        <f>IF(ISNUMBER(D182), $B199 * E182, "")</f>
        <v>6666.666666666667</v>
      </c>
      <c r="G182" s="31">
        <v>7075</v>
      </c>
      <c r="H182" s="32">
        <f t="shared" si="95"/>
        <v>4.8148148148148148E-2</v>
      </c>
      <c r="I182" s="101">
        <f>IF(ISNUMBER(G182), $B199 * H182, "")</f>
        <v>14444.444444444445</v>
      </c>
      <c r="J182" s="15">
        <v>7150</v>
      </c>
      <c r="K182" s="32">
        <f t="shared" si="96"/>
        <v>5.9259259259259262E-2</v>
      </c>
      <c r="L182" s="18">
        <f>IF(ISNUMBER(J182), $B199 * K182, "")</f>
        <v>17777.777777777777</v>
      </c>
      <c r="M182" s="31">
        <v>7010</v>
      </c>
      <c r="N182" s="32">
        <f t="shared" si="97"/>
        <v>3.8518518518518521E-2</v>
      </c>
      <c r="O182" s="18">
        <f>IF(ISNUMBER(M182), $B199 * N182, "")</f>
        <v>11555.555555555557</v>
      </c>
      <c r="Q182" s="174"/>
      <c r="R182" s="174"/>
      <c r="S182" s="174"/>
    </row>
    <row r="183" spans="1:19" ht="17.25" thickBot="1">
      <c r="A183" s="19" t="s">
        <v>82</v>
      </c>
      <c r="B183" s="20">
        <v>1575</v>
      </c>
      <c r="C183" s="21">
        <v>-2.77777778E-2</v>
      </c>
      <c r="D183" s="20">
        <v>1600</v>
      </c>
      <c r="E183" s="21">
        <f t="shared" si="94"/>
        <v>1.5873015873015872E-2</v>
      </c>
      <c r="F183" s="22">
        <f>IF(ISNUMBER(D183), $B199 * E183, "")</f>
        <v>4761.9047619047615</v>
      </c>
      <c r="G183" s="30">
        <v>1625</v>
      </c>
      <c r="H183" s="21">
        <f t="shared" si="95"/>
        <v>3.1746031746031744E-2</v>
      </c>
      <c r="I183" s="105">
        <f>IF(ISNUMBER(G183), $B199 * H183, "")</f>
        <v>9523.8095238095229</v>
      </c>
      <c r="J183" s="20">
        <v>1655</v>
      </c>
      <c r="K183" s="21">
        <f t="shared" si="96"/>
        <v>5.0793650793650794E-2</v>
      </c>
      <c r="L183" s="22">
        <f>IF(ISNUMBER(J183), $B199 * K183, "")</f>
        <v>15238.095238095239</v>
      </c>
      <c r="M183" s="30">
        <v>1645</v>
      </c>
      <c r="N183" s="21">
        <f t="shared" si="97"/>
        <v>4.4444444444444446E-2</v>
      </c>
      <c r="O183" s="22">
        <f>IF(ISNUMBER(M183), $B199 * N183, "")</f>
        <v>13333.333333333334</v>
      </c>
      <c r="Q183" s="174"/>
      <c r="R183" s="174"/>
      <c r="S183" s="174"/>
    </row>
    <row r="184" spans="1:19" ht="17.25" thickBot="1">
      <c r="A184" s="17" t="s">
        <v>148</v>
      </c>
      <c r="B184" s="106">
        <v>207</v>
      </c>
      <c r="C184" s="107">
        <v>-2.8169014100000001E-2</v>
      </c>
      <c r="D184" s="106">
        <v>212</v>
      </c>
      <c r="E184" s="107">
        <f>IF(ISNUMBER(D184), (D184 - $B184) / $B184, "")</f>
        <v>2.4154589371980676E-2</v>
      </c>
      <c r="F184" s="108">
        <f>IF(ISNUMBER(D184), $B199 * E184, "")</f>
        <v>7246.376811594203</v>
      </c>
      <c r="G184" s="109">
        <v>214</v>
      </c>
      <c r="H184" s="107">
        <f>IF(ISNUMBER(G184), (G184 - $B184) / $B184, "")</f>
        <v>3.3816425120772944E-2</v>
      </c>
      <c r="I184" s="110">
        <f>IF(ISNUMBER(G184), $B199 * H184, "")</f>
        <v>10144.927536231884</v>
      </c>
      <c r="J184" s="106">
        <v>212</v>
      </c>
      <c r="K184" s="107">
        <f>IF(ISNUMBER(J184), (J184 - $B184) / $B184, "")</f>
        <v>2.4154589371980676E-2</v>
      </c>
      <c r="L184" s="108">
        <f>IF(ISNUMBER(J184), $B199 * K184, "")</f>
        <v>7246.376811594203</v>
      </c>
      <c r="M184" s="109">
        <v>215</v>
      </c>
      <c r="N184" s="107">
        <f>IF(ISNUMBER(M184), (M184 - $B184) / $B184, "")</f>
        <v>3.864734299516908E-2</v>
      </c>
      <c r="O184" s="108">
        <f>IF(ISNUMBER(M184), $B199 * N184, "")</f>
        <v>11594.202898550724</v>
      </c>
      <c r="Q184" s="174"/>
      <c r="R184" s="174"/>
      <c r="S184" s="174"/>
    </row>
    <row r="185" spans="1:19" ht="17.25" thickBot="1">
      <c r="A185" s="17" t="s">
        <v>76</v>
      </c>
      <c r="B185" s="15">
        <v>47740</v>
      </c>
      <c r="C185" s="32">
        <v>-2.84900285E-2</v>
      </c>
      <c r="D185" s="15">
        <v>48660</v>
      </c>
      <c r="E185" s="32">
        <f t="shared" ref="E185:E188" si="98">IF(ISNUMBER(D185), (D185 - $B185) / $B185, "")</f>
        <v>1.9271051529116047E-2</v>
      </c>
      <c r="F185" s="18">
        <f>IF(ISNUMBER(D185), $B199 * E185, "")</f>
        <v>5781.3154587348145</v>
      </c>
      <c r="G185" s="31">
        <v>48380</v>
      </c>
      <c r="H185" s="32">
        <f t="shared" ref="H185:H188" si="99">IF(ISNUMBER(G185), (G185 - $B185) / $B185, "")</f>
        <v>1.3405948889819858E-2</v>
      </c>
      <c r="I185" s="101">
        <f>IF(ISNUMBER(G185), $B199 * H185, "")</f>
        <v>4021.7846669459573</v>
      </c>
      <c r="J185" s="15">
        <v>49200</v>
      </c>
      <c r="K185" s="32">
        <f t="shared" ref="K185:K188" si="100">IF(ISNUMBER(J185), (J185 - $B185) / $B185, "")</f>
        <v>3.0582320904901549E-2</v>
      </c>
      <c r="L185" s="18">
        <f>IF(ISNUMBER(J185), $B199 * K185, "")</f>
        <v>9174.6962714704641</v>
      </c>
      <c r="M185" s="31">
        <v>48440</v>
      </c>
      <c r="N185" s="32">
        <f t="shared" ref="N185:N188" si="101">IF(ISNUMBER(M185), (M185 - $B185) / $B185, "")</f>
        <v>1.466275659824047E-2</v>
      </c>
      <c r="O185" s="18">
        <f>IF(ISNUMBER(M185), $B199 * N185, "")</f>
        <v>4398.8269794721409</v>
      </c>
      <c r="Q185" s="174"/>
      <c r="R185" s="174"/>
      <c r="S185" s="174"/>
    </row>
    <row r="186" spans="1:19" ht="17.25" thickBot="1">
      <c r="A186" s="17" t="s">
        <v>260</v>
      </c>
      <c r="B186" s="15">
        <v>136</v>
      </c>
      <c r="C186" s="32">
        <v>-2.85714286E-2</v>
      </c>
      <c r="D186" s="15">
        <v>140</v>
      </c>
      <c r="E186" s="32">
        <f t="shared" si="98"/>
        <v>2.9411764705882353E-2</v>
      </c>
      <c r="F186" s="18">
        <f>IF(ISNUMBER(D186), $B199 * E186, "")</f>
        <v>8823.5294117647063</v>
      </c>
      <c r="G186" s="31">
        <v>140</v>
      </c>
      <c r="H186" s="32">
        <f t="shared" si="99"/>
        <v>2.9411764705882353E-2</v>
      </c>
      <c r="I186" s="101">
        <f>IF(ISNUMBER(G186), $B199 * H186, "")</f>
        <v>8823.5294117647063</v>
      </c>
      <c r="J186" s="15">
        <v>141</v>
      </c>
      <c r="K186" s="32">
        <f t="shared" si="100"/>
        <v>3.6764705882352942E-2</v>
      </c>
      <c r="L186" s="18">
        <f>IF(ISNUMBER(J186), $B199 * K186, "")</f>
        <v>11029.411764705883</v>
      </c>
      <c r="M186" s="31">
        <v>140</v>
      </c>
      <c r="N186" s="32">
        <f t="shared" si="101"/>
        <v>2.9411764705882353E-2</v>
      </c>
      <c r="O186" s="18">
        <f>IF(ISNUMBER(M186), $B199 * N186, "")</f>
        <v>8823.5294117647063</v>
      </c>
      <c r="Q186" s="174"/>
      <c r="R186" s="174"/>
      <c r="S186" s="174"/>
    </row>
    <row r="187" spans="1:19" ht="17.25" thickBot="1">
      <c r="A187" s="17" t="s">
        <v>246</v>
      </c>
      <c r="B187" s="15">
        <v>439</v>
      </c>
      <c r="C187" s="32">
        <v>-2.8761061899999999E-2</v>
      </c>
      <c r="D187" s="15">
        <v>441</v>
      </c>
      <c r="E187" s="32">
        <f t="shared" si="98"/>
        <v>4.5558086560364463E-3</v>
      </c>
      <c r="F187" s="18">
        <f>IF(ISNUMBER(D187), $B199 * E187, "")</f>
        <v>1366.7425968109339</v>
      </c>
      <c r="G187" s="31">
        <v>445</v>
      </c>
      <c r="H187" s="32">
        <f t="shared" si="99"/>
        <v>1.366742596810934E-2</v>
      </c>
      <c r="I187" s="101">
        <f>IF(ISNUMBER(G187), $B199 * H187, "")</f>
        <v>4100.2277904328021</v>
      </c>
      <c r="J187" s="15">
        <v>448</v>
      </c>
      <c r="K187" s="32">
        <f t="shared" si="100"/>
        <v>2.0501138952164009E-2</v>
      </c>
      <c r="L187" s="18">
        <f>IF(ISNUMBER(J187), $B199 * K187, "")</f>
        <v>6150.3416856492031</v>
      </c>
      <c r="M187" s="31">
        <v>443</v>
      </c>
      <c r="N187" s="32">
        <f t="shared" si="101"/>
        <v>9.1116173120728925E-3</v>
      </c>
      <c r="O187" s="18">
        <f>IF(ISNUMBER(M187), $B199 * N187, "")</f>
        <v>2733.4851936218679</v>
      </c>
      <c r="Q187" s="33"/>
      <c r="R187" s="33"/>
    </row>
    <row r="188" spans="1:19" ht="17.25" thickBot="1">
      <c r="A188" s="23" t="s">
        <v>256</v>
      </c>
      <c r="B188" s="24">
        <v>267</v>
      </c>
      <c r="C188" s="25">
        <v>-2.9090909099999999E-2</v>
      </c>
      <c r="D188" s="24">
        <v>277</v>
      </c>
      <c r="E188" s="25">
        <f t="shared" si="98"/>
        <v>3.7453183520599252E-2</v>
      </c>
      <c r="F188" s="104">
        <f>IF(ISNUMBER(D188), $B199 * E188, "")</f>
        <v>11235.955056179775</v>
      </c>
      <c r="G188" s="102">
        <v>283</v>
      </c>
      <c r="H188" s="25">
        <f t="shared" si="99"/>
        <v>5.9925093632958802E-2</v>
      </c>
      <c r="I188" s="103">
        <f>IF(ISNUMBER(G188), $B199 * H188, "")</f>
        <v>17977.528089887641</v>
      </c>
      <c r="J188" s="24">
        <v>280</v>
      </c>
      <c r="K188" s="25">
        <f t="shared" si="100"/>
        <v>4.8689138576779027E-2</v>
      </c>
      <c r="L188" s="104">
        <f>IF(ISNUMBER(J188), $B199 * K188, "")</f>
        <v>14606.741573033709</v>
      </c>
      <c r="M188" s="102">
        <v>282</v>
      </c>
      <c r="N188" s="25">
        <f t="shared" si="101"/>
        <v>5.6179775280898875E-2</v>
      </c>
      <c r="O188" s="104">
        <f>IF(ISNUMBER(M188), $B199 * N188, "")</f>
        <v>16853.932584269663</v>
      </c>
      <c r="Q188" s="175"/>
      <c r="R188" s="176"/>
      <c r="S188" s="177"/>
    </row>
    <row r="189" spans="1:19">
      <c r="A189" s="12" t="s">
        <v>232</v>
      </c>
      <c r="B189" s="13">
        <v>196</v>
      </c>
      <c r="C189" s="14">
        <v>-2.9702970299999999E-2</v>
      </c>
      <c r="D189" s="13">
        <v>197</v>
      </c>
      <c r="E189" s="14">
        <f>IF(ISNUMBER(D189), (D189 - $B189) / $B189, "")</f>
        <v>5.1020408163265302E-3</v>
      </c>
      <c r="F189" s="16">
        <f>IF(ISNUMBER(D189), $B199 * E189, "")</f>
        <v>1530.612244897959</v>
      </c>
      <c r="G189" s="29">
        <v>204</v>
      </c>
      <c r="H189" s="14">
        <f>IF(ISNUMBER(G189), (G189 - $B189) / $B189, "")</f>
        <v>4.0816326530612242E-2</v>
      </c>
      <c r="I189" s="100">
        <f>IF(ISNUMBER(G189), $B199 * H189, "")</f>
        <v>12244.897959183672</v>
      </c>
      <c r="J189" s="13">
        <v>200</v>
      </c>
      <c r="K189" s="14">
        <f>IF(ISNUMBER(J189), (J189 - $B189) / $B189, "")</f>
        <v>2.0408163265306121E-2</v>
      </c>
      <c r="L189" s="16">
        <f>IF(ISNUMBER(J189), $B199 * K189, "")</f>
        <v>6122.4489795918362</v>
      </c>
      <c r="M189" s="29">
        <v>198</v>
      </c>
      <c r="N189" s="14">
        <f>IF(ISNUMBER(M189), (M189 - $B189) / $B189, "")</f>
        <v>1.020408163265306E-2</v>
      </c>
      <c r="O189" s="16">
        <f>IF(ISNUMBER(M189), $B199 * N189, "")</f>
        <v>3061.2244897959181</v>
      </c>
      <c r="Q189" s="178"/>
      <c r="R189" s="179"/>
      <c r="S189" s="180"/>
    </row>
    <row r="190" spans="1:19" ht="17.25" thickBot="1">
      <c r="A190" s="17" t="s">
        <v>190</v>
      </c>
      <c r="B190" s="15">
        <v>77290</v>
      </c>
      <c r="C190" s="32">
        <v>-3.09679037E-2</v>
      </c>
      <c r="D190" s="15">
        <v>77020</v>
      </c>
      <c r="E190" s="32">
        <f t="shared" ref="E190:E193" si="102">IF(ISNUMBER(D190), (D190 - $B190) / $B190, "")</f>
        <v>-3.4933367835425022E-3</v>
      </c>
      <c r="F190" s="18">
        <f>IF(ISNUMBER(D190), $B199 * E190, "")</f>
        <v>-1048.0010350627506</v>
      </c>
      <c r="G190" s="31">
        <v>80560</v>
      </c>
      <c r="H190" s="32">
        <f t="shared" ref="H190:H193" si="103">IF(ISNUMBER(G190), (G190 - $B190) / $B190, "")</f>
        <v>4.230818993401475E-2</v>
      </c>
      <c r="I190" s="101">
        <f>IF(ISNUMBER(G190), $B199 * H190, "")</f>
        <v>12692.456980204424</v>
      </c>
      <c r="J190" s="15">
        <v>78430</v>
      </c>
      <c r="K190" s="32">
        <f t="shared" ref="K190:K193" si="104">IF(ISNUMBER(J190), (J190 - $B190) / $B190, "")</f>
        <v>1.4749644197179454E-2</v>
      </c>
      <c r="L190" s="18">
        <f>IF(ISNUMBER(J190), $B199 * K190, "")</f>
        <v>4424.893259153836</v>
      </c>
      <c r="M190" s="31">
        <v>79400</v>
      </c>
      <c r="N190" s="32">
        <f t="shared" ref="N190:N193" si="105">IF(ISNUMBER(M190), (M190 - $B190) / $B190, "")</f>
        <v>2.729978004916548E-2</v>
      </c>
      <c r="O190" s="18">
        <f>IF(ISNUMBER(M190), $B199 * N190, "")</f>
        <v>8189.9340147496441</v>
      </c>
      <c r="Q190" s="181"/>
      <c r="R190" s="182"/>
      <c r="S190" s="183"/>
    </row>
    <row r="191" spans="1:19" ht="17.25" thickBot="1">
      <c r="A191" s="17" t="s">
        <v>162</v>
      </c>
      <c r="B191" s="15">
        <v>2180</v>
      </c>
      <c r="C191" s="32">
        <v>-3.1111111100000002E-2</v>
      </c>
      <c r="D191" s="15">
        <v>2205</v>
      </c>
      <c r="E191" s="32">
        <f t="shared" si="102"/>
        <v>1.1467889908256881E-2</v>
      </c>
      <c r="F191" s="18">
        <f>IF(ISNUMBER(D191), $B199 * E191, "")</f>
        <v>3440.3669724770643</v>
      </c>
      <c r="G191" s="31">
        <v>2210</v>
      </c>
      <c r="H191" s="32">
        <f t="shared" si="103"/>
        <v>1.3761467889908258E-2</v>
      </c>
      <c r="I191" s="101">
        <f>IF(ISNUMBER(G191), $B199 * H191, "")</f>
        <v>4128.440366972477</v>
      </c>
      <c r="J191" s="15">
        <v>2220</v>
      </c>
      <c r="K191" s="32">
        <f t="shared" si="104"/>
        <v>1.834862385321101E-2</v>
      </c>
      <c r="L191" s="18">
        <f>IF(ISNUMBER(J191), $B199 * K191, "")</f>
        <v>5504.5871559633033</v>
      </c>
      <c r="M191" s="31">
        <v>2205</v>
      </c>
      <c r="N191" s="32">
        <f t="shared" si="105"/>
        <v>1.1467889908256881E-2</v>
      </c>
      <c r="O191" s="18">
        <f>IF(ISNUMBER(M191), $B199 * N191, "")</f>
        <v>3440.3669724770643</v>
      </c>
      <c r="Q191" s="174"/>
      <c r="R191" s="174"/>
      <c r="S191" s="174"/>
    </row>
    <row r="192" spans="1:19" ht="17.25" thickBot="1">
      <c r="A192" s="17" t="s">
        <v>65</v>
      </c>
      <c r="B192" s="15">
        <v>75.8</v>
      </c>
      <c r="C192" s="32">
        <v>-3.1928480199999998E-2</v>
      </c>
      <c r="D192" s="15">
        <v>78.900000000000006</v>
      </c>
      <c r="E192" s="32">
        <f t="shared" si="102"/>
        <v>4.0897097625329927E-2</v>
      </c>
      <c r="F192" s="18">
        <f>IF(ISNUMBER(D192), $B199 * E192, "")</f>
        <v>12269.129287598978</v>
      </c>
      <c r="G192" s="31">
        <v>79.2</v>
      </c>
      <c r="H192" s="32">
        <f t="shared" si="103"/>
        <v>4.4854881266490843E-2</v>
      </c>
      <c r="I192" s="101">
        <f>IF(ISNUMBER(G192), $B199 * H192, "")</f>
        <v>13456.464379947252</v>
      </c>
      <c r="J192" s="15">
        <v>80</v>
      </c>
      <c r="K192" s="32">
        <f t="shared" si="104"/>
        <v>5.5408970976253337E-2</v>
      </c>
      <c r="L192" s="18">
        <f>IF(ISNUMBER(J192), $B199 * K192, "")</f>
        <v>16622.691292875999</v>
      </c>
      <c r="M192" s="31">
        <v>80</v>
      </c>
      <c r="N192" s="32">
        <f t="shared" si="105"/>
        <v>5.5408970976253337E-2</v>
      </c>
      <c r="O192" s="18">
        <f>IF(ISNUMBER(M192), $B199 * N192, "")</f>
        <v>16622.691292875999</v>
      </c>
      <c r="Q192" s="184"/>
      <c r="R192" s="184"/>
      <c r="S192" s="184"/>
    </row>
    <row r="193" spans="1:19" ht="17.25" thickBot="1">
      <c r="A193" s="19" t="s">
        <v>184</v>
      </c>
      <c r="B193" s="20">
        <v>2610</v>
      </c>
      <c r="C193" s="21">
        <v>-3.5120147900000002E-2</v>
      </c>
      <c r="D193" s="20">
        <v>2625</v>
      </c>
      <c r="E193" s="21">
        <f t="shared" si="102"/>
        <v>5.7471264367816091E-3</v>
      </c>
      <c r="F193" s="22">
        <f>IF(ISNUMBER(D193), $B199 * E193, "")</f>
        <v>1724.1379310344828</v>
      </c>
      <c r="G193" s="30">
        <v>2650</v>
      </c>
      <c r="H193" s="21">
        <f t="shared" si="103"/>
        <v>1.532567049808429E-2</v>
      </c>
      <c r="I193" s="105">
        <f>IF(ISNUMBER(G193), $B199 * H193, "")</f>
        <v>4597.7011494252874</v>
      </c>
      <c r="J193" s="20">
        <v>2655</v>
      </c>
      <c r="K193" s="21">
        <f t="shared" si="104"/>
        <v>1.7241379310344827E-2</v>
      </c>
      <c r="L193" s="22">
        <f>IF(ISNUMBER(J193), $B199 * K193, "")</f>
        <v>5172.4137931034484</v>
      </c>
      <c r="M193" s="30">
        <v>2665</v>
      </c>
      <c r="N193" s="21">
        <f t="shared" si="105"/>
        <v>2.1072796934865901E-2</v>
      </c>
      <c r="O193" s="22">
        <f>IF(ISNUMBER(M193), $B199 * N193, "")</f>
        <v>6321.8390804597702</v>
      </c>
      <c r="Q193" s="184"/>
      <c r="R193" s="184"/>
      <c r="S193" s="184"/>
    </row>
    <row r="194" spans="1:19" ht="17.25" thickBot="1">
      <c r="A194" s="17" t="s">
        <v>250</v>
      </c>
      <c r="B194" s="106">
        <v>242</v>
      </c>
      <c r="C194" s="107">
        <v>-3.5856573699999998E-2</v>
      </c>
      <c r="D194" s="106">
        <v>241</v>
      </c>
      <c r="E194" s="107">
        <f>IF(ISNUMBER(D194), (D194 - $B194) / $B194, "")</f>
        <v>-4.1322314049586778E-3</v>
      </c>
      <c r="F194" s="108">
        <f>IF(ISNUMBER(D194), $B199 * E194, "")</f>
        <v>-1239.6694214876034</v>
      </c>
      <c r="G194" s="109">
        <v>246</v>
      </c>
      <c r="H194" s="107">
        <f>IF(ISNUMBER(G194), (G194 - $B194) / $B194, "")</f>
        <v>1.6528925619834711E-2</v>
      </c>
      <c r="I194" s="110">
        <f>IF(ISNUMBER(G194), $B199 * H194, "")</f>
        <v>4958.6776859504134</v>
      </c>
      <c r="J194" s="106">
        <v>245</v>
      </c>
      <c r="K194" s="107">
        <f>IF(ISNUMBER(J194), (J194 - $B194) / $B194, "")</f>
        <v>1.2396694214876033E-2</v>
      </c>
      <c r="L194" s="108">
        <f>IF(ISNUMBER(J194), $B199 * K194, "")</f>
        <v>3719.0082644628101</v>
      </c>
      <c r="M194" s="109">
        <v>244</v>
      </c>
      <c r="N194" s="107">
        <f>IF(ISNUMBER(M194), (M194 - $B194) / $B194, "")</f>
        <v>8.2644628099173556E-3</v>
      </c>
      <c r="O194" s="108">
        <f>IF(ISNUMBER(M194), $B199 * N194, "")</f>
        <v>2479.3388429752067</v>
      </c>
      <c r="Q194" s="174"/>
      <c r="R194" s="174"/>
      <c r="S194" s="174"/>
    </row>
    <row r="195" spans="1:19" ht="17.25" thickBot="1">
      <c r="A195" s="17" t="s">
        <v>204</v>
      </c>
      <c r="B195" s="15">
        <v>9985</v>
      </c>
      <c r="C195" s="32">
        <v>-3.6196911200000001E-2</v>
      </c>
      <c r="D195" s="15">
        <v>9865</v>
      </c>
      <c r="E195" s="32">
        <f t="shared" ref="E195:E198" si="106">IF(ISNUMBER(D195), (D195 - $B195) / $B195, "")</f>
        <v>-1.2018027040560842E-2</v>
      </c>
      <c r="F195" s="18">
        <f>IF(ISNUMBER(D195), $B199 * E195, "")</f>
        <v>-3605.4081121682525</v>
      </c>
      <c r="G195" s="31">
        <v>9995</v>
      </c>
      <c r="H195" s="32">
        <f t="shared" ref="H195:H198" si="107">IF(ISNUMBER(G195), (G195 - $B195) / $B195, "")</f>
        <v>1.00150225338007E-3</v>
      </c>
      <c r="I195" s="101">
        <f>IF(ISNUMBER(G195), $B199 * H195, "")</f>
        <v>300.45067601402098</v>
      </c>
      <c r="J195" s="15">
        <v>10000</v>
      </c>
      <c r="K195" s="32">
        <f t="shared" ref="K195:K198" si="108">IF(ISNUMBER(J195), (J195 - $B195) / $B195, "")</f>
        <v>1.5022533800701052E-3</v>
      </c>
      <c r="L195" s="18">
        <f>IF(ISNUMBER(J195), $B199 * K195, "")</f>
        <v>450.67601402103156</v>
      </c>
      <c r="M195" s="31">
        <v>9915</v>
      </c>
      <c r="N195" s="32">
        <f t="shared" ref="N195:N198" si="109">IF(ISNUMBER(M195), (M195 - $B195) / $B195, "")</f>
        <v>-7.0105157736604909E-3</v>
      </c>
      <c r="O195" s="18">
        <f>IF(ISNUMBER(M195), $B199 * N195, "")</f>
        <v>-2103.1547320981472</v>
      </c>
      <c r="Q195" s="174"/>
      <c r="R195" s="174"/>
      <c r="S195" s="174"/>
    </row>
    <row r="196" spans="1:19" ht="17.25" thickBot="1">
      <c r="A196" s="17" t="s">
        <v>258</v>
      </c>
      <c r="B196" s="15">
        <v>752</v>
      </c>
      <c r="C196" s="32">
        <v>-3.7131882200000001E-2</v>
      </c>
      <c r="D196" s="15">
        <v>752</v>
      </c>
      <c r="E196" s="32">
        <f t="shared" si="106"/>
        <v>0</v>
      </c>
      <c r="F196" s="18">
        <f>IF(ISNUMBER(D196), $B199 * E196, "")</f>
        <v>0</v>
      </c>
      <c r="G196" s="31">
        <v>761</v>
      </c>
      <c r="H196" s="32">
        <f t="shared" si="107"/>
        <v>1.1968085106382979E-2</v>
      </c>
      <c r="I196" s="101">
        <f>IF(ISNUMBER(G196), $B199 * H196, "")</f>
        <v>3590.4255319148938</v>
      </c>
      <c r="J196" s="15">
        <v>764</v>
      </c>
      <c r="K196" s="32">
        <f t="shared" si="108"/>
        <v>1.5957446808510637E-2</v>
      </c>
      <c r="L196" s="18">
        <f>IF(ISNUMBER(J196), $B199 * K196, "")</f>
        <v>4787.2340425531911</v>
      </c>
      <c r="M196" s="31">
        <v>780</v>
      </c>
      <c r="N196" s="32">
        <f t="shared" si="109"/>
        <v>3.7234042553191488E-2</v>
      </c>
      <c r="O196" s="18">
        <f>IF(ISNUMBER(M196), $B199 * N196, "")</f>
        <v>11170.212765957447</v>
      </c>
      <c r="Q196" s="174"/>
      <c r="R196" s="174"/>
      <c r="S196" s="174"/>
    </row>
    <row r="197" spans="1:19">
      <c r="A197" s="17" t="s">
        <v>126</v>
      </c>
      <c r="B197" s="15">
        <v>68.7</v>
      </c>
      <c r="C197" s="32">
        <v>-3.7815126099999999E-2</v>
      </c>
      <c r="D197" s="15">
        <v>69.2</v>
      </c>
      <c r="E197" s="32">
        <f t="shared" si="106"/>
        <v>7.2780203784570596E-3</v>
      </c>
      <c r="F197" s="18">
        <f>IF(ISNUMBER(D197), $B199 * E197, "")</f>
        <v>2183.406113537118</v>
      </c>
      <c r="G197" s="31">
        <v>69.400000000000006</v>
      </c>
      <c r="H197" s="32">
        <f t="shared" si="107"/>
        <v>1.0189228529839925E-2</v>
      </c>
      <c r="I197" s="101">
        <f>IF(ISNUMBER(G197), $B199 * H197, "")</f>
        <v>3056.7685589519774</v>
      </c>
      <c r="J197" s="15">
        <v>69.7</v>
      </c>
      <c r="K197" s="32">
        <f t="shared" si="108"/>
        <v>1.4556040756914119E-2</v>
      </c>
      <c r="L197" s="18">
        <f>IF(ISNUMBER(J197), $B199 * K197, "")</f>
        <v>4366.812227074236</v>
      </c>
      <c r="M197" s="31">
        <v>68.7</v>
      </c>
      <c r="N197" s="32">
        <f t="shared" si="109"/>
        <v>0</v>
      </c>
      <c r="O197" s="18">
        <f>IF(ISNUMBER(M197), $B199 * N197, "")</f>
        <v>0</v>
      </c>
      <c r="Q197" s="163"/>
      <c r="R197" s="164"/>
      <c r="S197" s="165"/>
    </row>
    <row r="198" spans="1:19" ht="17.25" thickBot="1">
      <c r="A198" s="23" t="s">
        <v>92</v>
      </c>
      <c r="B198" s="24">
        <v>1885</v>
      </c>
      <c r="C198" s="25">
        <v>-4.0712468199999997E-2</v>
      </c>
      <c r="D198" s="24">
        <v>1935</v>
      </c>
      <c r="E198" s="25">
        <f t="shared" si="106"/>
        <v>2.6525198938992044E-2</v>
      </c>
      <c r="F198" s="104">
        <f>IF(ISNUMBER(D198), $B199 * E198, "")</f>
        <v>7957.5596816976131</v>
      </c>
      <c r="G198" s="102">
        <v>1915</v>
      </c>
      <c r="H198" s="25">
        <f t="shared" si="107"/>
        <v>1.5915119363395226E-2</v>
      </c>
      <c r="I198" s="103">
        <f>IF(ISNUMBER(G198), $B199 * H198, "")</f>
        <v>4774.5358090185673</v>
      </c>
      <c r="J198" s="24">
        <v>1925</v>
      </c>
      <c r="K198" s="25">
        <f t="shared" si="108"/>
        <v>2.1220159151193633E-2</v>
      </c>
      <c r="L198" s="104">
        <f>IF(ISNUMBER(J198), $B199 * K198, "")</f>
        <v>6366.0477453580897</v>
      </c>
      <c r="M198" s="102">
        <v>1880</v>
      </c>
      <c r="N198" s="25">
        <f t="shared" si="109"/>
        <v>-2.6525198938992041E-3</v>
      </c>
      <c r="O198" s="104">
        <f>IF(ISNUMBER(M198), $B199 * N198, "")</f>
        <v>-795.75596816976122</v>
      </c>
      <c r="Q198" s="166"/>
      <c r="R198" s="167"/>
      <c r="S198" s="168"/>
    </row>
    <row r="199" spans="1:19" ht="17.25" thickBot="1">
      <c r="A199" s="26" t="s">
        <v>301</v>
      </c>
      <c r="B199" s="172">
        <f>$B$37</f>
        <v>300000</v>
      </c>
      <c r="C199" s="173"/>
      <c r="D199" s="26" t="s">
        <v>302</v>
      </c>
      <c r="E199" s="27">
        <f>IF(COUNT(E179:E198), SUM(E179:E198) / COUNT(E179:E198), 0)</f>
        <v>1.1975046889747402E-2</v>
      </c>
      <c r="F199" s="28">
        <f>SUM(F179:F198)</f>
        <v>71850.281338484405</v>
      </c>
      <c r="G199" s="26" t="s">
        <v>302</v>
      </c>
      <c r="H199" s="27">
        <f>IF(COUNT(H179:H198), SUM(H179:H198) / COUNT(H179:H198), 0)</f>
        <v>2.5171584135429977E-2</v>
      </c>
      <c r="I199" s="28">
        <f>SUM(I179:I198)</f>
        <v>151029.50481257981</v>
      </c>
      <c r="J199" s="26" t="s">
        <v>302</v>
      </c>
      <c r="K199" s="27">
        <f>IF(COUNT(K179:K198), SUM(K179:K198) / COUNT(K179:K198), 0)</f>
        <v>2.7082421484333614E-2</v>
      </c>
      <c r="L199" s="28">
        <f>SUM(L179:L198)</f>
        <v>162494.52890600168</v>
      </c>
      <c r="M199" s="26" t="s">
        <v>302</v>
      </c>
      <c r="N199" s="27">
        <f>IF(COUNT(N179:N198), SUM(N179:N198) / COUNT(N179:N198), 0)</f>
        <v>2.1759591004756114E-2</v>
      </c>
      <c r="O199" s="28">
        <f>SUM(O179:O198)</f>
        <v>130557.54602853667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1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6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0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5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0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5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091BF-1577-4AAF-B199-74F4052C30B7}">
  <sheetPr codeName="Sheet10"/>
  <dimension ref="A1:S199"/>
  <sheetViews>
    <sheetView topLeftCell="A111" zoomScaleNormal="100" workbookViewId="0">
      <selection activeCell="A13" sqref="A13:O3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12.25" style="123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5.2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5.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44320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57,220 KRW (0.95%)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-346,278 KRW (-6.79%)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-178,328 KRW (-2.97%)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-403,590 KRW (-6.73%)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-101,514 KRW (-6.77%)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16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2021-05-04(화) 오전 00:00</v>
      </c>
      <c r="C15" s="224"/>
      <c r="D15" s="198" t="str">
        <f>TEXT($G$1, "[$-ko-KR]yyyy-mm-dd(ddd) ") &amp; "오후 14:00"</f>
        <v>2021-05-04(화) 오후 14:00</v>
      </c>
      <c r="E15" s="199"/>
      <c r="F15" s="200"/>
      <c r="G15" s="198" t="str">
        <f>TEXT($G$1, "[$-ko-KR]yyyy-mm-dd(ddd) ") &amp; "오후 19:00"</f>
        <v>2021-05-04(화) 오후 19:00</v>
      </c>
      <c r="H15" s="199"/>
      <c r="I15" s="200"/>
      <c r="J15" s="198" t="str">
        <f>TEXT($G$1, "[$-ko-KR]yyyy-mm-dd(ddd) ") &amp; "오후 21:00"</f>
        <v>2021-05-04(화) 오후 21:00</v>
      </c>
      <c r="K15" s="199"/>
      <c r="L15" s="200"/>
      <c r="M15" s="198" t="str">
        <f>TEXT($G$1+1, "[$-ko-KR]yyyy-mm-dd(ddd) ") &amp; "오전 00:00"</f>
        <v>2021-05-05(수)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17" t="s">
        <v>37</v>
      </c>
      <c r="H16" s="118" t="s">
        <v>40</v>
      </c>
      <c r="I16" s="119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 t="s">
        <v>303</v>
      </c>
      <c r="B17" s="127">
        <f>IF(NOT(ISBLANK(_xlfn.IFNA(VLOOKUP($A17, $A$40:$O$199, 2, FALSE), ))), _xlfn.IFNA(VLOOKUP($A17, $A$40:$O$199, 2, FALSE), ), "")</f>
        <v>162</v>
      </c>
      <c r="C17" s="76">
        <f>IF(NOT(ISBLANK(_xlfn.IFNA(VLOOKUP($A17, $A$40:$O$199, 3, FALSE), ))), _xlfn.IFNA(VLOOKUP($A17, $A$40:$O$199, 3, FALSE), ), "")</f>
        <v>6.2111800999999998E-3</v>
      </c>
      <c r="D17" s="13">
        <f>IF(NOT(ISBLANK(_xlfn.IFNA(VLOOKUP($A17, $A$40:$O$199, 4, FALSE), ))), _xlfn.IFNA(VLOOKUP($A17, $A$40:$O$199, 4, FALSE), ), "")</f>
        <v>158</v>
      </c>
      <c r="E17" s="14">
        <f>IF(NOT(ISBLANK(_xlfn.IFNA(VLOOKUP($A17, $A$40:$O$199, 5, FALSE), ))), _xlfn.IFNA(VLOOKUP($A17, $A$40:$O$199, 5, FALSE), ), "")</f>
        <v>-2.4691358024691357E-2</v>
      </c>
      <c r="F17" s="16">
        <f>IF(NOT(ISBLANK(_xlfn.IFNA(VLOOKUP($A17, $A$40:$O$199, 6, FALSE), ))), _xlfn.IFNA(VLOOKUP($A17, $A$40:$O$199, 6, FALSE), ), "")</f>
        <v>-7407.4074074074069</v>
      </c>
      <c r="G17" s="29">
        <f>IF(NOT(ISBLANK(_xlfn.IFNA(VLOOKUP($A17, $A$40:$O$199, 7, FALSE), ))), _xlfn.IFNA(VLOOKUP($A17, $A$40:$O$199, 7, FALSE), ), "")</f>
        <v>158</v>
      </c>
      <c r="H17" s="14">
        <f>IF(NOT(ISBLANK(_xlfn.IFNA(VLOOKUP($A17, $A$40:$O$199, 8, FALSE), ))), _xlfn.IFNA(VLOOKUP($A17, $A$40:$O$199, 8, FALSE), ), "")</f>
        <v>-2.4691358024691357E-2</v>
      </c>
      <c r="I17" s="100">
        <f>IF(NOT(ISBLANK(_xlfn.IFNA(VLOOKUP($A17, $A$40:$O$199, 9, FALSE), ))), _xlfn.IFNA(VLOOKUP($A17, $A$40:$O$199, 9, FALSE), ), "")</f>
        <v>-7407.4074074074069</v>
      </c>
      <c r="J17" s="13">
        <f>IF(NOT(ISBLANK(_xlfn.IFNA(VLOOKUP($A17, $A$40:$O$199, 10, FALSE), ))), _xlfn.IFNA(VLOOKUP($A17, $A$40:$O$199, 10, FALSE), ), "")</f>
        <v>157</v>
      </c>
      <c r="K17" s="14">
        <f>IF(NOT(ISBLANK(_xlfn.IFNA(VLOOKUP($A17, $A$40:$O$199, 11, FALSE), ))), _xlfn.IFNA(VLOOKUP($A17, $A$40:$O$199, 11, FALSE), ), "")</f>
        <v>-3.0864197530864196E-2</v>
      </c>
      <c r="L17" s="16">
        <f>IF(NOT(ISBLANK(_xlfn.IFNA(VLOOKUP($A17, $A$40:$O$199, 12, FALSE), ))), _xlfn.IFNA(VLOOKUP($A17, $A$40:$O$199, 12, FALSE), ), "")</f>
        <v>-9259.2592592592591</v>
      </c>
      <c r="M17" s="29">
        <f>IF(NOT(ISBLANK(_xlfn.IFNA(VLOOKUP($A17, $A$40:$O$199, 13, FALSE), ))), _xlfn.IFNA(VLOOKUP($A17, $A$40:$O$199, 13, FALSE), ), "")</f>
        <v>153</v>
      </c>
      <c r="N17" s="14">
        <f>IF(NOT(ISBLANK(_xlfn.IFNA(VLOOKUP($A17, $A$40:$O$199, 14, FALSE), ))), _xlfn.IFNA(VLOOKUP($A17, $A$40:$O$199, 14, FALSE), ), "")</f>
        <v>-5.5555555555555552E-2</v>
      </c>
      <c r="O17" s="16">
        <f>IF(NOT(ISBLANK(_xlfn.IFNA(VLOOKUP($A17, $A$40:$O$199, 15, FALSE), ))), _xlfn.IFNA(VLOOKUP($A17, $A$40:$O$199, 15, FALSE), ), "")</f>
        <v>-16666.666666666664</v>
      </c>
      <c r="Q17" s="184"/>
      <c r="R17" s="184"/>
      <c r="S17" s="184"/>
    </row>
    <row r="18" spans="1:19" ht="17.25" customHeight="1" thickBot="1">
      <c r="A18" s="128" t="s">
        <v>304</v>
      </c>
      <c r="B18" s="129">
        <f t="shared" ref="B18:B36" si="0">IF(NOT(ISBLANK(_xlfn.IFNA(VLOOKUP($A18, $A$40:$O$199, 2, FALSE), ))), _xlfn.IFNA(VLOOKUP($A18, $A$40:$O$199, 2, FALSE), ), "")</f>
        <v>492</v>
      </c>
      <c r="C18" s="77">
        <f t="shared" ref="C18:C36" si="1">IF(NOT(ISBLANK(_xlfn.IFNA(VLOOKUP($A18, $A$40:$O$199, 3, FALSE), ))), _xlfn.IFNA(VLOOKUP($A18, $A$40:$O$199, 3, FALSE), ), "")</f>
        <v>6.1349693000000002E-3</v>
      </c>
      <c r="D18" s="15">
        <f t="shared" ref="D18:D36" si="2">IF(NOT(ISBLANK(_xlfn.IFNA(VLOOKUP($A18, $A$40:$O$199, 4, FALSE), ))), _xlfn.IFNA(VLOOKUP($A18, $A$40:$O$199, 4, FALSE), ), "")</f>
        <v>473</v>
      </c>
      <c r="E18" s="32">
        <f t="shared" ref="E18:E36" si="3">IF(NOT(ISBLANK(_xlfn.IFNA(VLOOKUP($A18, $A$40:$O$199, 5, FALSE), ))), _xlfn.IFNA(VLOOKUP($A18, $A$40:$O$199, 5, FALSE), ), "")</f>
        <v>-3.8617886178861791E-2</v>
      </c>
      <c r="F18" s="18">
        <f t="shared" ref="F18:F36" si="4">IF(NOT(ISBLANK(_xlfn.IFNA(VLOOKUP($A18, $A$40:$O$199, 6, FALSE), ))), _xlfn.IFNA(VLOOKUP($A18, $A$40:$O$199, 6, FALSE), ), "")</f>
        <v>-11585.365853658537</v>
      </c>
      <c r="G18" s="31">
        <f t="shared" ref="G18:G36" si="5">IF(NOT(ISBLANK(_xlfn.IFNA(VLOOKUP($A18, $A$40:$O$199, 7, FALSE), ))), _xlfn.IFNA(VLOOKUP($A18, $A$40:$O$199, 7, FALSE), ), "")</f>
        <v>476</v>
      </c>
      <c r="H18" s="32">
        <f t="shared" ref="H18:H36" si="6">IF(NOT(ISBLANK(_xlfn.IFNA(VLOOKUP($A18, $A$40:$O$199, 8, FALSE), ))), _xlfn.IFNA(VLOOKUP($A18, $A$40:$O$199, 8, FALSE), ), "")</f>
        <v>-3.2520325203252036E-2</v>
      </c>
      <c r="I18" s="101">
        <f t="shared" ref="I18:I36" si="7">IF(NOT(ISBLANK(_xlfn.IFNA(VLOOKUP($A18, $A$40:$O$199, 9, FALSE), ))), _xlfn.IFNA(VLOOKUP($A18, $A$40:$O$199, 9, FALSE), ), "")</f>
        <v>-9756.0975609756115</v>
      </c>
      <c r="J18" s="15">
        <f t="shared" ref="J18:J36" si="8">IF(NOT(ISBLANK(_xlfn.IFNA(VLOOKUP($A18, $A$40:$O$199, 10, FALSE), ))), _xlfn.IFNA(VLOOKUP($A18, $A$40:$O$199, 10, FALSE), ), "")</f>
        <v>473</v>
      </c>
      <c r="K18" s="32">
        <f t="shared" ref="K18:K36" si="9">IF(NOT(ISBLANK(_xlfn.IFNA(VLOOKUP($A18, $A$40:$O$199, 11, FALSE), ))), _xlfn.IFNA(VLOOKUP($A18, $A$40:$O$199, 11, FALSE), ), "")</f>
        <v>-3.8617886178861791E-2</v>
      </c>
      <c r="L18" s="18">
        <f t="shared" ref="L18:L36" si="10">IF(NOT(ISBLANK(_xlfn.IFNA(VLOOKUP($A18, $A$40:$O$199, 12, FALSE), ))), _xlfn.IFNA(VLOOKUP($A18, $A$40:$O$199, 12, FALSE), ), "")</f>
        <v>-11585.365853658537</v>
      </c>
      <c r="M18" s="31">
        <f t="shared" ref="M18:M36" si="11">IF(NOT(ISBLANK(_xlfn.IFNA(VLOOKUP($A18, $A$40:$O$199, 13, FALSE), ))), _xlfn.IFNA(VLOOKUP($A18, $A$40:$O$199, 13, FALSE), ), "")</f>
        <v>457</v>
      </c>
      <c r="N18" s="32">
        <f t="shared" ref="N18:N36" si="12">IF(NOT(ISBLANK(_xlfn.IFNA(VLOOKUP($A18, $A$40:$O$199, 14, FALSE), ))), _xlfn.IFNA(VLOOKUP($A18, $A$40:$O$199, 14, FALSE), ), "")</f>
        <v>-7.113821138211382E-2</v>
      </c>
      <c r="O18" s="18">
        <f t="shared" ref="O18:O36" si="13">IF(NOT(ISBLANK(_xlfn.IFNA(VLOOKUP($A18, $A$40:$O$199, 15, FALSE), ))), _xlfn.IFNA(VLOOKUP($A18, $A$40:$O$199, 15, FALSE), ), "")</f>
        <v>-21341.463414634145</v>
      </c>
      <c r="Q18" s="184"/>
      <c r="R18" s="184"/>
      <c r="S18" s="184"/>
    </row>
    <row r="19" spans="1:19" ht="17.25" customHeight="1" thickBot="1">
      <c r="A19" s="128" t="s">
        <v>305</v>
      </c>
      <c r="B19" s="129">
        <f t="shared" si="0"/>
        <v>400</v>
      </c>
      <c r="C19" s="77">
        <f t="shared" si="1"/>
        <v>5.0251256000000003E-3</v>
      </c>
      <c r="D19" s="15">
        <f t="shared" si="2"/>
        <v>384</v>
      </c>
      <c r="E19" s="32">
        <f t="shared" si="3"/>
        <v>-0.04</v>
      </c>
      <c r="F19" s="18">
        <f t="shared" si="4"/>
        <v>-12000</v>
      </c>
      <c r="G19" s="31">
        <f t="shared" si="5"/>
        <v>384</v>
      </c>
      <c r="H19" s="32">
        <f t="shared" si="6"/>
        <v>-0.04</v>
      </c>
      <c r="I19" s="101">
        <f t="shared" si="7"/>
        <v>-12000</v>
      </c>
      <c r="J19" s="15">
        <f t="shared" si="8"/>
        <v>380</v>
      </c>
      <c r="K19" s="32">
        <f t="shared" si="9"/>
        <v>-0.05</v>
      </c>
      <c r="L19" s="18">
        <f t="shared" si="10"/>
        <v>-15000</v>
      </c>
      <c r="M19" s="31">
        <f t="shared" si="11"/>
        <v>364</v>
      </c>
      <c r="N19" s="32">
        <f t="shared" si="12"/>
        <v>-0.09</v>
      </c>
      <c r="O19" s="18">
        <f t="shared" si="13"/>
        <v>-27000</v>
      </c>
      <c r="Q19" s="174"/>
      <c r="R19" s="174"/>
      <c r="S19" s="174"/>
    </row>
    <row r="20" spans="1:19" ht="17.25" customHeight="1" thickBot="1">
      <c r="A20" s="128" t="s">
        <v>306</v>
      </c>
      <c r="B20" s="129">
        <f t="shared" si="0"/>
        <v>443</v>
      </c>
      <c r="C20" s="77">
        <f t="shared" si="1"/>
        <v>-2.2522522999999998E-3</v>
      </c>
      <c r="D20" s="15">
        <f t="shared" si="2"/>
        <v>428</v>
      </c>
      <c r="E20" s="32">
        <f t="shared" si="3"/>
        <v>-3.3860045146726865E-2</v>
      </c>
      <c r="F20" s="18">
        <f t="shared" si="4"/>
        <v>-10158.01354401806</v>
      </c>
      <c r="G20" s="31">
        <f t="shared" si="5"/>
        <v>434</v>
      </c>
      <c r="H20" s="32">
        <f t="shared" si="6"/>
        <v>-2.0316027088036117E-2</v>
      </c>
      <c r="I20" s="101">
        <f t="shared" si="7"/>
        <v>-6094.808126410835</v>
      </c>
      <c r="J20" s="15">
        <f t="shared" si="8"/>
        <v>432</v>
      </c>
      <c r="K20" s="32">
        <f t="shared" si="9"/>
        <v>-2.4830699774266364E-2</v>
      </c>
      <c r="L20" s="18">
        <f t="shared" si="10"/>
        <v>-7449.2099322799095</v>
      </c>
      <c r="M20" s="31">
        <f t="shared" si="11"/>
        <v>420</v>
      </c>
      <c r="N20" s="32">
        <f t="shared" si="12"/>
        <v>-5.1918735891647853E-2</v>
      </c>
      <c r="O20" s="18">
        <f t="shared" si="13"/>
        <v>-15575.620767494356</v>
      </c>
      <c r="Q20" s="174"/>
      <c r="R20" s="174"/>
      <c r="S20" s="174"/>
    </row>
    <row r="21" spans="1:19" ht="17.25" customHeight="1" thickBot="1">
      <c r="A21" s="130" t="s">
        <v>307</v>
      </c>
      <c r="B21" s="131">
        <f t="shared" si="0"/>
        <v>258</v>
      </c>
      <c r="C21" s="78">
        <f t="shared" si="1"/>
        <v>-7.6923076999999996E-3</v>
      </c>
      <c r="D21" s="20">
        <f t="shared" si="2"/>
        <v>248</v>
      </c>
      <c r="E21" s="21">
        <f t="shared" si="3"/>
        <v>-3.875968992248062E-2</v>
      </c>
      <c r="F21" s="22">
        <f t="shared" si="4"/>
        <v>-11627.906976744185</v>
      </c>
      <c r="G21" s="30">
        <f t="shared" si="5"/>
        <v>251</v>
      </c>
      <c r="H21" s="21">
        <f t="shared" si="6"/>
        <v>-2.7131782945736434E-2</v>
      </c>
      <c r="I21" s="105">
        <f t="shared" si="7"/>
        <v>-8139.5348837209303</v>
      </c>
      <c r="J21" s="20">
        <f t="shared" si="8"/>
        <v>247</v>
      </c>
      <c r="K21" s="21">
        <f t="shared" si="9"/>
        <v>-4.2635658914728682E-2</v>
      </c>
      <c r="L21" s="22">
        <f t="shared" si="10"/>
        <v>-12790.697674418605</v>
      </c>
      <c r="M21" s="30">
        <f t="shared" si="11"/>
        <v>240</v>
      </c>
      <c r="N21" s="21">
        <f t="shared" si="12"/>
        <v>-6.9767441860465115E-2</v>
      </c>
      <c r="O21" s="22">
        <f t="shared" si="13"/>
        <v>-20930.232558139534</v>
      </c>
      <c r="Q21" s="174"/>
      <c r="R21" s="174"/>
      <c r="S21" s="174"/>
    </row>
    <row r="22" spans="1:19" ht="17.25" customHeight="1" thickBot="1">
      <c r="A22" s="128"/>
      <c r="B22" s="132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/>
      <c r="B23" s="129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/>
      <c r="B24" s="129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/>
      <c r="B25" s="129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/>
      <c r="B26" s="134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/>
      <c r="B27" s="127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/>
      <c r="B28" s="129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/>
      <c r="B29" s="129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/>
      <c r="B30" s="129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/>
      <c r="B31" s="131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/>
      <c r="B32" s="132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/>
      <c r="B33" s="129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/>
      <c r="B34" s="129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/>
      <c r="B35" s="129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/>
      <c r="B36" s="134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300000</v>
      </c>
      <c r="C37" s="228"/>
      <c r="D37" s="26" t="s">
        <v>43</v>
      </c>
      <c r="E37" s="27">
        <f>IF(COUNT(E17:E26), SUM(E17:E26) / COUNT(E17:E26), 0)</f>
        <v>-3.5185795854552129E-2</v>
      </c>
      <c r="F37" s="28">
        <f>SUM(F17:F26)</f>
        <v>-52778.693781828188</v>
      </c>
      <c r="G37" s="26" t="s">
        <v>43</v>
      </c>
      <c r="H37" s="27">
        <f>IF(COUNT(H17:H26), SUM(H17:H26) / COUNT(H17:H26), 0)</f>
        <v>-2.8931898652343191E-2</v>
      </c>
      <c r="I37" s="28">
        <f>SUM(I17:I26)</f>
        <v>-43397.847978514787</v>
      </c>
      <c r="J37" s="26" t="s">
        <v>43</v>
      </c>
      <c r="K37" s="27">
        <f>IF(COUNT(K17:K26), SUM(K17:K26) / COUNT(K17:K26), 0)</f>
        <v>-3.7389688479744207E-2</v>
      </c>
      <c r="L37" s="28">
        <f>SUM(L17:L26)</f>
        <v>-56084.532719616313</v>
      </c>
      <c r="M37" s="26" t="s">
        <v>43</v>
      </c>
      <c r="N37" s="27">
        <f>IF(COUNT(N17:N26), SUM(N17:N26) / COUNT(N17:N26), 0)</f>
        <v>-6.7675988937956469E-2</v>
      </c>
      <c r="O37" s="28">
        <f>SUM(O17:O26)</f>
        <v>-101513.98340693471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16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2021-05-04(화) 오전 00:00</v>
      </c>
      <c r="C42" s="226"/>
      <c r="D42" s="198" t="str">
        <f>TEXT($G$1, "[$-ko-KR]yyyy-mm-dd(ddd) ") &amp; "오후 14:00"</f>
        <v>2021-05-04(화) 오후 14:00</v>
      </c>
      <c r="E42" s="199"/>
      <c r="F42" s="200"/>
      <c r="G42" s="198" t="str">
        <f>TEXT($G$1, "[$-ko-KR]yyyy-mm-dd(ddd) ") &amp; "오후 19:00"</f>
        <v>2021-05-04(화) 오후 19:00</v>
      </c>
      <c r="H42" s="199"/>
      <c r="I42" s="200"/>
      <c r="J42" s="198" t="str">
        <f>TEXT($G$1, "[$-ko-KR]yyyy-mm-dd(ddd) ") &amp; "오후 21:00"</f>
        <v>2021-05-04(화) 오후 21:00</v>
      </c>
      <c r="K42" s="199"/>
      <c r="L42" s="200"/>
      <c r="M42" s="198" t="str">
        <f>TEXT($G$1+1, "[$-ko-KR]yyyy-mm-dd(ddd) ") &amp; "오전 00:00"</f>
        <v>2021-05-05(수)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17" t="s">
        <v>58</v>
      </c>
      <c r="H43" s="118" t="s">
        <v>299</v>
      </c>
      <c r="I43" s="119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 t="s">
        <v>220</v>
      </c>
      <c r="B44" s="127">
        <v>23.9</v>
      </c>
      <c r="C44" s="76">
        <v>5.75221239E-2</v>
      </c>
      <c r="D44" s="13">
        <v>23.8</v>
      </c>
      <c r="E44" s="14">
        <f>IF(ISNUMBER(D44), (D44 - $B44) / $B44, "")</f>
        <v>-4.184100418409953E-3</v>
      </c>
      <c r="F44" s="16">
        <f>IF(ISNUMBER(D44), $B64 * E44, "")</f>
        <v>-1255.2301255229859</v>
      </c>
      <c r="G44" s="29">
        <v>24.3</v>
      </c>
      <c r="H44" s="14">
        <f>IF(ISNUMBER(G44), (G44 - $B44) / $B44, "")</f>
        <v>1.6736401673640256E-2</v>
      </c>
      <c r="I44" s="100">
        <f>IF(ISNUMBER(G44), $B64 * H44, "")</f>
        <v>5020.9205020920772</v>
      </c>
      <c r="J44" s="13">
        <v>24.5</v>
      </c>
      <c r="K44" s="14">
        <f>IF(ISNUMBER(J44), (J44 - $B44) / $B44, "")</f>
        <v>2.5104602510460313E-2</v>
      </c>
      <c r="L44" s="16">
        <f>IF(ISNUMBER(J44), $B64 * K44, "")</f>
        <v>7531.3807531380935</v>
      </c>
      <c r="M44" s="29">
        <v>23.5</v>
      </c>
      <c r="N44" s="14">
        <f>IF(ISNUMBER(M44), (M44 - $B44) / $B44, "")</f>
        <v>-1.673640167364011E-2</v>
      </c>
      <c r="O44" s="16">
        <f>IF(ISNUMBER(M44), $B64 * N44, "")</f>
        <v>-5020.9205020920335</v>
      </c>
      <c r="Q44" s="184"/>
      <c r="R44" s="184"/>
      <c r="S44" s="184"/>
    </row>
    <row r="45" spans="1:19" ht="17.25" customHeight="1" thickBot="1">
      <c r="A45" s="128" t="s">
        <v>154</v>
      </c>
      <c r="B45" s="129">
        <v>24</v>
      </c>
      <c r="C45" s="77">
        <v>5.2631578900000003E-2</v>
      </c>
      <c r="D45" s="15">
        <v>24.2</v>
      </c>
      <c r="E45" s="32">
        <f t="shared" ref="E45:E48" si="14">IF(ISNUMBER(D45), (D45 - $B45) / $B45, "")</f>
        <v>8.3333333333333037E-3</v>
      </c>
      <c r="F45" s="18">
        <f>IF(ISNUMBER(D45), $B64 * E45, "")</f>
        <v>2499.9999999999909</v>
      </c>
      <c r="G45" s="31">
        <v>23.9</v>
      </c>
      <c r="H45" s="32">
        <f t="shared" ref="H45:H48" si="15">IF(ISNUMBER(G45), (G45 - $B45) / $B45, "")</f>
        <v>-4.1666666666667256E-3</v>
      </c>
      <c r="I45" s="101">
        <f>IF(ISNUMBER(G45), $B64 * H45, "")</f>
        <v>-1250.0000000000177</v>
      </c>
      <c r="J45" s="15">
        <v>24.5</v>
      </c>
      <c r="K45" s="32">
        <f t="shared" ref="K45:K48" si="16">IF(ISNUMBER(J45), (J45 - $B45) / $B45, "")</f>
        <v>2.0833333333333332E-2</v>
      </c>
      <c r="L45" s="18">
        <f>IF(ISNUMBER(J45), $B64 * K45, "")</f>
        <v>6250</v>
      </c>
      <c r="M45" s="31">
        <v>22.9</v>
      </c>
      <c r="N45" s="32">
        <f t="shared" ref="N45:N48" si="17">IF(ISNUMBER(M45), (M45 - $B45) / $B45, "")</f>
        <v>-4.5833333333333393E-2</v>
      </c>
      <c r="O45" s="18">
        <f>IF(ISNUMBER(M45), $B64 * N45, "")</f>
        <v>-13750.000000000018</v>
      </c>
      <c r="Q45" s="184"/>
      <c r="R45" s="184"/>
      <c r="S45" s="184"/>
    </row>
    <row r="46" spans="1:19" ht="17.25" customHeight="1" thickBot="1">
      <c r="A46" s="128" t="s">
        <v>65</v>
      </c>
      <c r="B46" s="129">
        <v>80</v>
      </c>
      <c r="C46" s="77">
        <v>4.98687664E-2</v>
      </c>
      <c r="D46" s="15">
        <v>76.7</v>
      </c>
      <c r="E46" s="32">
        <f t="shared" si="14"/>
        <v>-4.1249999999999967E-2</v>
      </c>
      <c r="F46" s="18">
        <f>IF(ISNUMBER(D46), $B64 * E46, "")</f>
        <v>-12374.999999999991</v>
      </c>
      <c r="G46" s="31">
        <v>77</v>
      </c>
      <c r="H46" s="32">
        <f t="shared" si="15"/>
        <v>-3.7499999999999999E-2</v>
      </c>
      <c r="I46" s="101">
        <f>IF(ISNUMBER(G46), $B64 * H46, "")</f>
        <v>-11250</v>
      </c>
      <c r="J46" s="15">
        <v>76.400000000000006</v>
      </c>
      <c r="K46" s="32">
        <f t="shared" si="16"/>
        <v>-4.4999999999999929E-2</v>
      </c>
      <c r="L46" s="18">
        <f>IF(ISNUMBER(J46), $B64 * K46, "")</f>
        <v>-13499.999999999978</v>
      </c>
      <c r="M46" s="31">
        <v>73.400000000000006</v>
      </c>
      <c r="N46" s="32">
        <f t="shared" si="17"/>
        <v>-8.2499999999999934E-2</v>
      </c>
      <c r="O46" s="18">
        <f>IF(ISNUMBER(M46), $B64 * N46, "")</f>
        <v>-24749.999999999982</v>
      </c>
      <c r="Q46" s="174"/>
      <c r="R46" s="174"/>
      <c r="S46" s="174"/>
    </row>
    <row r="47" spans="1:19" ht="17.25" customHeight="1" thickBot="1">
      <c r="A47" s="128" t="s">
        <v>186</v>
      </c>
      <c r="B47" s="129">
        <v>29.3</v>
      </c>
      <c r="C47" s="77">
        <v>3.9007092200000003E-2</v>
      </c>
      <c r="D47" s="15">
        <v>28.1</v>
      </c>
      <c r="E47" s="32">
        <f t="shared" si="14"/>
        <v>-4.0955631399317384E-2</v>
      </c>
      <c r="F47" s="18">
        <f>IF(ISNUMBER(D47), $B64 * E47, "")</f>
        <v>-12286.689419795215</v>
      </c>
      <c r="G47" s="31">
        <v>28.2</v>
      </c>
      <c r="H47" s="32">
        <f t="shared" si="15"/>
        <v>-3.7542662116041001E-2</v>
      </c>
      <c r="I47" s="101">
        <f>IF(ISNUMBER(G47), $B64 * H47, "")</f>
        <v>-11262.798634812299</v>
      </c>
      <c r="J47" s="15">
        <v>28.2</v>
      </c>
      <c r="K47" s="32">
        <f t="shared" si="16"/>
        <v>-3.7542662116041001E-2</v>
      </c>
      <c r="L47" s="18">
        <f>IF(ISNUMBER(J47), $B64 * K47, "")</f>
        <v>-11262.798634812299</v>
      </c>
      <c r="M47" s="31">
        <v>27.1</v>
      </c>
      <c r="N47" s="32">
        <f t="shared" si="17"/>
        <v>-7.508532423208189E-2</v>
      </c>
      <c r="O47" s="18">
        <f>IF(ISNUMBER(M47), $B64 * N47, "")</f>
        <v>-22525.597269624566</v>
      </c>
      <c r="Q47" s="174"/>
      <c r="R47" s="174"/>
      <c r="S47" s="174"/>
    </row>
    <row r="48" spans="1:19" ht="17.25" customHeight="1" thickBot="1">
      <c r="A48" s="130" t="s">
        <v>72</v>
      </c>
      <c r="B48" s="131">
        <v>38.299999999999997</v>
      </c>
      <c r="C48" s="78">
        <v>2.95698925E-2</v>
      </c>
      <c r="D48" s="20">
        <v>36.9</v>
      </c>
      <c r="E48" s="21">
        <f t="shared" si="14"/>
        <v>-3.6553524804177513E-2</v>
      </c>
      <c r="F48" s="22">
        <f>IF(ISNUMBER(D48), $B64 * E48, "")</f>
        <v>-10966.057441253253</v>
      </c>
      <c r="G48" s="30">
        <v>37.200000000000003</v>
      </c>
      <c r="H48" s="21">
        <f t="shared" si="15"/>
        <v>-2.8720626631853638E-2</v>
      </c>
      <c r="I48" s="105">
        <f>IF(ISNUMBER(G48), $B64 * H48, "")</f>
        <v>-8616.1879895560905</v>
      </c>
      <c r="J48" s="20">
        <v>36.799999999999997</v>
      </c>
      <c r="K48" s="21">
        <f t="shared" si="16"/>
        <v>-3.91644908616188E-2</v>
      </c>
      <c r="L48" s="22">
        <f>IF(ISNUMBER(J48), $B64 * K48, "")</f>
        <v>-11749.347258485641</v>
      </c>
      <c r="M48" s="30">
        <v>35.6</v>
      </c>
      <c r="N48" s="21">
        <f t="shared" si="17"/>
        <v>-7.0496083550913732E-2</v>
      </c>
      <c r="O48" s="22">
        <f>IF(ISNUMBER(M48), $B64 * N48, "")</f>
        <v>-21148.825065274119</v>
      </c>
      <c r="Q48" s="174"/>
      <c r="R48" s="174"/>
      <c r="S48" s="174"/>
    </row>
    <row r="49" spans="1:19" ht="17.25" customHeight="1" thickBot="1">
      <c r="A49" s="128" t="s">
        <v>254</v>
      </c>
      <c r="B49" s="132">
        <v>99</v>
      </c>
      <c r="C49" s="80">
        <v>2.3784901800000001E-2</v>
      </c>
      <c r="D49" s="106">
        <v>94.5</v>
      </c>
      <c r="E49" s="107">
        <f>IF(ISNUMBER(D49), (D49 - $B49) / $B49, "")</f>
        <v>-4.5454545454545456E-2</v>
      </c>
      <c r="F49" s="108">
        <f>IF(ISNUMBER(D49), $B64 * E49, "")</f>
        <v>-13636.363636363636</v>
      </c>
      <c r="G49" s="109">
        <v>95.3</v>
      </c>
      <c r="H49" s="107">
        <f>IF(ISNUMBER(G49), (G49 - $B49) / $B49, "")</f>
        <v>-3.7373737373737399E-2</v>
      </c>
      <c r="I49" s="110">
        <f>IF(ISNUMBER(G49), $B64 * H49, "")</f>
        <v>-11212.121212121219</v>
      </c>
      <c r="J49" s="106">
        <v>97.8</v>
      </c>
      <c r="K49" s="107">
        <f>IF(ISNUMBER(J49), (J49 - $B49) / $B49, "")</f>
        <v>-1.2121212121212151E-2</v>
      </c>
      <c r="L49" s="108">
        <f>IF(ISNUMBER(J49), $B64 * K49, "")</f>
        <v>-3636.3636363636451</v>
      </c>
      <c r="M49" s="109">
        <v>92.9</v>
      </c>
      <c r="N49" s="107">
        <f>IF(ISNUMBER(M49), (M49 - $B49) / $B49, "")</f>
        <v>-6.1616161616161562E-2</v>
      </c>
      <c r="O49" s="108">
        <f>IF(ISNUMBER(M49), $B64 * N49, "")</f>
        <v>-18484.84848484847</v>
      </c>
      <c r="Q49" s="174"/>
      <c r="R49" s="174"/>
      <c r="S49" s="174"/>
    </row>
    <row r="50" spans="1:19" ht="17.25" customHeight="1" thickBot="1">
      <c r="A50" s="128" t="s">
        <v>214</v>
      </c>
      <c r="B50" s="129">
        <v>25.3</v>
      </c>
      <c r="C50" s="77">
        <v>1.6064256999999998E-2</v>
      </c>
      <c r="D50" s="15">
        <v>24</v>
      </c>
      <c r="E50" s="32">
        <f t="shared" ref="E50:E53" si="18">IF(ISNUMBER(D50), (D50 - $B50) / $B50, "")</f>
        <v>-5.1383399209486195E-2</v>
      </c>
      <c r="F50" s="18">
        <f>IF(ISNUMBER(D50), $B64 * E50, "")</f>
        <v>-15415.019762845859</v>
      </c>
      <c r="G50" s="31">
        <v>24.4</v>
      </c>
      <c r="H50" s="32">
        <f t="shared" ref="H50:H53" si="19">IF(ISNUMBER(G50), (G50 - $B50) / $B50, "")</f>
        <v>-3.5573122529644355E-2</v>
      </c>
      <c r="I50" s="101">
        <f>IF(ISNUMBER(G50), $B64 * H50, "")</f>
        <v>-10671.936758893307</v>
      </c>
      <c r="J50" s="15">
        <v>24.2</v>
      </c>
      <c r="K50" s="32">
        <f t="shared" ref="K50:K53" si="20">IF(ISNUMBER(J50), (J50 - $B50) / $B50, "")</f>
        <v>-4.3478260869565272E-2</v>
      </c>
      <c r="L50" s="18">
        <f>IF(ISNUMBER(J50), $B64 * K50, "")</f>
        <v>-13043.478260869582</v>
      </c>
      <c r="M50" s="31">
        <v>23.5</v>
      </c>
      <c r="N50" s="32">
        <f t="shared" ref="N50:N53" si="21">IF(ISNUMBER(M50), (M50 - $B50) / $B50, "")</f>
        <v>-7.1146245059288557E-2</v>
      </c>
      <c r="O50" s="18">
        <f>IF(ISNUMBER(M50), $B64 * N50, "")</f>
        <v>-21343.873517786567</v>
      </c>
      <c r="Q50" s="174"/>
      <c r="R50" s="174"/>
      <c r="S50" s="174"/>
    </row>
    <row r="51" spans="1:19" ht="17.25" customHeight="1" thickBot="1">
      <c r="A51" s="128" t="s">
        <v>236</v>
      </c>
      <c r="B51" s="129">
        <v>78.400000000000006</v>
      </c>
      <c r="C51" s="77">
        <v>9.0090090000000001E-3</v>
      </c>
      <c r="D51" s="15">
        <v>74.599999999999994</v>
      </c>
      <c r="E51" s="32">
        <f t="shared" si="18"/>
        <v>-4.8469387755102185E-2</v>
      </c>
      <c r="F51" s="18">
        <f>IF(ISNUMBER(D51), $B64 * E51, "")</f>
        <v>-14540.816326530656</v>
      </c>
      <c r="G51" s="31">
        <v>75.099999999999994</v>
      </c>
      <c r="H51" s="32">
        <f t="shared" si="19"/>
        <v>-4.2091836734694021E-2</v>
      </c>
      <c r="I51" s="101">
        <f>IF(ISNUMBER(G51), $B64 * H51, "")</f>
        <v>-12627.551020408206</v>
      </c>
      <c r="J51" s="15">
        <v>74.7</v>
      </c>
      <c r="K51" s="32">
        <f t="shared" si="20"/>
        <v>-4.719387755102044E-2</v>
      </c>
      <c r="L51" s="18">
        <f>IF(ISNUMBER(J51), $B64 * K51, "")</f>
        <v>-14158.163265306132</v>
      </c>
      <c r="M51" s="31">
        <v>72.2</v>
      </c>
      <c r="N51" s="32">
        <f t="shared" si="21"/>
        <v>-7.9081632653061257E-2</v>
      </c>
      <c r="O51" s="18">
        <f>IF(ISNUMBER(M51), $B64 * N51, "")</f>
        <v>-23724.489795918376</v>
      </c>
      <c r="Q51" s="174"/>
      <c r="R51" s="174"/>
      <c r="S51" s="174"/>
    </row>
    <row r="52" spans="1:19" ht="17.25" customHeight="1" thickBot="1">
      <c r="A52" s="128" t="s">
        <v>196</v>
      </c>
      <c r="B52" s="129">
        <v>22.6</v>
      </c>
      <c r="C52" s="77">
        <v>4.4444443999999998E-3</v>
      </c>
      <c r="D52" s="15">
        <v>22</v>
      </c>
      <c r="E52" s="32">
        <f t="shared" si="18"/>
        <v>-2.6548672566371743E-2</v>
      </c>
      <c r="F52" s="18">
        <f>IF(ISNUMBER(D52), $B64 * E52, "")</f>
        <v>-7964.6017699115228</v>
      </c>
      <c r="G52" s="31">
        <v>22.1</v>
      </c>
      <c r="H52" s="32">
        <f t="shared" si="19"/>
        <v>-2.2123893805309734E-2</v>
      </c>
      <c r="I52" s="101">
        <f>IF(ISNUMBER(G52), $B64 * H52, "")</f>
        <v>-6637.1681415929206</v>
      </c>
      <c r="J52" s="15">
        <v>22.1</v>
      </c>
      <c r="K52" s="32">
        <f t="shared" si="20"/>
        <v>-2.2123893805309734E-2</v>
      </c>
      <c r="L52" s="18">
        <f>IF(ISNUMBER(J52), $B64 * K52, "")</f>
        <v>-6637.1681415929206</v>
      </c>
      <c r="M52" s="31">
        <v>21.1</v>
      </c>
      <c r="N52" s="32">
        <f t="shared" si="21"/>
        <v>-6.6371681415929196E-2</v>
      </c>
      <c r="O52" s="18">
        <f>IF(ISNUMBER(M52), $B64 * N52, "")</f>
        <v>-19911.504424778759</v>
      </c>
      <c r="Q52" s="33"/>
      <c r="R52" s="33"/>
    </row>
    <row r="53" spans="1:19" ht="17.25" customHeight="1" thickBot="1">
      <c r="A53" s="133" t="s">
        <v>100</v>
      </c>
      <c r="B53" s="134">
        <v>8.4700000000000006</v>
      </c>
      <c r="C53" s="79">
        <v>3.5545023999999999E-3</v>
      </c>
      <c r="D53" s="24">
        <v>8.2200000000000006</v>
      </c>
      <c r="E53" s="25">
        <f t="shared" si="18"/>
        <v>-2.9515938606847696E-2</v>
      </c>
      <c r="F53" s="104">
        <f>IF(ISNUMBER(D53), $B64 * E53, "")</f>
        <v>-8854.7815820543092</v>
      </c>
      <c r="G53" s="102">
        <v>8.26</v>
      </c>
      <c r="H53" s="25">
        <f t="shared" si="19"/>
        <v>-2.4793388429752164E-2</v>
      </c>
      <c r="I53" s="103">
        <f>IF(ISNUMBER(G53), $B64 * H53, "")</f>
        <v>-7438.0165289256493</v>
      </c>
      <c r="J53" s="24">
        <v>8.23</v>
      </c>
      <c r="K53" s="25">
        <f t="shared" si="20"/>
        <v>-2.8335301062573814E-2</v>
      </c>
      <c r="L53" s="104">
        <f>IF(ISNUMBER(J53), $B64 * K53, "")</f>
        <v>-8500.5903187721451</v>
      </c>
      <c r="M53" s="102">
        <v>8.08</v>
      </c>
      <c r="N53" s="25">
        <f t="shared" si="21"/>
        <v>-4.6044864226682469E-2</v>
      </c>
      <c r="O53" s="104">
        <f>IF(ISNUMBER(M53), $B64 * N53, "")</f>
        <v>-13813.459268004741</v>
      </c>
      <c r="Q53" s="175"/>
      <c r="R53" s="176"/>
      <c r="S53" s="177"/>
    </row>
    <row r="54" spans="1:19" ht="17.25" customHeight="1">
      <c r="A54" s="126" t="s">
        <v>172</v>
      </c>
      <c r="B54" s="127">
        <v>28.7</v>
      </c>
      <c r="C54" s="76">
        <v>3.4965034999999999E-3</v>
      </c>
      <c r="D54" s="13">
        <v>27.4</v>
      </c>
      <c r="E54" s="14">
        <f>IF(ISNUMBER(D54), (D54 - $B54) / $B54, "")</f>
        <v>-4.5296167247386783E-2</v>
      </c>
      <c r="F54" s="16">
        <f>IF(ISNUMBER(D54), $B64 * E54, "")</f>
        <v>-13588.850174216035</v>
      </c>
      <c r="G54" s="29">
        <v>27.3</v>
      </c>
      <c r="H54" s="14">
        <f>IF(ISNUMBER(G54), (G54 - $B54) / $B54, "")</f>
        <v>-4.8780487804878002E-2</v>
      </c>
      <c r="I54" s="100">
        <f>IF(ISNUMBER(G54), $B64 * H54, "")</f>
        <v>-14634.1463414634</v>
      </c>
      <c r="J54" s="13">
        <v>27.5</v>
      </c>
      <c r="K54" s="14">
        <f>IF(ISNUMBER(J54), (J54 - $B54) / $B54, "")</f>
        <v>-4.1811846689895446E-2</v>
      </c>
      <c r="L54" s="16">
        <f>IF(ISNUMBER(J54), $B64 * K54, "")</f>
        <v>-12543.554006968634</v>
      </c>
      <c r="M54" s="29">
        <v>26.5</v>
      </c>
      <c r="N54" s="14">
        <f>IF(ISNUMBER(M54), (M54 - $B54) / $B54, "")</f>
        <v>-7.6655052264808343E-2</v>
      </c>
      <c r="O54" s="16">
        <f>IF(ISNUMBER(M54), $B64 * N54, "")</f>
        <v>-22996.515679442502</v>
      </c>
      <c r="Q54" s="178"/>
      <c r="R54" s="179"/>
      <c r="S54" s="180"/>
    </row>
    <row r="55" spans="1:19" ht="17.25" customHeight="1" thickBot="1">
      <c r="A55" s="128" t="s">
        <v>228</v>
      </c>
      <c r="B55" s="129">
        <v>21.1</v>
      </c>
      <c r="C55" s="77">
        <v>0</v>
      </c>
      <c r="D55" s="15">
        <v>20.100000000000001</v>
      </c>
      <c r="E55" s="32">
        <f t="shared" ref="E55:E58" si="22">IF(ISNUMBER(D55), (D55 - $B55) / $B55, "")</f>
        <v>-4.7393364928909949E-2</v>
      </c>
      <c r="F55" s="18">
        <f>IF(ISNUMBER(D55), $B64 * E55, "")</f>
        <v>-14218.009478672984</v>
      </c>
      <c r="G55" s="31">
        <v>20.2</v>
      </c>
      <c r="H55" s="32">
        <f t="shared" ref="H55:H58" si="23">IF(ISNUMBER(G55), (G55 - $B55) / $B55, "")</f>
        <v>-4.2654028436019058E-2</v>
      </c>
      <c r="I55" s="101">
        <f>IF(ISNUMBER(G55), $B64 * H55, "")</f>
        <v>-12796.208530805718</v>
      </c>
      <c r="J55" s="15">
        <v>20.2</v>
      </c>
      <c r="K55" s="32">
        <f t="shared" ref="K55:K58" si="24">IF(ISNUMBER(J55), (J55 - $B55) / $B55, "")</f>
        <v>-4.2654028436019058E-2</v>
      </c>
      <c r="L55" s="18">
        <f>IF(ISNUMBER(J55), $B64 * K55, "")</f>
        <v>-12796.208530805718</v>
      </c>
      <c r="M55" s="31">
        <v>19.5</v>
      </c>
      <c r="N55" s="32">
        <f t="shared" ref="N55:N58" si="25">IF(ISNUMBER(M55), (M55 - $B55) / $B55, "")</f>
        <v>-7.5829383886255985E-2</v>
      </c>
      <c r="O55" s="18">
        <f>IF(ISNUMBER(M55), $B64 * N55, "")</f>
        <v>-22748.815165876797</v>
      </c>
      <c r="Q55" s="181"/>
      <c r="R55" s="182"/>
      <c r="S55" s="183"/>
    </row>
    <row r="56" spans="1:19" ht="17.25" customHeight="1" thickBot="1">
      <c r="A56" s="128" t="s">
        <v>222</v>
      </c>
      <c r="B56" s="129">
        <v>20.7</v>
      </c>
      <c r="C56" s="77">
        <v>0</v>
      </c>
      <c r="D56" s="15">
        <v>20</v>
      </c>
      <c r="E56" s="32">
        <f t="shared" si="22"/>
        <v>-3.3816425120772917E-2</v>
      </c>
      <c r="F56" s="18">
        <f>IF(ISNUMBER(D56), $B64 * E56, "")</f>
        <v>-10144.927536231875</v>
      </c>
      <c r="G56" s="31">
        <v>20.100000000000001</v>
      </c>
      <c r="H56" s="32">
        <f t="shared" si="23"/>
        <v>-2.8985507246376711E-2</v>
      </c>
      <c r="I56" s="101">
        <f>IF(ISNUMBER(G56), $B64 * H56, "")</f>
        <v>-8695.652173913013</v>
      </c>
      <c r="J56" s="15">
        <v>20.100000000000001</v>
      </c>
      <c r="K56" s="32">
        <f t="shared" si="24"/>
        <v>-2.8985507246376711E-2</v>
      </c>
      <c r="L56" s="18">
        <f>IF(ISNUMBER(J56), $B64 * K56, "")</f>
        <v>-8695.652173913013</v>
      </c>
      <c r="M56" s="31">
        <v>19.3</v>
      </c>
      <c r="N56" s="32">
        <f t="shared" si="25"/>
        <v>-6.7632850241545833E-2</v>
      </c>
      <c r="O56" s="18">
        <f>IF(ISNUMBER(M56), $B64 * N56, "")</f>
        <v>-20289.85507246375</v>
      </c>
      <c r="Q56" s="174"/>
      <c r="R56" s="174"/>
      <c r="S56" s="174"/>
    </row>
    <row r="57" spans="1:19" ht="17.25" customHeight="1" thickBot="1">
      <c r="A57" s="128" t="s">
        <v>198</v>
      </c>
      <c r="B57" s="129">
        <v>32.4</v>
      </c>
      <c r="C57" s="77">
        <v>0</v>
      </c>
      <c r="D57" s="15">
        <v>30.9</v>
      </c>
      <c r="E57" s="32">
        <f t="shared" si="22"/>
        <v>-4.6296296296296301E-2</v>
      </c>
      <c r="F57" s="18">
        <f>IF(ISNUMBER(D57), $B64 * E57, "")</f>
        <v>-13888.888888888891</v>
      </c>
      <c r="G57" s="31">
        <v>31.1</v>
      </c>
      <c r="H57" s="32">
        <f t="shared" si="23"/>
        <v>-4.0123456790123371E-2</v>
      </c>
      <c r="I57" s="101">
        <f>IF(ISNUMBER(G57), $B64 * H57, "")</f>
        <v>-12037.037037037011</v>
      </c>
      <c r="J57" s="15">
        <v>31</v>
      </c>
      <c r="K57" s="32">
        <f t="shared" si="24"/>
        <v>-4.3209876543209833E-2</v>
      </c>
      <c r="L57" s="18">
        <f>IF(ISNUMBER(J57), $B64 * K57, "")</f>
        <v>-12962.962962962949</v>
      </c>
      <c r="M57" s="31">
        <v>29.9</v>
      </c>
      <c r="N57" s="32">
        <f t="shared" si="25"/>
        <v>-7.7160493827160503E-2</v>
      </c>
      <c r="O57" s="18">
        <f>IF(ISNUMBER(M57), $B64 * N57, "")</f>
        <v>-23148.14814814815</v>
      </c>
      <c r="Q57" s="184"/>
      <c r="R57" s="184"/>
      <c r="S57" s="184"/>
    </row>
    <row r="58" spans="1:19" ht="17.25" customHeight="1" thickBot="1">
      <c r="A58" s="130" t="s">
        <v>152</v>
      </c>
      <c r="B58" s="131">
        <v>49.8</v>
      </c>
      <c r="C58" s="78">
        <v>-2.0040079999999998E-3</v>
      </c>
      <c r="D58" s="20">
        <v>47.6</v>
      </c>
      <c r="E58" s="21">
        <f t="shared" si="22"/>
        <v>-4.4176706827309155E-2</v>
      </c>
      <c r="F58" s="22">
        <f>IF(ISNUMBER(D58), $B64 * E58, "")</f>
        <v>-13253.012048192746</v>
      </c>
      <c r="G58" s="30">
        <v>48</v>
      </c>
      <c r="H58" s="21">
        <f t="shared" si="23"/>
        <v>-3.6144578313252955E-2</v>
      </c>
      <c r="I58" s="105">
        <f>IF(ISNUMBER(G58), $B64 * H58, "")</f>
        <v>-10843.373493975887</v>
      </c>
      <c r="J58" s="20">
        <v>47.8</v>
      </c>
      <c r="K58" s="21">
        <f t="shared" si="24"/>
        <v>-4.0160642570281124E-2</v>
      </c>
      <c r="L58" s="22">
        <f>IF(ISNUMBER(J58), $B64 * K58, "")</f>
        <v>-12048.192771084337</v>
      </c>
      <c r="M58" s="30">
        <v>45.6</v>
      </c>
      <c r="N58" s="21">
        <f t="shared" si="25"/>
        <v>-8.4337349397590286E-2</v>
      </c>
      <c r="O58" s="22">
        <f>IF(ISNUMBER(M58), $B64 * N58, "")</f>
        <v>-25301.204819277085</v>
      </c>
      <c r="Q58" s="184"/>
      <c r="R58" s="184"/>
      <c r="S58" s="184"/>
    </row>
    <row r="59" spans="1:19" ht="17.25" customHeight="1" thickBot="1">
      <c r="A59" s="128" t="s">
        <v>218</v>
      </c>
      <c r="B59" s="132">
        <v>32.799999999999997</v>
      </c>
      <c r="C59" s="80">
        <v>-3.0395137E-3</v>
      </c>
      <c r="D59" s="106">
        <v>31.3</v>
      </c>
      <c r="E59" s="107">
        <f>IF(ISNUMBER(D59), (D59 - $B59) / $B59, "")</f>
        <v>-4.5731707317073066E-2</v>
      </c>
      <c r="F59" s="108">
        <f>IF(ISNUMBER(D59), $B64 * E59, "")</f>
        <v>-13719.512195121919</v>
      </c>
      <c r="G59" s="109">
        <v>31.8</v>
      </c>
      <c r="H59" s="107">
        <f>IF(ISNUMBER(G59), (G59 - $B59) / $B59, "")</f>
        <v>-3.0487804878048676E-2</v>
      </c>
      <c r="I59" s="110">
        <f>IF(ISNUMBER(G59), $B64 * H59, "")</f>
        <v>-9146.3414634146029</v>
      </c>
      <c r="J59" s="106">
        <v>31.4</v>
      </c>
      <c r="K59" s="107">
        <f>IF(ISNUMBER(J59), (J59 - $B59) / $B59, "")</f>
        <v>-4.2682926829268254E-2</v>
      </c>
      <c r="L59" s="108">
        <f>IF(ISNUMBER(J59), $B64 * K59, "")</f>
        <v>-12804.878048780476</v>
      </c>
      <c r="M59" s="109">
        <v>30.3</v>
      </c>
      <c r="N59" s="107">
        <f>IF(ISNUMBER(M59), (M59 - $B59) / $B59, "")</f>
        <v>-7.6219512195121852E-2</v>
      </c>
      <c r="O59" s="108">
        <f>IF(ISNUMBER(M59), $B64 * N59, "")</f>
        <v>-22865.853658536555</v>
      </c>
      <c r="Q59" s="174"/>
      <c r="R59" s="174"/>
      <c r="S59" s="174"/>
    </row>
    <row r="60" spans="1:19" ht="17.25" customHeight="1" thickBot="1">
      <c r="A60" s="128" t="s">
        <v>126</v>
      </c>
      <c r="B60" s="129">
        <v>68.7</v>
      </c>
      <c r="C60" s="77">
        <v>-7.2254334999999996E-3</v>
      </c>
      <c r="D60" s="15">
        <v>65.7</v>
      </c>
      <c r="E60" s="32">
        <f t="shared" ref="E60:E63" si="26">IF(ISNUMBER(D60), (D60 - $B60) / $B60, "")</f>
        <v>-4.3668122270742356E-2</v>
      </c>
      <c r="F60" s="18">
        <f>IF(ISNUMBER(D60), $B64 * E60, "")</f>
        <v>-13100.436681222707</v>
      </c>
      <c r="G60" s="31">
        <v>66.099999999999994</v>
      </c>
      <c r="H60" s="32">
        <f t="shared" ref="H60:H63" si="27">IF(ISNUMBER(G60), (G60 - $B60) / $B60, "")</f>
        <v>-3.7845705967976831E-2</v>
      </c>
      <c r="I60" s="101">
        <f>IF(ISNUMBER(G60), $B64 * H60, "")</f>
        <v>-11353.711790393048</v>
      </c>
      <c r="J60" s="15">
        <v>65.7</v>
      </c>
      <c r="K60" s="32">
        <f t="shared" ref="K60:K63" si="28">IF(ISNUMBER(J60), (J60 - $B60) / $B60, "")</f>
        <v>-4.3668122270742356E-2</v>
      </c>
      <c r="L60" s="18">
        <f>IF(ISNUMBER(J60), $B64 * K60, "")</f>
        <v>-13100.436681222707</v>
      </c>
      <c r="M60" s="31">
        <v>63.1</v>
      </c>
      <c r="N60" s="32">
        <f t="shared" ref="N60:N63" si="29">IF(ISNUMBER(M60), (M60 - $B60) / $B60, "")</f>
        <v>-8.1513828238719083E-2</v>
      </c>
      <c r="O60" s="18">
        <f>IF(ISNUMBER(M60), $B64 * N60, "")</f>
        <v>-24454.148471615725</v>
      </c>
      <c r="Q60" s="174"/>
      <c r="R60" s="174"/>
      <c r="S60" s="17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 t="s">
        <v>297</v>
      </c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 t="s">
        <v>297</v>
      </c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 t="s">
        <v>297</v>
      </c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300000</v>
      </c>
      <c r="C64" s="228"/>
      <c r="D64" s="26" t="s">
        <v>302</v>
      </c>
      <c r="E64" s="27">
        <f>IF(COUNT(E44:E63), SUM(E44:E63) / COUNT(E44:E63), 0)</f>
        <v>-3.6609450405259723E-2</v>
      </c>
      <c r="F64" s="28">
        <f>SUM(F44:F63)</f>
        <v>-186708.19706682459</v>
      </c>
      <c r="G64" s="26" t="s">
        <v>302</v>
      </c>
      <c r="H64" s="27">
        <f>IF(COUNT(H44:H63), SUM(H44:H63) / COUNT(H44:H63), 0)</f>
        <v>-3.0480653061807909E-2</v>
      </c>
      <c r="I64" s="28">
        <f>SUM(I44:I63)</f>
        <v>-155451.3306152203</v>
      </c>
      <c r="J64" s="26" t="s">
        <v>302</v>
      </c>
      <c r="K64" s="27">
        <f>IF(COUNT(K44:K63), SUM(K44:K63) / COUNT(K44:K63), 0)</f>
        <v>-3.0129100772314142E-2</v>
      </c>
      <c r="L64" s="28">
        <f>SUM(L44:L63)</f>
        <v>-153658.41393880208</v>
      </c>
      <c r="M64" s="26" t="s">
        <v>302</v>
      </c>
      <c r="N64" s="27">
        <f>IF(COUNT(N44:N63), SUM(N44:N63) / COUNT(N44:N63), 0)</f>
        <v>-6.7897658694840837E-2</v>
      </c>
      <c r="O64" s="28">
        <f>SUM(O44:O63)</f>
        <v>-346278.05934368825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16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2021-05-04(화) 오전 00:00</v>
      </c>
      <c r="C69" s="226"/>
      <c r="D69" s="198" t="str">
        <f>TEXT($G$1, "[$-ko-KR]yyyy-mm-dd(ddd) ") &amp; "오후 14:00"</f>
        <v>2021-05-04(화) 오후 14:00</v>
      </c>
      <c r="E69" s="199"/>
      <c r="F69" s="200"/>
      <c r="G69" s="198" t="str">
        <f>TEXT($G$1, "[$-ko-KR]yyyy-mm-dd(ddd) ") &amp; "오후 19:00"</f>
        <v>2021-05-04(화) 오후 19:00</v>
      </c>
      <c r="H69" s="199"/>
      <c r="I69" s="200"/>
      <c r="J69" s="198" t="str">
        <f>TEXT($G$1, "[$-ko-KR]yyyy-mm-dd(ddd) ") &amp; "오후 21:00"</f>
        <v>2021-05-04(화) 오후 21:00</v>
      </c>
      <c r="K69" s="199"/>
      <c r="L69" s="200"/>
      <c r="M69" s="198" t="str">
        <f>TEXT($G$1+1, "[$-ko-KR]yyyy-mm-dd(ddd) ") &amp; "오전 00:00"</f>
        <v>2021-05-05(수)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17" t="s">
        <v>58</v>
      </c>
      <c r="H70" s="118" t="s">
        <v>299</v>
      </c>
      <c r="I70" s="119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 t="s">
        <v>268</v>
      </c>
      <c r="B71" s="127">
        <v>113</v>
      </c>
      <c r="C71" s="76">
        <v>0.1188118812</v>
      </c>
      <c r="D71" s="13">
        <v>107</v>
      </c>
      <c r="E71" s="14">
        <f>IF(ISNUMBER(D71), (D71 - $B71) / $B71, "")</f>
        <v>-5.3097345132743362E-2</v>
      </c>
      <c r="F71" s="16">
        <f>IF(ISNUMBER(D71), $B91 * E71, "")</f>
        <v>-15929.203539823009</v>
      </c>
      <c r="G71" s="29">
        <v>107</v>
      </c>
      <c r="H71" s="14">
        <f>IF(ISNUMBER(G71), (G71 - $B71) / $B71, "")</f>
        <v>-5.3097345132743362E-2</v>
      </c>
      <c r="I71" s="100">
        <f>IF(ISNUMBER(G71), $B91 * H71, "")</f>
        <v>-15929.203539823009</v>
      </c>
      <c r="J71" s="13">
        <v>111</v>
      </c>
      <c r="K71" s="14">
        <f>IF(ISNUMBER(J71), (J71 - $B71) / $B71, "")</f>
        <v>-1.7699115044247787E-2</v>
      </c>
      <c r="L71" s="16">
        <f>IF(ISNUMBER(J71), $B91 * K71, "")</f>
        <v>-5309.7345132743358</v>
      </c>
      <c r="M71" s="29">
        <v>105</v>
      </c>
      <c r="N71" s="14">
        <f>IF(ISNUMBER(M71), (M71 - $B71) / $B71, "")</f>
        <v>-7.0796460176991149E-2</v>
      </c>
      <c r="O71" s="16">
        <f>IF(ISNUMBER(M71), $B91 * N71, "")</f>
        <v>-21238.938053097343</v>
      </c>
      <c r="Q71" s="184"/>
      <c r="R71" s="184"/>
      <c r="S71" s="184"/>
    </row>
    <row r="72" spans="1:19" ht="17.25" thickBot="1">
      <c r="A72" s="128" t="s">
        <v>136</v>
      </c>
      <c r="B72" s="129">
        <v>269</v>
      </c>
      <c r="C72" s="77">
        <v>9.3495935000000002E-2</v>
      </c>
      <c r="D72" s="15">
        <v>251</v>
      </c>
      <c r="E72" s="32">
        <f t="shared" ref="E72:E75" si="30">IF(ISNUMBER(D72), (D72 - $B72) / $B72, "")</f>
        <v>-6.6914498141263934E-2</v>
      </c>
      <c r="F72" s="18">
        <f>IF(ISNUMBER(D72), $B91 * E72, "")</f>
        <v>-20074.349442379182</v>
      </c>
      <c r="G72" s="31">
        <v>253</v>
      </c>
      <c r="H72" s="32">
        <f t="shared" ref="H72:H75" si="31">IF(ISNUMBER(G72), (G72 - $B72) / $B72, "")</f>
        <v>-5.9479553903345722E-2</v>
      </c>
      <c r="I72" s="101">
        <f>IF(ISNUMBER(G72), $B91 * H72, "")</f>
        <v>-17843.866171003716</v>
      </c>
      <c r="J72" s="15">
        <v>260</v>
      </c>
      <c r="K72" s="32">
        <f t="shared" ref="K72:K75" si="32">IF(ISNUMBER(J72), (J72 - $B72) / $B72, "")</f>
        <v>-3.3457249070631967E-2</v>
      </c>
      <c r="L72" s="18">
        <f>IF(ISNUMBER(J72), $B91 * K72, "")</f>
        <v>-10037.174721189591</v>
      </c>
      <c r="M72" s="31">
        <v>254</v>
      </c>
      <c r="N72" s="32">
        <f t="shared" ref="N72:N75" si="33">IF(ISNUMBER(M72), (M72 - $B72) / $B72, "")</f>
        <v>-5.5762081784386616E-2</v>
      </c>
      <c r="O72" s="18">
        <f>IF(ISNUMBER(M72), $B91 * N72, "")</f>
        <v>-16728.624535315987</v>
      </c>
      <c r="Q72" s="184"/>
      <c r="R72" s="184"/>
      <c r="S72" s="184"/>
    </row>
    <row r="73" spans="1:19" ht="17.25" thickBot="1">
      <c r="A73" s="128" t="s">
        <v>142</v>
      </c>
      <c r="B73" s="129">
        <v>466</v>
      </c>
      <c r="C73" s="77">
        <v>7.8703703700000002E-2</v>
      </c>
      <c r="D73" s="15">
        <v>443</v>
      </c>
      <c r="E73" s="32">
        <f t="shared" si="30"/>
        <v>-4.9356223175965663E-2</v>
      </c>
      <c r="F73" s="18">
        <f>IF(ISNUMBER(D73), $B91 * E73, "")</f>
        <v>-14806.866952789698</v>
      </c>
      <c r="G73" s="31">
        <v>447</v>
      </c>
      <c r="H73" s="32">
        <f t="shared" si="31"/>
        <v>-4.07725321888412E-2</v>
      </c>
      <c r="I73" s="101">
        <f>IF(ISNUMBER(G73), $B91 * H73, "")</f>
        <v>-12231.759656652361</v>
      </c>
      <c r="J73" s="15">
        <v>443</v>
      </c>
      <c r="K73" s="32">
        <f t="shared" si="32"/>
        <v>-4.9356223175965663E-2</v>
      </c>
      <c r="L73" s="18">
        <f>IF(ISNUMBER(J73), $B91 * K73, "")</f>
        <v>-14806.866952789698</v>
      </c>
      <c r="M73" s="31">
        <v>422</v>
      </c>
      <c r="N73" s="32">
        <f t="shared" si="33"/>
        <v>-9.4420600858369105E-2</v>
      </c>
      <c r="O73" s="18">
        <f>IF(ISNUMBER(M73), $B91 * N73, "")</f>
        <v>-28326.180257510732</v>
      </c>
      <c r="Q73" s="174"/>
      <c r="R73" s="174"/>
      <c r="S73" s="174"/>
    </row>
    <row r="74" spans="1:19" ht="17.25" thickBot="1">
      <c r="A74" s="128" t="s">
        <v>116</v>
      </c>
      <c r="B74" s="129">
        <v>755</v>
      </c>
      <c r="C74" s="77">
        <v>7.2443181800000006E-2</v>
      </c>
      <c r="D74" s="15">
        <v>851</v>
      </c>
      <c r="E74" s="32">
        <f t="shared" si="30"/>
        <v>0.1271523178807947</v>
      </c>
      <c r="F74" s="18">
        <f>IF(ISNUMBER(D74), $B91 * E74, "")</f>
        <v>38145.695364238411</v>
      </c>
      <c r="G74" s="31">
        <v>856</v>
      </c>
      <c r="H74" s="32">
        <f t="shared" si="31"/>
        <v>0.1337748344370861</v>
      </c>
      <c r="I74" s="101">
        <f>IF(ISNUMBER(G74), $B91 * H74, "")</f>
        <v>40132.45033112583</v>
      </c>
      <c r="J74" s="15">
        <v>835</v>
      </c>
      <c r="K74" s="32">
        <f t="shared" si="32"/>
        <v>0.10596026490066225</v>
      </c>
      <c r="L74" s="18">
        <f>IF(ISNUMBER(J74), $B91 * K74, "")</f>
        <v>31788.079470198674</v>
      </c>
      <c r="M74" s="31">
        <v>780</v>
      </c>
      <c r="N74" s="32">
        <f t="shared" si="33"/>
        <v>3.3112582781456956E-2</v>
      </c>
      <c r="O74" s="18">
        <f>IF(ISNUMBER(M74), $B91 * N74, "")</f>
        <v>9933.7748344370866</v>
      </c>
      <c r="Q74" s="174"/>
      <c r="R74" s="174"/>
      <c r="S74" s="174"/>
    </row>
    <row r="75" spans="1:19" ht="17.25" thickBot="1">
      <c r="A75" s="130" t="s">
        <v>296</v>
      </c>
      <c r="B75" s="131">
        <v>479</v>
      </c>
      <c r="C75" s="78">
        <v>5.7395143500000002E-2</v>
      </c>
      <c r="D75" s="20">
        <v>540</v>
      </c>
      <c r="E75" s="21">
        <f t="shared" si="30"/>
        <v>0.12734864300626306</v>
      </c>
      <c r="F75" s="22">
        <f>IF(ISNUMBER(D75), $B91 * E75, "")</f>
        <v>38204.592901878917</v>
      </c>
      <c r="G75" s="30">
        <v>601</v>
      </c>
      <c r="H75" s="21">
        <f t="shared" si="31"/>
        <v>0.25469728601252611</v>
      </c>
      <c r="I75" s="105">
        <f>IF(ISNUMBER(G75), $B91 * H75, "")</f>
        <v>76409.185803757835</v>
      </c>
      <c r="J75" s="20">
        <v>617</v>
      </c>
      <c r="K75" s="21">
        <f t="shared" si="32"/>
        <v>0.2881002087682672</v>
      </c>
      <c r="L75" s="22">
        <f>IF(ISNUMBER(J75), $B91 * K75, "")</f>
        <v>86430.062630480155</v>
      </c>
      <c r="M75" s="30">
        <v>664</v>
      </c>
      <c r="N75" s="21">
        <f t="shared" si="33"/>
        <v>0.38622129436325681</v>
      </c>
      <c r="O75" s="22">
        <f>IF(ISNUMBER(M75), $B91 * N75, "")</f>
        <v>115866.38830897704</v>
      </c>
      <c r="Q75" s="174"/>
      <c r="R75" s="174"/>
      <c r="S75" s="174"/>
    </row>
    <row r="76" spans="1:19" ht="17.25" thickBot="1">
      <c r="A76" s="128" t="s">
        <v>128</v>
      </c>
      <c r="B76" s="132">
        <v>724</v>
      </c>
      <c r="C76" s="80">
        <v>5.5393586000000002E-2</v>
      </c>
      <c r="D76" s="106">
        <v>717</v>
      </c>
      <c r="E76" s="107">
        <f>IF(ISNUMBER(D76), (D76 - $B76) / $B76, "")</f>
        <v>-9.6685082872928173E-3</v>
      </c>
      <c r="F76" s="108">
        <f>IF(ISNUMBER(D76), $B91 * E76, "")</f>
        <v>-2900.5524861878453</v>
      </c>
      <c r="G76" s="109">
        <v>703</v>
      </c>
      <c r="H76" s="107">
        <f>IF(ISNUMBER(G76), (G76 - $B76) / $B76, "")</f>
        <v>-2.9005524861878452E-2</v>
      </c>
      <c r="I76" s="110">
        <f>IF(ISNUMBER(G76), $B91 * H76, "")</f>
        <v>-8701.6574585635353</v>
      </c>
      <c r="J76" s="106">
        <v>704</v>
      </c>
      <c r="K76" s="107">
        <f>IF(ISNUMBER(J76), (J76 - $B76) / $B76, "")</f>
        <v>-2.7624309392265192E-2</v>
      </c>
      <c r="L76" s="108">
        <f>IF(ISNUMBER(J76), $B91 * K76, "")</f>
        <v>-8287.2928176795576</v>
      </c>
      <c r="M76" s="109">
        <v>677</v>
      </c>
      <c r="N76" s="107">
        <f>IF(ISNUMBER(M76), (M76 - $B76) / $B76, "")</f>
        <v>-6.4917127071823205E-2</v>
      </c>
      <c r="O76" s="108">
        <f>IF(ISNUMBER(M76), $B91 * N76, "")</f>
        <v>-19475.138121546963</v>
      </c>
      <c r="Q76" s="174"/>
      <c r="R76" s="174"/>
      <c r="S76" s="174"/>
    </row>
    <row r="77" spans="1:19" ht="17.25" thickBot="1">
      <c r="A77" s="128" t="s">
        <v>278</v>
      </c>
      <c r="B77" s="129">
        <v>163</v>
      </c>
      <c r="C77" s="77">
        <v>5.1612903199999997E-2</v>
      </c>
      <c r="D77" s="15">
        <v>157</v>
      </c>
      <c r="E77" s="32">
        <f t="shared" ref="E77:E80" si="34">IF(ISNUMBER(D77), (D77 - $B77) / $B77, "")</f>
        <v>-3.6809815950920248E-2</v>
      </c>
      <c r="F77" s="18">
        <f>IF(ISNUMBER(D77), $B91 * E77, "")</f>
        <v>-11042.944785276075</v>
      </c>
      <c r="G77" s="31">
        <v>160</v>
      </c>
      <c r="H77" s="32">
        <f t="shared" ref="H77:H80" si="35">IF(ISNUMBER(G77), (G77 - $B77) / $B77, "")</f>
        <v>-1.8404907975460124E-2</v>
      </c>
      <c r="I77" s="101">
        <f>IF(ISNUMBER(G77), $B91 * H77, "")</f>
        <v>-5521.4723926380375</v>
      </c>
      <c r="J77" s="15">
        <v>158</v>
      </c>
      <c r="K77" s="32">
        <f t="shared" ref="K77:K80" si="36">IF(ISNUMBER(J77), (J77 - $B77) / $B77, "")</f>
        <v>-3.0674846625766871E-2</v>
      </c>
      <c r="L77" s="18">
        <f>IF(ISNUMBER(J77), $B91 * K77, "")</f>
        <v>-9202.4539877300613</v>
      </c>
      <c r="M77" s="31">
        <v>155</v>
      </c>
      <c r="N77" s="32">
        <f t="shared" ref="N77:N80" si="37">IF(ISNUMBER(M77), (M77 - $B77) / $B77, "")</f>
        <v>-4.9079754601226995E-2</v>
      </c>
      <c r="O77" s="18">
        <f>IF(ISNUMBER(M77), $B91 * N77, "")</f>
        <v>-14723.926380368099</v>
      </c>
      <c r="Q77" s="174"/>
      <c r="R77" s="174"/>
      <c r="S77" s="174"/>
    </row>
    <row r="78" spans="1:19" ht="17.25" thickBot="1">
      <c r="A78" s="128" t="s">
        <v>266</v>
      </c>
      <c r="B78" s="129">
        <v>100</v>
      </c>
      <c r="C78" s="77">
        <v>4.3841336100000003E-2</v>
      </c>
      <c r="D78" s="15">
        <v>94.7</v>
      </c>
      <c r="E78" s="32">
        <f t="shared" si="34"/>
        <v>-5.2999999999999971E-2</v>
      </c>
      <c r="F78" s="18">
        <f>IF(ISNUMBER(D78), $B91 * E78, "")</f>
        <v>-15899.999999999991</v>
      </c>
      <c r="G78" s="31">
        <v>106</v>
      </c>
      <c r="H78" s="32">
        <f t="shared" si="35"/>
        <v>0.06</v>
      </c>
      <c r="I78" s="101">
        <f>IF(ISNUMBER(G78), $B91 * H78, "")</f>
        <v>18000</v>
      </c>
      <c r="J78" s="15">
        <v>112</v>
      </c>
      <c r="K78" s="32">
        <f t="shared" si="36"/>
        <v>0.12</v>
      </c>
      <c r="L78" s="18">
        <f>IF(ISNUMBER(J78), $B91 * K78, "")</f>
        <v>36000</v>
      </c>
      <c r="M78" s="31">
        <v>104</v>
      </c>
      <c r="N78" s="32">
        <f t="shared" si="37"/>
        <v>0.04</v>
      </c>
      <c r="O78" s="18">
        <f>IF(ISNUMBER(M78), $B91 * N78, "")</f>
        <v>12000</v>
      </c>
      <c r="Q78" s="174"/>
      <c r="R78" s="174"/>
      <c r="S78" s="174"/>
    </row>
    <row r="79" spans="1:19" ht="17.25" thickBot="1">
      <c r="A79" s="128" t="s">
        <v>256</v>
      </c>
      <c r="B79" s="129">
        <v>282</v>
      </c>
      <c r="C79" s="77">
        <v>4.0590405900000001E-2</v>
      </c>
      <c r="D79" s="15">
        <v>273</v>
      </c>
      <c r="E79" s="32">
        <f t="shared" si="34"/>
        <v>-3.1914893617021274E-2</v>
      </c>
      <c r="F79" s="18">
        <f>IF(ISNUMBER(D79), $B91 * E79, "")</f>
        <v>-9574.4680851063822</v>
      </c>
      <c r="G79" s="31">
        <v>275</v>
      </c>
      <c r="H79" s="32">
        <f t="shared" si="35"/>
        <v>-2.4822695035460994E-2</v>
      </c>
      <c r="I79" s="101">
        <f>IF(ISNUMBER(G79), $B91 * H79, "")</f>
        <v>-7446.8085106382978</v>
      </c>
      <c r="J79" s="15">
        <v>275</v>
      </c>
      <c r="K79" s="32">
        <f t="shared" si="36"/>
        <v>-2.4822695035460994E-2</v>
      </c>
      <c r="L79" s="18">
        <f>IF(ISNUMBER(J79), $B91 * K79, "")</f>
        <v>-7446.8085106382978</v>
      </c>
      <c r="M79" s="31">
        <v>266</v>
      </c>
      <c r="N79" s="32">
        <f t="shared" si="37"/>
        <v>-5.6737588652482268E-2</v>
      </c>
      <c r="O79" s="18">
        <f>IF(ISNUMBER(M79), $B91 * N79, "")</f>
        <v>-17021.276595744679</v>
      </c>
      <c r="Q79" s="33"/>
      <c r="R79" s="33"/>
    </row>
    <row r="80" spans="1:19" ht="17.25" thickBot="1">
      <c r="A80" s="133" t="s">
        <v>122</v>
      </c>
      <c r="B80" s="134">
        <v>134</v>
      </c>
      <c r="C80" s="79">
        <v>3.8759689899999998E-2</v>
      </c>
      <c r="D80" s="24">
        <v>131</v>
      </c>
      <c r="E80" s="25">
        <f t="shared" si="34"/>
        <v>-2.2388059701492536E-2</v>
      </c>
      <c r="F80" s="104">
        <f>IF(ISNUMBER(D80), $B91 * E80, "")</f>
        <v>-6716.4179104477607</v>
      </c>
      <c r="G80" s="102">
        <v>131</v>
      </c>
      <c r="H80" s="25">
        <f t="shared" si="35"/>
        <v>-2.2388059701492536E-2</v>
      </c>
      <c r="I80" s="103">
        <f>IF(ISNUMBER(G80), $B91 * H80, "")</f>
        <v>-6716.4179104477607</v>
      </c>
      <c r="J80" s="24">
        <v>131</v>
      </c>
      <c r="K80" s="25">
        <f t="shared" si="36"/>
        <v>-2.2388059701492536E-2</v>
      </c>
      <c r="L80" s="104">
        <f>IF(ISNUMBER(J80), $B91 * K80, "")</f>
        <v>-6716.4179104477607</v>
      </c>
      <c r="M80" s="102">
        <v>124</v>
      </c>
      <c r="N80" s="25">
        <f t="shared" si="37"/>
        <v>-7.4626865671641784E-2</v>
      </c>
      <c r="O80" s="104">
        <f>IF(ISNUMBER(M80), $B91 * N80, "")</f>
        <v>-22388.059701492537</v>
      </c>
      <c r="Q80" s="175"/>
      <c r="R80" s="176"/>
      <c r="S80" s="177"/>
    </row>
    <row r="81" spans="1:19">
      <c r="A81" s="126" t="s">
        <v>168</v>
      </c>
      <c r="B81" s="127">
        <v>216</v>
      </c>
      <c r="C81" s="76">
        <v>3.8461538500000003E-2</v>
      </c>
      <c r="D81" s="13">
        <v>210</v>
      </c>
      <c r="E81" s="14">
        <f>IF(ISNUMBER(D81), (D81 - $B81) / $B81, "")</f>
        <v>-2.7777777777777776E-2</v>
      </c>
      <c r="F81" s="16">
        <f>IF(ISNUMBER(D81), $B91 * E81, "")</f>
        <v>-8333.3333333333321</v>
      </c>
      <c r="G81" s="29">
        <v>212</v>
      </c>
      <c r="H81" s="14">
        <f>IF(ISNUMBER(G81), (G81 - $B81) / $B81, "")</f>
        <v>-1.8518518518518517E-2</v>
      </c>
      <c r="I81" s="100">
        <f>IF(ISNUMBER(G81), $B91 * H81, "")</f>
        <v>-5555.5555555555557</v>
      </c>
      <c r="J81" s="13">
        <v>211</v>
      </c>
      <c r="K81" s="14">
        <f>IF(ISNUMBER(J81), (J81 - $B81) / $B81, "")</f>
        <v>-2.3148148148148147E-2</v>
      </c>
      <c r="L81" s="16">
        <f>IF(ISNUMBER(J81), $B91 * K81, "")</f>
        <v>-6944.4444444444443</v>
      </c>
      <c r="M81" s="29">
        <v>204</v>
      </c>
      <c r="N81" s="14">
        <f>IF(ISNUMBER(M81), (M81 - $B81) / $B81, "")</f>
        <v>-5.5555555555555552E-2</v>
      </c>
      <c r="O81" s="16">
        <f>IF(ISNUMBER(M81), $B91 * N81, "")</f>
        <v>-16666.666666666664</v>
      </c>
      <c r="Q81" s="178"/>
      <c r="R81" s="179"/>
      <c r="S81" s="180"/>
    </row>
    <row r="82" spans="1:19" ht="17.25" thickBot="1">
      <c r="A82" s="128" t="s">
        <v>148</v>
      </c>
      <c r="B82" s="129">
        <v>215</v>
      </c>
      <c r="C82" s="77">
        <v>3.3653846199999997E-2</v>
      </c>
      <c r="D82" s="15">
        <v>205</v>
      </c>
      <c r="E82" s="32">
        <f t="shared" ref="E82:E85" si="38">IF(ISNUMBER(D82), (D82 - $B82) / $B82, "")</f>
        <v>-4.6511627906976744E-2</v>
      </c>
      <c r="F82" s="18">
        <f>IF(ISNUMBER(D82), $B91 * E82, "")</f>
        <v>-13953.488372093023</v>
      </c>
      <c r="G82" s="31">
        <v>207</v>
      </c>
      <c r="H82" s="32">
        <f t="shared" ref="H82:H85" si="39">IF(ISNUMBER(G82), (G82 - $B82) / $B82, "")</f>
        <v>-3.7209302325581395E-2</v>
      </c>
      <c r="I82" s="101">
        <f>IF(ISNUMBER(G82), $B91 * H82, "")</f>
        <v>-11162.790697674418</v>
      </c>
      <c r="J82" s="15">
        <v>206</v>
      </c>
      <c r="K82" s="32">
        <f t="shared" ref="K82:K85" si="40">IF(ISNUMBER(J82), (J82 - $B82) / $B82, "")</f>
        <v>-4.1860465116279069E-2</v>
      </c>
      <c r="L82" s="18">
        <f>IF(ISNUMBER(J82), $B91 * K82, "")</f>
        <v>-12558.139534883721</v>
      </c>
      <c r="M82" s="31">
        <v>198</v>
      </c>
      <c r="N82" s="32">
        <f t="shared" ref="N82:N85" si="41">IF(ISNUMBER(M82), (M82 - $B82) / $B82, "")</f>
        <v>-7.9069767441860464E-2</v>
      </c>
      <c r="O82" s="18">
        <f>IF(ISNUMBER(M82), $B91 * N82, "")</f>
        <v>-23720.930232558138</v>
      </c>
      <c r="Q82" s="181"/>
      <c r="R82" s="182"/>
      <c r="S82" s="183"/>
    </row>
    <row r="83" spans="1:19" ht="17.25" thickBot="1">
      <c r="A83" s="128" t="s">
        <v>156</v>
      </c>
      <c r="B83" s="129">
        <v>160</v>
      </c>
      <c r="C83" s="77">
        <v>3.2258064500000003E-2</v>
      </c>
      <c r="D83" s="15">
        <v>156</v>
      </c>
      <c r="E83" s="32">
        <f t="shared" si="38"/>
        <v>-2.5000000000000001E-2</v>
      </c>
      <c r="F83" s="18">
        <f>IF(ISNUMBER(D83), $B91 * E83, "")</f>
        <v>-7500</v>
      </c>
      <c r="G83" s="31">
        <v>160</v>
      </c>
      <c r="H83" s="32">
        <f t="shared" si="39"/>
        <v>0</v>
      </c>
      <c r="I83" s="101">
        <f>IF(ISNUMBER(G83), $B91 * H83, "")</f>
        <v>0</v>
      </c>
      <c r="J83" s="15">
        <v>158</v>
      </c>
      <c r="K83" s="32">
        <f t="shared" si="40"/>
        <v>-1.2500000000000001E-2</v>
      </c>
      <c r="L83" s="18">
        <f>IF(ISNUMBER(J83), $B91 * K83, "")</f>
        <v>-3750</v>
      </c>
      <c r="M83" s="31">
        <v>156</v>
      </c>
      <c r="N83" s="32">
        <f t="shared" si="41"/>
        <v>-2.5000000000000001E-2</v>
      </c>
      <c r="O83" s="18">
        <f>IF(ISNUMBER(M83), $B91 * N83, "")</f>
        <v>-7500</v>
      </c>
      <c r="Q83" s="174"/>
      <c r="R83" s="174"/>
      <c r="S83" s="174"/>
    </row>
    <row r="84" spans="1:19" ht="17.25" thickBot="1">
      <c r="A84" s="128" t="s">
        <v>258</v>
      </c>
      <c r="B84" s="129">
        <v>780</v>
      </c>
      <c r="C84" s="77">
        <v>2.4967148500000001E-2</v>
      </c>
      <c r="D84" s="15">
        <v>772</v>
      </c>
      <c r="E84" s="32">
        <f t="shared" si="38"/>
        <v>-1.0256410256410256E-2</v>
      </c>
      <c r="F84" s="18">
        <f>IF(ISNUMBER(D84), $B91 * E84, "")</f>
        <v>-3076.9230769230771</v>
      </c>
      <c r="G84" s="31">
        <v>770</v>
      </c>
      <c r="H84" s="32">
        <f t="shared" si="39"/>
        <v>-1.282051282051282E-2</v>
      </c>
      <c r="I84" s="101">
        <f>IF(ISNUMBER(G84), $B91 * H84, "")</f>
        <v>-3846.1538461538462</v>
      </c>
      <c r="J84" s="15">
        <v>768</v>
      </c>
      <c r="K84" s="32">
        <f t="shared" si="40"/>
        <v>-1.5384615384615385E-2</v>
      </c>
      <c r="L84" s="18">
        <f>IF(ISNUMBER(J84), $B91 * K84, "")</f>
        <v>-4615.3846153846152</v>
      </c>
      <c r="M84" s="31">
        <v>747</v>
      </c>
      <c r="N84" s="32">
        <f t="shared" si="41"/>
        <v>-4.230769230769231E-2</v>
      </c>
      <c r="O84" s="18">
        <f>IF(ISNUMBER(M84), $B91 * N84, "")</f>
        <v>-12692.307692307693</v>
      </c>
      <c r="Q84" s="184"/>
      <c r="R84" s="184"/>
      <c r="S84" s="184"/>
    </row>
    <row r="85" spans="1:19" ht="17.25" thickBot="1">
      <c r="A85" s="130" t="s">
        <v>238</v>
      </c>
      <c r="B85" s="131">
        <v>333</v>
      </c>
      <c r="C85" s="78">
        <v>2.4615384600000002E-2</v>
      </c>
      <c r="D85" s="20">
        <v>314</v>
      </c>
      <c r="E85" s="21">
        <f t="shared" si="38"/>
        <v>-5.7057057057057055E-2</v>
      </c>
      <c r="F85" s="22">
        <f>IF(ISNUMBER(D85), $B91 * E85, "")</f>
        <v>-17117.117117117115</v>
      </c>
      <c r="G85" s="30">
        <v>317</v>
      </c>
      <c r="H85" s="21">
        <f t="shared" si="39"/>
        <v>-4.8048048048048048E-2</v>
      </c>
      <c r="I85" s="105">
        <f>IF(ISNUMBER(G85), $B91 * H85, "")</f>
        <v>-14414.414414414414</v>
      </c>
      <c r="J85" s="20">
        <v>316</v>
      </c>
      <c r="K85" s="21">
        <f t="shared" si="40"/>
        <v>-5.1051051051051052E-2</v>
      </c>
      <c r="L85" s="22">
        <f>IF(ISNUMBER(J85), $B91 * K85, "")</f>
        <v>-15315.315315315316</v>
      </c>
      <c r="M85" s="30">
        <v>309</v>
      </c>
      <c r="N85" s="21">
        <f t="shared" si="41"/>
        <v>-7.2072072072072071E-2</v>
      </c>
      <c r="O85" s="22">
        <f>IF(ISNUMBER(M85), $B91 * N85, "")</f>
        <v>-21621.62162162162</v>
      </c>
      <c r="Q85" s="184"/>
      <c r="R85" s="184"/>
      <c r="S85" s="184"/>
    </row>
    <row r="86" spans="1:19" ht="17.25" thickBot="1">
      <c r="A86" s="128" t="s">
        <v>270</v>
      </c>
      <c r="B86" s="132">
        <v>599</v>
      </c>
      <c r="C86" s="80">
        <v>2.2184300300000001E-2</v>
      </c>
      <c r="D86" s="106">
        <v>580</v>
      </c>
      <c r="E86" s="107">
        <f>IF(ISNUMBER(D86), (D86 - $B86) / $B86, "")</f>
        <v>-3.1719532554257093E-2</v>
      </c>
      <c r="F86" s="108">
        <f>IF(ISNUMBER(D86), $B91 * E86, "")</f>
        <v>-9515.8597662771281</v>
      </c>
      <c r="G86" s="109">
        <v>582</v>
      </c>
      <c r="H86" s="107">
        <f>IF(ISNUMBER(G86), (G86 - $B86) / $B86, "")</f>
        <v>-2.8380634390651086E-2</v>
      </c>
      <c r="I86" s="110">
        <f>IF(ISNUMBER(G86), $B91 * H86, "")</f>
        <v>-8514.1903171953254</v>
      </c>
      <c r="J86" s="106">
        <v>582</v>
      </c>
      <c r="K86" s="107">
        <f>IF(ISNUMBER(J86), (J86 - $B86) / $B86, "")</f>
        <v>-2.8380634390651086E-2</v>
      </c>
      <c r="L86" s="108">
        <f>IF(ISNUMBER(J86), $B91 * K86, "")</f>
        <v>-8514.1903171953254</v>
      </c>
      <c r="M86" s="109">
        <v>560</v>
      </c>
      <c r="N86" s="107">
        <f>IF(ISNUMBER(M86), (M86 - $B86) / $B86, "")</f>
        <v>-6.5108514190317199E-2</v>
      </c>
      <c r="O86" s="108">
        <f>IF(ISNUMBER(M86), $B91 * N86, "")</f>
        <v>-19532.554257095158</v>
      </c>
      <c r="Q86" s="174"/>
      <c r="R86" s="174"/>
      <c r="S86" s="174"/>
    </row>
    <row r="87" spans="1:19" ht="17.25" thickBot="1">
      <c r="A87" s="128" t="s">
        <v>264</v>
      </c>
      <c r="B87" s="129">
        <v>193</v>
      </c>
      <c r="C87" s="77">
        <v>2.1164021200000001E-2</v>
      </c>
      <c r="D87" s="15">
        <v>184</v>
      </c>
      <c r="E87" s="32">
        <f t="shared" ref="E87:E90" si="42">IF(ISNUMBER(D87), (D87 - $B87) / $B87, "")</f>
        <v>-4.6632124352331605E-2</v>
      </c>
      <c r="F87" s="18">
        <f>IF(ISNUMBER(D87), $B91 * E87, "")</f>
        <v>-13989.637305699482</v>
      </c>
      <c r="G87" s="31">
        <v>186</v>
      </c>
      <c r="H87" s="32">
        <f t="shared" ref="H87:H90" si="43">IF(ISNUMBER(G87), (G87 - $B87) / $B87, "")</f>
        <v>-3.6269430051813469E-2</v>
      </c>
      <c r="I87" s="101">
        <f>IF(ISNUMBER(G87), $B91 * H87, "")</f>
        <v>-10880.829015544041</v>
      </c>
      <c r="J87" s="15">
        <v>186</v>
      </c>
      <c r="K87" s="32">
        <f t="shared" ref="K87:K90" si="44">IF(ISNUMBER(J87), (J87 - $B87) / $B87, "")</f>
        <v>-3.6269430051813469E-2</v>
      </c>
      <c r="L87" s="18">
        <f>IF(ISNUMBER(J87), $B91 * K87, "")</f>
        <v>-10880.829015544041</v>
      </c>
      <c r="M87" s="31">
        <v>179</v>
      </c>
      <c r="N87" s="32">
        <f t="shared" ref="N87:N90" si="45">IF(ISNUMBER(M87), (M87 - $B87) / $B87, "")</f>
        <v>-7.2538860103626937E-2</v>
      </c>
      <c r="O87" s="18">
        <f>IF(ISNUMBER(M87), $B91 * N87, "")</f>
        <v>-21761.658031088082</v>
      </c>
      <c r="Q87" s="174"/>
      <c r="R87" s="174"/>
      <c r="S87" s="174"/>
    </row>
    <row r="88" spans="1:19" ht="17.25" thickBot="1">
      <c r="A88" s="128" t="s">
        <v>182</v>
      </c>
      <c r="B88" s="129">
        <v>504</v>
      </c>
      <c r="C88" s="77">
        <v>1.6129032299999999E-2</v>
      </c>
      <c r="D88" s="15">
        <v>486</v>
      </c>
      <c r="E88" s="32">
        <f t="shared" si="42"/>
        <v>-3.5714285714285712E-2</v>
      </c>
      <c r="F88" s="18">
        <f>IF(ISNUMBER(D88), $B91 * E88, "")</f>
        <v>-10714.285714285714</v>
      </c>
      <c r="G88" s="31">
        <v>491</v>
      </c>
      <c r="H88" s="32">
        <f t="shared" si="43"/>
        <v>-2.5793650793650792E-2</v>
      </c>
      <c r="I88" s="101">
        <f>IF(ISNUMBER(G88), $B91 * H88, "")</f>
        <v>-7738.0952380952376</v>
      </c>
      <c r="J88" s="15">
        <v>490</v>
      </c>
      <c r="K88" s="32">
        <f t="shared" si="44"/>
        <v>-2.7777777777777776E-2</v>
      </c>
      <c r="L88" s="18">
        <f>IF(ISNUMBER(J88), $B91 * K88, "")</f>
        <v>-8333.3333333333321</v>
      </c>
      <c r="M88" s="31">
        <v>469</v>
      </c>
      <c r="N88" s="32">
        <f t="shared" si="45"/>
        <v>-6.9444444444444448E-2</v>
      </c>
      <c r="O88" s="18">
        <f>IF(ISNUMBER(M88), $B91 * N88, "")</f>
        <v>-20833.333333333336</v>
      </c>
      <c r="Q88" s="174"/>
      <c r="R88" s="174"/>
      <c r="S88" s="174"/>
    </row>
    <row r="89" spans="1:19">
      <c r="A89" s="128" t="s">
        <v>57</v>
      </c>
      <c r="B89" s="129">
        <v>418</v>
      </c>
      <c r="C89" s="77">
        <v>1.45631068E-2</v>
      </c>
      <c r="D89" s="15">
        <v>409</v>
      </c>
      <c r="E89" s="32">
        <f t="shared" si="42"/>
        <v>-2.1531100478468901E-2</v>
      </c>
      <c r="F89" s="18">
        <f>IF(ISNUMBER(D89), $B91 * E89, "")</f>
        <v>-6459.3301435406702</v>
      </c>
      <c r="G89" s="31">
        <v>412</v>
      </c>
      <c r="H89" s="32">
        <f t="shared" si="43"/>
        <v>-1.4354066985645933E-2</v>
      </c>
      <c r="I89" s="101">
        <f>IF(ISNUMBER(G89), $B91 * H89, "")</f>
        <v>-4306.2200956937804</v>
      </c>
      <c r="J89" s="15">
        <v>410</v>
      </c>
      <c r="K89" s="32">
        <f t="shared" si="44"/>
        <v>-1.9138755980861243E-2</v>
      </c>
      <c r="L89" s="18">
        <f>IF(ISNUMBER(J89), $B91 * K89, "")</f>
        <v>-5741.6267942583727</v>
      </c>
      <c r="M89" s="31">
        <v>399</v>
      </c>
      <c r="N89" s="32">
        <f t="shared" si="45"/>
        <v>-4.5454545454545456E-2</v>
      </c>
      <c r="O89" s="18">
        <f>IF(ISNUMBER(M89), $B91 * N89, "")</f>
        <v>-13636.363636363636</v>
      </c>
      <c r="Q89" s="163"/>
      <c r="R89" s="164"/>
      <c r="S89" s="165"/>
    </row>
    <row r="90" spans="1:19" ht="17.25" thickBot="1">
      <c r="A90" s="133" t="s">
        <v>120</v>
      </c>
      <c r="B90" s="134">
        <v>230</v>
      </c>
      <c r="C90" s="79">
        <v>1.3215859E-2</v>
      </c>
      <c r="D90" s="24">
        <v>222</v>
      </c>
      <c r="E90" s="25">
        <f t="shared" si="42"/>
        <v>-3.4782608695652174E-2</v>
      </c>
      <c r="F90" s="104">
        <f>IF(ISNUMBER(D90), $B91 * E90, "")</f>
        <v>-10434.782608695652</v>
      </c>
      <c r="G90" s="102">
        <v>224</v>
      </c>
      <c r="H90" s="25">
        <f t="shared" si="43"/>
        <v>-2.6086956521739129E-2</v>
      </c>
      <c r="I90" s="103">
        <f>IF(ISNUMBER(G90), $B91 * H90, "")</f>
        <v>-7826.086956521739</v>
      </c>
      <c r="J90" s="24">
        <v>223</v>
      </c>
      <c r="K90" s="25">
        <f t="shared" si="44"/>
        <v>-3.0434782608695653E-2</v>
      </c>
      <c r="L90" s="104">
        <f>IF(ISNUMBER(J90), $B91 * K90, "")</f>
        <v>-9130.434782608696</v>
      </c>
      <c r="M90" s="102">
        <v>216</v>
      </c>
      <c r="N90" s="25">
        <f t="shared" si="45"/>
        <v>-6.0869565217391307E-2</v>
      </c>
      <c r="O90" s="104">
        <f>IF(ISNUMBER(M90), $B91 * N90, "")</f>
        <v>-18260.869565217392</v>
      </c>
      <c r="Q90" s="166"/>
      <c r="R90" s="167"/>
      <c r="S90" s="168"/>
    </row>
    <row r="91" spans="1:19" ht="17.25" thickBot="1">
      <c r="A91" s="135" t="s">
        <v>301</v>
      </c>
      <c r="B91" s="227">
        <f>$B$37</f>
        <v>300000</v>
      </c>
      <c r="C91" s="228"/>
      <c r="D91" s="26" t="s">
        <v>302</v>
      </c>
      <c r="E91" s="27">
        <f>IF(COUNT(E71:E90), SUM(E71:E90) / COUNT(E71:E90), 0)</f>
        <v>-2.0281545395642968E-2</v>
      </c>
      <c r="F91" s="28">
        <f>SUM(F71:F90)</f>
        <v>-121689.27237385782</v>
      </c>
      <c r="G91" s="26" t="s">
        <v>302</v>
      </c>
      <c r="H91" s="27">
        <f>IF(COUNT(H71:H90), SUM(H71:H90) / COUNT(H71:H90), 0)</f>
        <v>-2.3489809402885697E-3</v>
      </c>
      <c r="I91" s="28">
        <f>SUM(I71:I90)</f>
        <v>-14093.885641731413</v>
      </c>
      <c r="J91" s="26" t="s">
        <v>302</v>
      </c>
      <c r="K91" s="27">
        <f>IF(COUNT(K71:K90), SUM(K71:K90) / COUNT(K71:K90), 0)</f>
        <v>1.1046157556602802E-3</v>
      </c>
      <c r="L91" s="28">
        <f>SUM(L71:L90)</f>
        <v>6627.6945339616759</v>
      </c>
      <c r="M91" s="26" t="s">
        <v>302</v>
      </c>
      <c r="N91" s="27">
        <f>IF(COUNT(N71:N90), SUM(N71:N90) / COUNT(N71:N90), 0)</f>
        <v>-2.9721380922985652E-2</v>
      </c>
      <c r="O91" s="28">
        <f>SUM(O71:O90)</f>
        <v>-178328.28553791397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16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2021-05-04(화) 오전 00:00</v>
      </c>
      <c r="C96" s="226"/>
      <c r="D96" s="198" t="str">
        <f>TEXT($G$1, "[$-ko-KR]yyyy-mm-dd(ddd) ") &amp; "오후 14:00"</f>
        <v>2021-05-04(화) 오후 14:00</v>
      </c>
      <c r="E96" s="199"/>
      <c r="F96" s="200"/>
      <c r="G96" s="198" t="str">
        <f>TEXT($G$1, "[$-ko-KR]yyyy-mm-dd(ddd) ") &amp; "오후 19:00"</f>
        <v>2021-05-04(화) 오후 19:00</v>
      </c>
      <c r="H96" s="199"/>
      <c r="I96" s="200"/>
      <c r="J96" s="198" t="str">
        <f>TEXT($G$1, "[$-ko-KR]yyyy-mm-dd(ddd) ") &amp; "오후 21:00"</f>
        <v>2021-05-04(화) 오후 21:00</v>
      </c>
      <c r="K96" s="199"/>
      <c r="L96" s="200"/>
      <c r="M96" s="198" t="str">
        <f>TEXT($G$1+1, "[$-ko-KR]yyyy-mm-dd(ddd) ") &amp; "오전 00:00"</f>
        <v>2021-05-05(수)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17" t="s">
        <v>58</v>
      </c>
      <c r="H97" s="118" t="s">
        <v>299</v>
      </c>
      <c r="I97" s="119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 t="s">
        <v>164</v>
      </c>
      <c r="B98" s="127">
        <v>40760</v>
      </c>
      <c r="C98" s="76">
        <v>0.41773913039999999</v>
      </c>
      <c r="D98" s="13">
        <v>49830</v>
      </c>
      <c r="E98" s="14">
        <f>IF(ISNUMBER(D98), (D98 - $B98) / $B98, "")</f>
        <v>0.22252208047105004</v>
      </c>
      <c r="F98" s="16">
        <f>IF(ISNUMBER(D98), $B118 * E98, "")</f>
        <v>66756.624141315013</v>
      </c>
      <c r="G98" s="29">
        <v>46430</v>
      </c>
      <c r="H98" s="14">
        <f>IF(ISNUMBER(G98), (G98 - $B98) / $B98, "")</f>
        <v>0.13910696761530914</v>
      </c>
      <c r="I98" s="100">
        <f>IF(ISNUMBER(G98), $B118 * H98, "")</f>
        <v>41732.090284592741</v>
      </c>
      <c r="J98" s="13">
        <v>46940</v>
      </c>
      <c r="K98" s="14">
        <f>IF(ISNUMBER(J98), (J98 - $B98) / $B98, "")</f>
        <v>0.15161923454367027</v>
      </c>
      <c r="L98" s="16">
        <f>IF(ISNUMBER(J98), $B118 * K98, "")</f>
        <v>45485.770363101081</v>
      </c>
      <c r="M98" s="29">
        <v>44090</v>
      </c>
      <c r="N98" s="14">
        <f>IF(ISNUMBER(M98), (M98 - $B98) / $B98, "")</f>
        <v>8.1697742885181557E-2</v>
      </c>
      <c r="O98" s="16">
        <f>IF(ISNUMBER(M98), $B118 * N98, "")</f>
        <v>24509.322865554466</v>
      </c>
      <c r="Q98" s="184"/>
      <c r="R98" s="184"/>
      <c r="S98" s="184"/>
    </row>
    <row r="99" spans="1:19" ht="17.25" thickBot="1">
      <c r="A99" s="128" t="s">
        <v>118</v>
      </c>
      <c r="B99" s="129">
        <v>7895</v>
      </c>
      <c r="C99" s="77">
        <v>0.14919941780000001</v>
      </c>
      <c r="D99" s="15">
        <v>8075</v>
      </c>
      <c r="E99" s="32">
        <f t="shared" ref="E99:E102" si="46">IF(ISNUMBER(D99), (D99 - $B99) / $B99, "")</f>
        <v>2.2799240025332488E-2</v>
      </c>
      <c r="F99" s="18">
        <f>IF(ISNUMBER(D99), $B118 * E99, "")</f>
        <v>6839.7720075997468</v>
      </c>
      <c r="G99" s="31">
        <v>7790</v>
      </c>
      <c r="H99" s="32">
        <f t="shared" ref="H99:H102" si="47">IF(ISNUMBER(G99), (G99 - $B99) / $B99, "")</f>
        <v>-1.3299556681443952E-2</v>
      </c>
      <c r="I99" s="101">
        <f>IF(ISNUMBER(G99), $B118 * H99, "")</f>
        <v>-3989.8670044331857</v>
      </c>
      <c r="J99" s="15">
        <v>7730</v>
      </c>
      <c r="K99" s="32">
        <f t="shared" ref="K99:K102" si="48">IF(ISNUMBER(J99), (J99 - $B99) / $B99, "")</f>
        <v>-2.089930335655478E-2</v>
      </c>
      <c r="L99" s="18">
        <f>IF(ISNUMBER(J99), $B118 * K99, "")</f>
        <v>-6269.791006966434</v>
      </c>
      <c r="M99" s="31">
        <v>7300</v>
      </c>
      <c r="N99" s="32">
        <f t="shared" ref="N99:N102" si="49">IF(ISNUMBER(M99), (M99 - $B99) / $B99, "")</f>
        <v>-7.5364154528182389E-2</v>
      </c>
      <c r="O99" s="18">
        <f>IF(ISNUMBER(M99), $B118 * N99, "")</f>
        <v>-22609.246358454719</v>
      </c>
      <c r="Q99" s="184"/>
      <c r="R99" s="184"/>
      <c r="S99" s="184"/>
    </row>
    <row r="100" spans="1:19" ht="17.25" thickBot="1">
      <c r="A100" s="128" t="s">
        <v>144</v>
      </c>
      <c r="B100" s="129">
        <v>10810</v>
      </c>
      <c r="C100" s="77">
        <v>0.14149947199999999</v>
      </c>
      <c r="D100" s="15">
        <v>11570</v>
      </c>
      <c r="E100" s="32">
        <f t="shared" si="46"/>
        <v>7.0305272895467161E-2</v>
      </c>
      <c r="F100" s="18">
        <f>IF(ISNUMBER(D100), $B118 * E100, "")</f>
        <v>21091.581868640147</v>
      </c>
      <c r="G100" s="31">
        <v>12210</v>
      </c>
      <c r="H100" s="32">
        <f t="shared" si="47"/>
        <v>0.12950971322849214</v>
      </c>
      <c r="I100" s="101">
        <f>IF(ISNUMBER(G100), $B118 * H100, "")</f>
        <v>38852.91396854764</v>
      </c>
      <c r="J100" s="15">
        <v>12040</v>
      </c>
      <c r="K100" s="32">
        <f t="shared" si="48"/>
        <v>0.11378353376503238</v>
      </c>
      <c r="L100" s="18">
        <f>IF(ISNUMBER(J100), $B118 * K100, "")</f>
        <v>34135.060129509715</v>
      </c>
      <c r="M100" s="31">
        <v>11590</v>
      </c>
      <c r="N100" s="32">
        <f t="shared" si="49"/>
        <v>7.2155411655874191E-2</v>
      </c>
      <c r="O100" s="18">
        <f>IF(ISNUMBER(M100), $B118 * N100, "")</f>
        <v>21646.623496762259</v>
      </c>
      <c r="Q100" s="174"/>
      <c r="R100" s="174"/>
      <c r="S100" s="174"/>
    </row>
    <row r="101" spans="1:19" ht="17.25" thickBot="1">
      <c r="A101" s="128" t="s">
        <v>69</v>
      </c>
      <c r="B101" s="129">
        <v>14580</v>
      </c>
      <c r="C101" s="77">
        <v>0.12586872590000001</v>
      </c>
      <c r="D101" s="15">
        <v>15660</v>
      </c>
      <c r="E101" s="32">
        <f t="shared" si="46"/>
        <v>7.407407407407407E-2</v>
      </c>
      <c r="F101" s="18">
        <f>IF(ISNUMBER(D101), $B118 * E101, "")</f>
        <v>22222.222222222223</v>
      </c>
      <c r="G101" s="31">
        <v>14930</v>
      </c>
      <c r="H101" s="32">
        <f t="shared" si="47"/>
        <v>2.4005486968449931E-2</v>
      </c>
      <c r="I101" s="101">
        <f>IF(ISNUMBER(G101), $B118 * H101, "")</f>
        <v>7201.6460905349795</v>
      </c>
      <c r="J101" s="15">
        <v>14770</v>
      </c>
      <c r="K101" s="32">
        <f t="shared" si="48"/>
        <v>1.3031550068587106E-2</v>
      </c>
      <c r="L101" s="18">
        <f>IF(ISNUMBER(J101), $B118 * K101, "")</f>
        <v>3909.4650205761318</v>
      </c>
      <c r="M101" s="31">
        <v>13820</v>
      </c>
      <c r="N101" s="32">
        <f t="shared" si="49"/>
        <v>-5.2126200274348423E-2</v>
      </c>
      <c r="O101" s="18">
        <f>IF(ISNUMBER(M101), $B118 * N101, "")</f>
        <v>-15637.860082304527</v>
      </c>
      <c r="Q101" s="174"/>
      <c r="R101" s="174"/>
      <c r="S101" s="174"/>
    </row>
    <row r="102" spans="1:19" ht="17.25" thickBot="1">
      <c r="A102" s="130" t="s">
        <v>268</v>
      </c>
      <c r="B102" s="131">
        <v>113</v>
      </c>
      <c r="C102" s="78">
        <v>0.1188118812</v>
      </c>
      <c r="D102" s="20">
        <v>107</v>
      </c>
      <c r="E102" s="21">
        <f t="shared" si="46"/>
        <v>-5.3097345132743362E-2</v>
      </c>
      <c r="F102" s="22">
        <f>IF(ISNUMBER(D102), $B118 * E102, "")</f>
        <v>-15929.203539823009</v>
      </c>
      <c r="G102" s="30">
        <v>107</v>
      </c>
      <c r="H102" s="21">
        <f t="shared" si="47"/>
        <v>-5.3097345132743362E-2</v>
      </c>
      <c r="I102" s="105">
        <f>IF(ISNUMBER(G102), $B118 * H102, "")</f>
        <v>-15929.203539823009</v>
      </c>
      <c r="J102" s="20">
        <v>111</v>
      </c>
      <c r="K102" s="21">
        <f t="shared" si="48"/>
        <v>-1.7699115044247787E-2</v>
      </c>
      <c r="L102" s="22">
        <f>IF(ISNUMBER(J102), $B118 * K102, "")</f>
        <v>-5309.7345132743358</v>
      </c>
      <c r="M102" s="30">
        <v>105</v>
      </c>
      <c r="N102" s="21">
        <f t="shared" si="49"/>
        <v>-7.0796460176991149E-2</v>
      </c>
      <c r="O102" s="22">
        <f>IF(ISNUMBER(M102), $B118 * N102, "")</f>
        <v>-21238.938053097343</v>
      </c>
      <c r="Q102" s="174"/>
      <c r="R102" s="174"/>
      <c r="S102" s="174"/>
    </row>
    <row r="103" spans="1:19" ht="17.25" thickBot="1">
      <c r="A103" s="128" t="s">
        <v>180</v>
      </c>
      <c r="B103" s="132">
        <v>5385</v>
      </c>
      <c r="C103" s="80">
        <v>0.10574948670000001</v>
      </c>
      <c r="D103" s="106">
        <v>5260</v>
      </c>
      <c r="E103" s="107">
        <f>IF(ISNUMBER(D103), (D103 - $B103) / $B103, "")</f>
        <v>-2.3212627669452181E-2</v>
      </c>
      <c r="F103" s="108">
        <f>IF(ISNUMBER(D103), $B118 * E103, "")</f>
        <v>-6963.7883008356539</v>
      </c>
      <c r="G103" s="109">
        <v>5190</v>
      </c>
      <c r="H103" s="107">
        <f>IF(ISNUMBER(G103), (G103 - $B103) / $B103, "")</f>
        <v>-3.6211699164345405E-2</v>
      </c>
      <c r="I103" s="110">
        <f>IF(ISNUMBER(G103), $B118 * H103, "")</f>
        <v>-10863.509749303621</v>
      </c>
      <c r="J103" s="106">
        <v>5120</v>
      </c>
      <c r="K103" s="107">
        <f>IF(ISNUMBER(J103), (J103 - $B103) / $B103, "")</f>
        <v>-4.9210770659238623E-2</v>
      </c>
      <c r="L103" s="108">
        <f>IF(ISNUMBER(J103), $B118 * K103, "")</f>
        <v>-14763.231197771587</v>
      </c>
      <c r="M103" s="109">
        <v>4855</v>
      </c>
      <c r="N103" s="107">
        <f>IF(ISNUMBER(M103), (M103 - $B103) / $B103, "")</f>
        <v>-9.8421541318477246E-2</v>
      </c>
      <c r="O103" s="108">
        <f>IF(ISNUMBER(M103), $B118 * N103, "")</f>
        <v>-29526.462395543174</v>
      </c>
      <c r="Q103" s="174"/>
      <c r="R103" s="174"/>
      <c r="S103" s="174"/>
    </row>
    <row r="104" spans="1:19" ht="17.25" thickBot="1">
      <c r="A104" s="128" t="s">
        <v>136</v>
      </c>
      <c r="B104" s="129">
        <v>269</v>
      </c>
      <c r="C104" s="77">
        <v>9.3495935000000002E-2</v>
      </c>
      <c r="D104" s="15">
        <v>251</v>
      </c>
      <c r="E104" s="32">
        <f t="shared" ref="E104:E107" si="50">IF(ISNUMBER(D104), (D104 - $B104) / $B104, "")</f>
        <v>-6.6914498141263934E-2</v>
      </c>
      <c r="F104" s="18">
        <f>IF(ISNUMBER(D104), $B118 * E104, "")</f>
        <v>-20074.349442379182</v>
      </c>
      <c r="G104" s="31">
        <v>253</v>
      </c>
      <c r="H104" s="32">
        <f t="shared" ref="H104:H107" si="51">IF(ISNUMBER(G104), (G104 - $B104) / $B104, "")</f>
        <v>-5.9479553903345722E-2</v>
      </c>
      <c r="I104" s="101">
        <f>IF(ISNUMBER(G104), $B118 * H104, "")</f>
        <v>-17843.866171003716</v>
      </c>
      <c r="J104" s="15">
        <v>260</v>
      </c>
      <c r="K104" s="32">
        <f t="shared" ref="K104:K107" si="52">IF(ISNUMBER(J104), (J104 - $B104) / $B104, "")</f>
        <v>-3.3457249070631967E-2</v>
      </c>
      <c r="L104" s="18">
        <f>IF(ISNUMBER(J104), $B118 * K104, "")</f>
        <v>-10037.174721189591</v>
      </c>
      <c r="M104" s="31">
        <v>254</v>
      </c>
      <c r="N104" s="32">
        <f t="shared" ref="N104:N107" si="53">IF(ISNUMBER(M104), (M104 - $B104) / $B104, "")</f>
        <v>-5.5762081784386616E-2</v>
      </c>
      <c r="O104" s="18">
        <f>IF(ISNUMBER(M104), $B118 * N104, "")</f>
        <v>-16728.624535315987</v>
      </c>
      <c r="Q104" s="174"/>
      <c r="R104" s="174"/>
      <c r="S104" s="174"/>
    </row>
    <row r="105" spans="1:19" ht="17.25" thickBot="1">
      <c r="A105" s="128" t="s">
        <v>102</v>
      </c>
      <c r="B105" s="129">
        <v>58980</v>
      </c>
      <c r="C105" s="77">
        <v>8.4589922799999995E-2</v>
      </c>
      <c r="D105" s="15">
        <v>65920</v>
      </c>
      <c r="E105" s="32">
        <f t="shared" si="50"/>
        <v>0.11766700576466599</v>
      </c>
      <c r="F105" s="18">
        <f>IF(ISNUMBER(D105), $B118 * E105, "")</f>
        <v>35300.101729399794</v>
      </c>
      <c r="G105" s="31">
        <v>66270</v>
      </c>
      <c r="H105" s="32">
        <f t="shared" si="51"/>
        <v>0.12360122075279756</v>
      </c>
      <c r="I105" s="101">
        <f>IF(ISNUMBER(G105), $B118 * H105, "")</f>
        <v>37080.366225839265</v>
      </c>
      <c r="J105" s="15">
        <v>69060</v>
      </c>
      <c r="K105" s="32">
        <f t="shared" si="52"/>
        <v>0.17090539165818922</v>
      </c>
      <c r="L105" s="18">
        <f>IF(ISNUMBER(J105), $B118 * K105, "")</f>
        <v>51271.617497456762</v>
      </c>
      <c r="M105" s="31">
        <v>75100</v>
      </c>
      <c r="N105" s="32">
        <f t="shared" si="53"/>
        <v>0.27331298745337401</v>
      </c>
      <c r="O105" s="18">
        <f>IF(ISNUMBER(M105), $B118 * N105, "")</f>
        <v>81993.89623601221</v>
      </c>
      <c r="Q105" s="174"/>
      <c r="R105" s="174"/>
      <c r="S105" s="174"/>
    </row>
    <row r="106" spans="1:19" ht="17.25" thickBot="1">
      <c r="A106" s="128" t="s">
        <v>242</v>
      </c>
      <c r="B106" s="129">
        <v>7345</v>
      </c>
      <c r="C106" s="77">
        <v>7.9353416600000004E-2</v>
      </c>
      <c r="D106" s="15">
        <v>7510</v>
      </c>
      <c r="E106" s="32">
        <f t="shared" si="50"/>
        <v>2.24642614023145E-2</v>
      </c>
      <c r="F106" s="18">
        <f>IF(ISNUMBER(D106), $B118 * E106, "")</f>
        <v>6739.2784206943497</v>
      </c>
      <c r="G106" s="31">
        <v>7615</v>
      </c>
      <c r="H106" s="32">
        <f t="shared" si="51"/>
        <v>3.6759700476514633E-2</v>
      </c>
      <c r="I106" s="101">
        <f>IF(ISNUMBER(G106), $B118 * H106, "")</f>
        <v>11027.91014295439</v>
      </c>
      <c r="J106" s="15">
        <v>7710</v>
      </c>
      <c r="K106" s="32">
        <f t="shared" si="52"/>
        <v>4.9693669162695714E-2</v>
      </c>
      <c r="L106" s="18">
        <f>IF(ISNUMBER(J106), $B118 * K106, "")</f>
        <v>14908.100748808714</v>
      </c>
      <c r="M106" s="31">
        <v>7190</v>
      </c>
      <c r="N106" s="32">
        <f t="shared" si="53"/>
        <v>-2.1102791014295439E-2</v>
      </c>
      <c r="O106" s="18">
        <f>IF(ISNUMBER(M106), $B118 * N106, "")</f>
        <v>-6330.8373042886315</v>
      </c>
      <c r="Q106" s="33"/>
      <c r="R106" s="33"/>
    </row>
    <row r="107" spans="1:19" ht="17.25" thickBot="1">
      <c r="A107" s="133" t="s">
        <v>142</v>
      </c>
      <c r="B107" s="134">
        <v>466</v>
      </c>
      <c r="C107" s="79">
        <v>7.8703703700000002E-2</v>
      </c>
      <c r="D107" s="24">
        <v>443</v>
      </c>
      <c r="E107" s="25">
        <f t="shared" si="50"/>
        <v>-4.9356223175965663E-2</v>
      </c>
      <c r="F107" s="104">
        <f>IF(ISNUMBER(D107), $B118 * E107, "")</f>
        <v>-14806.866952789698</v>
      </c>
      <c r="G107" s="102">
        <v>447</v>
      </c>
      <c r="H107" s="25">
        <f t="shared" si="51"/>
        <v>-4.07725321888412E-2</v>
      </c>
      <c r="I107" s="103">
        <f>IF(ISNUMBER(G107), $B118 * H107, "")</f>
        <v>-12231.759656652361</v>
      </c>
      <c r="J107" s="24">
        <v>443</v>
      </c>
      <c r="K107" s="25">
        <f t="shared" si="52"/>
        <v>-4.9356223175965663E-2</v>
      </c>
      <c r="L107" s="104">
        <f>IF(ISNUMBER(J107), $B118 * K107, "")</f>
        <v>-14806.866952789698</v>
      </c>
      <c r="M107" s="102">
        <v>422</v>
      </c>
      <c r="N107" s="25">
        <f t="shared" si="53"/>
        <v>-9.4420600858369105E-2</v>
      </c>
      <c r="O107" s="104">
        <f>IF(ISNUMBER(M107), $B118 * N107, "")</f>
        <v>-28326.180257510732</v>
      </c>
      <c r="Q107" s="175"/>
      <c r="R107" s="176"/>
      <c r="S107" s="177"/>
    </row>
    <row r="108" spans="1:19">
      <c r="A108" s="126" t="s">
        <v>194</v>
      </c>
      <c r="B108" s="127">
        <v>16200</v>
      </c>
      <c r="C108" s="76">
        <v>7.85619174E-2</v>
      </c>
      <c r="D108" s="13">
        <v>16040</v>
      </c>
      <c r="E108" s="14">
        <f>IF(ISNUMBER(D108), (D108 - $B108) / $B108, "")</f>
        <v>-9.876543209876543E-3</v>
      </c>
      <c r="F108" s="16">
        <f>IF(ISNUMBER(D108), $B118 * E108, "")</f>
        <v>-2962.962962962963</v>
      </c>
      <c r="G108" s="29">
        <v>15700</v>
      </c>
      <c r="H108" s="14">
        <f>IF(ISNUMBER(G108), (G108 - $B108) / $B108, "")</f>
        <v>-3.0864197530864196E-2</v>
      </c>
      <c r="I108" s="100">
        <f>IF(ISNUMBER(G108), $B118 * H108, "")</f>
        <v>-9259.2592592592591</v>
      </c>
      <c r="J108" s="13">
        <v>15670</v>
      </c>
      <c r="K108" s="14">
        <f>IF(ISNUMBER(J108), (J108 - $B108) / $B108, "")</f>
        <v>-3.271604938271605E-2</v>
      </c>
      <c r="L108" s="16">
        <f>IF(ISNUMBER(J108), $B118 * K108, "")</f>
        <v>-9814.8148148148157</v>
      </c>
      <c r="M108" s="29">
        <v>15090</v>
      </c>
      <c r="N108" s="14">
        <f>IF(ISNUMBER(M108), (M108 - $B108) / $B108, "")</f>
        <v>-6.851851851851852E-2</v>
      </c>
      <c r="O108" s="16">
        <f>IF(ISNUMBER(M108), $B118 * N108, "")</f>
        <v>-20555.555555555555</v>
      </c>
      <c r="Q108" s="178"/>
      <c r="R108" s="179"/>
      <c r="S108" s="180"/>
    </row>
    <row r="109" spans="1:19" ht="17.25" thickBot="1">
      <c r="A109" s="128" t="s">
        <v>116</v>
      </c>
      <c r="B109" s="129">
        <v>755</v>
      </c>
      <c r="C109" s="77">
        <v>7.2443181800000006E-2</v>
      </c>
      <c r="D109" s="15">
        <v>851</v>
      </c>
      <c r="E109" s="32">
        <f t="shared" ref="E109:E112" si="54">IF(ISNUMBER(D109), (D109 - $B109) / $B109, "")</f>
        <v>0.1271523178807947</v>
      </c>
      <c r="F109" s="18">
        <f>IF(ISNUMBER(D109), $B118 * E109, "")</f>
        <v>38145.695364238411</v>
      </c>
      <c r="G109" s="31">
        <v>856</v>
      </c>
      <c r="H109" s="32">
        <f t="shared" ref="H109:H112" si="55">IF(ISNUMBER(G109), (G109 - $B109) / $B109, "")</f>
        <v>0.1337748344370861</v>
      </c>
      <c r="I109" s="101">
        <f>IF(ISNUMBER(G109), $B118 * H109, "")</f>
        <v>40132.45033112583</v>
      </c>
      <c r="J109" s="15">
        <v>835</v>
      </c>
      <c r="K109" s="32">
        <f t="shared" ref="K109:K112" si="56">IF(ISNUMBER(J109), (J109 - $B109) / $B109, "")</f>
        <v>0.10596026490066225</v>
      </c>
      <c r="L109" s="18">
        <f>IF(ISNUMBER(J109), $B118 * K109, "")</f>
        <v>31788.079470198674</v>
      </c>
      <c r="M109" s="31">
        <v>780</v>
      </c>
      <c r="N109" s="32">
        <f t="shared" ref="N109:N112" si="57">IF(ISNUMBER(M109), (M109 - $B109) / $B109, "")</f>
        <v>3.3112582781456956E-2</v>
      </c>
      <c r="O109" s="18">
        <f>IF(ISNUMBER(M109), $B118 * N109, "")</f>
        <v>9933.7748344370866</v>
      </c>
      <c r="Q109" s="181"/>
      <c r="R109" s="182"/>
      <c r="S109" s="183"/>
    </row>
    <row r="110" spans="1:19" ht="17.25" thickBot="1">
      <c r="A110" s="128" t="s">
        <v>96</v>
      </c>
      <c r="B110" s="129">
        <v>3820000</v>
      </c>
      <c r="C110" s="77">
        <v>7.2130227300000002E-2</v>
      </c>
      <c r="D110" s="15">
        <v>4163000</v>
      </c>
      <c r="E110" s="32">
        <f t="shared" si="54"/>
        <v>8.9790575916230367E-2</v>
      </c>
      <c r="F110" s="18">
        <f>IF(ISNUMBER(D110), $B118 * E110, "")</f>
        <v>26937.172774869108</v>
      </c>
      <c r="G110" s="31">
        <v>4191000</v>
      </c>
      <c r="H110" s="32">
        <f t="shared" si="55"/>
        <v>9.7120418848167536E-2</v>
      </c>
      <c r="I110" s="101">
        <f>IF(ISNUMBER(G110), $B118 * H110, "")</f>
        <v>29136.125654450261</v>
      </c>
      <c r="J110" s="15">
        <v>4303000</v>
      </c>
      <c r="K110" s="32">
        <f t="shared" si="56"/>
        <v>0.12643979057591623</v>
      </c>
      <c r="L110" s="18">
        <f>IF(ISNUMBER(J110), $B118 * K110, "")</f>
        <v>37931.937172774866</v>
      </c>
      <c r="M110" s="31">
        <v>4211000</v>
      </c>
      <c r="N110" s="32">
        <f t="shared" si="57"/>
        <v>0.10235602094240838</v>
      </c>
      <c r="O110" s="18">
        <f>IF(ISNUMBER(M110), $B118 * N110, "")</f>
        <v>30706.806282722515</v>
      </c>
      <c r="Q110" s="174"/>
      <c r="R110" s="174"/>
      <c r="S110" s="174"/>
    </row>
    <row r="111" spans="1:19" ht="17.25" thickBot="1">
      <c r="A111" s="128" t="s">
        <v>276</v>
      </c>
      <c r="B111" s="129">
        <v>4540</v>
      </c>
      <c r="C111" s="77">
        <v>6.9493521799999999E-2</v>
      </c>
      <c r="D111" s="15">
        <v>4685</v>
      </c>
      <c r="E111" s="32">
        <f t="shared" si="54"/>
        <v>3.1938325991189426E-2</v>
      </c>
      <c r="F111" s="18">
        <f>IF(ISNUMBER(D111), $B118 * E111, "")</f>
        <v>9581.4977973568275</v>
      </c>
      <c r="G111" s="31">
        <v>4705</v>
      </c>
      <c r="H111" s="32">
        <f t="shared" si="55"/>
        <v>3.634361233480176E-2</v>
      </c>
      <c r="I111" s="101">
        <f>IF(ISNUMBER(G111), $B118 * H111, "")</f>
        <v>10903.083700440528</v>
      </c>
      <c r="J111" s="15">
        <v>4765</v>
      </c>
      <c r="K111" s="32">
        <f t="shared" si="56"/>
        <v>4.9559471365638763E-2</v>
      </c>
      <c r="L111" s="18">
        <f>IF(ISNUMBER(J111), $B118 * K111, "")</f>
        <v>14867.841409691629</v>
      </c>
      <c r="M111" s="31">
        <v>4535</v>
      </c>
      <c r="N111" s="32">
        <f t="shared" si="57"/>
        <v>-1.1013215859030838E-3</v>
      </c>
      <c r="O111" s="18">
        <f>IF(ISNUMBER(M111), $B118 * N111, "")</f>
        <v>-330.39647577092512</v>
      </c>
      <c r="Q111" s="184"/>
      <c r="R111" s="184"/>
      <c r="S111" s="184"/>
    </row>
    <row r="112" spans="1:19" ht="17.25" thickBot="1">
      <c r="A112" s="130" t="s">
        <v>114</v>
      </c>
      <c r="B112" s="131">
        <v>14080</v>
      </c>
      <c r="C112" s="78">
        <v>6.4247921400000005E-2</v>
      </c>
      <c r="D112" s="20">
        <v>13730</v>
      </c>
      <c r="E112" s="21">
        <f t="shared" si="54"/>
        <v>-2.4857954545454544E-2</v>
      </c>
      <c r="F112" s="22">
        <f>IF(ISNUMBER(D112), $B118 * E112, "")</f>
        <v>-7457.3863636363631</v>
      </c>
      <c r="G112" s="30">
        <v>13840</v>
      </c>
      <c r="H112" s="21">
        <f t="shared" si="55"/>
        <v>-1.7045454545454544E-2</v>
      </c>
      <c r="I112" s="105">
        <f>IF(ISNUMBER(G112), $B118 * H112, "")</f>
        <v>-5113.6363636363631</v>
      </c>
      <c r="J112" s="20">
        <v>13660</v>
      </c>
      <c r="K112" s="21">
        <f t="shared" si="56"/>
        <v>-2.9829545454545456E-2</v>
      </c>
      <c r="L112" s="22">
        <f>IF(ISNUMBER(J112), $B118 * K112, "")</f>
        <v>-8948.863636363636</v>
      </c>
      <c r="M112" s="30">
        <v>13280</v>
      </c>
      <c r="N112" s="21">
        <f t="shared" si="57"/>
        <v>-5.6818181818181816E-2</v>
      </c>
      <c r="O112" s="22">
        <f>IF(ISNUMBER(M112), $B118 * N112, "")</f>
        <v>-17045.454545454544</v>
      </c>
      <c r="Q112" s="184"/>
      <c r="R112" s="184"/>
      <c r="S112" s="184"/>
    </row>
    <row r="113" spans="1:19" ht="17.25" thickBot="1">
      <c r="A113" s="128" t="s">
        <v>220</v>
      </c>
      <c r="B113" s="132">
        <v>23.9</v>
      </c>
      <c r="C113" s="80">
        <v>5.75221239E-2</v>
      </c>
      <c r="D113" s="106">
        <v>23.8</v>
      </c>
      <c r="E113" s="107">
        <f>IF(ISNUMBER(D113), (D113 - $B113) / $B113, "")</f>
        <v>-4.184100418409953E-3</v>
      </c>
      <c r="F113" s="108">
        <f>IF(ISNUMBER(D113), $B118 * E113, "")</f>
        <v>-1255.2301255229859</v>
      </c>
      <c r="G113" s="109">
        <v>24.3</v>
      </c>
      <c r="H113" s="107">
        <f>IF(ISNUMBER(G113), (G113 - $B113) / $B113, "")</f>
        <v>1.6736401673640256E-2</v>
      </c>
      <c r="I113" s="110">
        <f>IF(ISNUMBER(G113), $B118 * H113, "")</f>
        <v>5020.9205020920772</v>
      </c>
      <c r="J113" s="106">
        <v>24.5</v>
      </c>
      <c r="K113" s="107">
        <f>IF(ISNUMBER(J113), (J113 - $B113) / $B113, "")</f>
        <v>2.5104602510460313E-2</v>
      </c>
      <c r="L113" s="108">
        <f>IF(ISNUMBER(J113), $B118 * K113, "")</f>
        <v>7531.3807531380935</v>
      </c>
      <c r="M113" s="109">
        <v>23.5</v>
      </c>
      <c r="N113" s="107">
        <f>IF(ISNUMBER(M113), (M113 - $B113) / $B113, "")</f>
        <v>-1.673640167364011E-2</v>
      </c>
      <c r="O113" s="108">
        <f>IF(ISNUMBER(M113), $B118 * N113, "")</f>
        <v>-5020.9205020920335</v>
      </c>
      <c r="Q113" s="174"/>
      <c r="R113" s="174"/>
      <c r="S113" s="174"/>
    </row>
    <row r="114" spans="1:19" ht="17.25" thickBot="1">
      <c r="A114" s="128" t="s">
        <v>296</v>
      </c>
      <c r="B114" s="129">
        <v>479</v>
      </c>
      <c r="C114" s="77">
        <v>5.7395143500000002E-2</v>
      </c>
      <c r="D114" s="15">
        <v>540</v>
      </c>
      <c r="E114" s="32">
        <f t="shared" ref="E114:E117" si="58">IF(ISNUMBER(D114), (D114 - $B114) / $B114, "")</f>
        <v>0.12734864300626306</v>
      </c>
      <c r="F114" s="18">
        <f>IF(ISNUMBER(D114), $B118 * E114, "")</f>
        <v>38204.592901878917</v>
      </c>
      <c r="G114" s="31">
        <v>601</v>
      </c>
      <c r="H114" s="32">
        <f t="shared" ref="H114:H117" si="59">IF(ISNUMBER(G114), (G114 - $B114) / $B114, "")</f>
        <v>0.25469728601252611</v>
      </c>
      <c r="I114" s="101">
        <f>IF(ISNUMBER(G114), $B118 * H114, "")</f>
        <v>76409.185803757835</v>
      </c>
      <c r="J114" s="15">
        <v>617</v>
      </c>
      <c r="K114" s="32">
        <f t="shared" ref="K114:K117" si="60">IF(ISNUMBER(J114), (J114 - $B114) / $B114, "")</f>
        <v>0.2881002087682672</v>
      </c>
      <c r="L114" s="18">
        <f>IF(ISNUMBER(J114), $B118 * K114, "")</f>
        <v>86430.062630480155</v>
      </c>
      <c r="M114" s="31">
        <v>664</v>
      </c>
      <c r="N114" s="32">
        <f t="shared" ref="N114:N117" si="61">IF(ISNUMBER(M114), (M114 - $B114) / $B114, "")</f>
        <v>0.38622129436325681</v>
      </c>
      <c r="O114" s="18">
        <f>IF(ISNUMBER(M114), $B118 * N114, "")</f>
        <v>115866.38830897704</v>
      </c>
      <c r="Q114" s="174"/>
      <c r="R114" s="174"/>
      <c r="S114" s="174"/>
    </row>
    <row r="115" spans="1:19" ht="17.25" thickBot="1">
      <c r="A115" s="128" t="s">
        <v>178</v>
      </c>
      <c r="B115" s="129">
        <v>52480</v>
      </c>
      <c r="C115" s="77">
        <v>5.6573384300000001E-2</v>
      </c>
      <c r="D115" s="15">
        <v>53250</v>
      </c>
      <c r="E115" s="32">
        <f t="shared" si="58"/>
        <v>1.4672256097560975E-2</v>
      </c>
      <c r="F115" s="18">
        <f>IF(ISNUMBER(D115), $B118 * E115, "")</f>
        <v>4401.6768292682927</v>
      </c>
      <c r="G115" s="31">
        <v>52820</v>
      </c>
      <c r="H115" s="32">
        <f t="shared" si="59"/>
        <v>6.4786585365853655E-3</v>
      </c>
      <c r="I115" s="101">
        <f>IF(ISNUMBER(G115), $B118 * H115, "")</f>
        <v>1943.5975609756097</v>
      </c>
      <c r="J115" s="15">
        <v>53090</v>
      </c>
      <c r="K115" s="32">
        <f t="shared" si="60"/>
        <v>1.1623475609756097E-2</v>
      </c>
      <c r="L115" s="18">
        <f>IF(ISNUMBER(J115), $B118 * K115, "")</f>
        <v>3487.0426829268295</v>
      </c>
      <c r="M115" s="31">
        <v>50580</v>
      </c>
      <c r="N115" s="32">
        <f t="shared" si="61"/>
        <v>-3.6204268292682924E-2</v>
      </c>
      <c r="O115" s="18">
        <f>IF(ISNUMBER(M115), $B118 * N115, "")</f>
        <v>-10861.280487804877</v>
      </c>
      <c r="Q115" s="174"/>
      <c r="R115" s="174"/>
      <c r="S115" s="174"/>
    </row>
    <row r="116" spans="1:19">
      <c r="A116" s="128" t="s">
        <v>128</v>
      </c>
      <c r="B116" s="129">
        <v>724</v>
      </c>
      <c r="C116" s="77">
        <v>5.5393586000000002E-2</v>
      </c>
      <c r="D116" s="15">
        <v>717</v>
      </c>
      <c r="E116" s="32">
        <f t="shared" si="58"/>
        <v>-9.6685082872928173E-3</v>
      </c>
      <c r="F116" s="18">
        <f>IF(ISNUMBER(D116), $B118 * E116, "")</f>
        <v>-2900.5524861878453</v>
      </c>
      <c r="G116" s="31">
        <v>703</v>
      </c>
      <c r="H116" s="32">
        <f t="shared" si="59"/>
        <v>-2.9005524861878452E-2</v>
      </c>
      <c r="I116" s="101">
        <f>IF(ISNUMBER(G116), $B118 * H116, "")</f>
        <v>-8701.6574585635353</v>
      </c>
      <c r="J116" s="15">
        <v>704</v>
      </c>
      <c r="K116" s="32">
        <f t="shared" si="60"/>
        <v>-2.7624309392265192E-2</v>
      </c>
      <c r="L116" s="18">
        <f>IF(ISNUMBER(J116), $B118 * K116, "")</f>
        <v>-8287.2928176795576</v>
      </c>
      <c r="M116" s="31">
        <v>677</v>
      </c>
      <c r="N116" s="32">
        <f t="shared" si="61"/>
        <v>-6.4917127071823205E-2</v>
      </c>
      <c r="O116" s="18">
        <f>IF(ISNUMBER(M116), $B118 * N116, "")</f>
        <v>-19475.138121546963</v>
      </c>
      <c r="Q116" s="163"/>
      <c r="R116" s="164"/>
      <c r="S116" s="165"/>
    </row>
    <row r="117" spans="1:19" ht="17.25" thickBot="1">
      <c r="A117" s="133" t="s">
        <v>154</v>
      </c>
      <c r="B117" s="134">
        <v>24</v>
      </c>
      <c r="C117" s="79">
        <v>5.2631578900000003E-2</v>
      </c>
      <c r="D117" s="24">
        <v>24.2</v>
      </c>
      <c r="E117" s="25">
        <f t="shared" si="58"/>
        <v>8.3333333333333037E-3</v>
      </c>
      <c r="F117" s="104">
        <f>IF(ISNUMBER(D117), $B118 * E117, "")</f>
        <v>2499.9999999999909</v>
      </c>
      <c r="G117" s="102">
        <v>23.9</v>
      </c>
      <c r="H117" s="25">
        <f t="shared" si="59"/>
        <v>-4.1666666666667256E-3</v>
      </c>
      <c r="I117" s="103">
        <f>IF(ISNUMBER(G117), $B118 * H117, "")</f>
        <v>-1250.0000000000177</v>
      </c>
      <c r="J117" s="24">
        <v>24.5</v>
      </c>
      <c r="K117" s="25">
        <f t="shared" si="60"/>
        <v>2.0833333333333332E-2</v>
      </c>
      <c r="L117" s="104">
        <f>IF(ISNUMBER(J117), $B118 * K117, "")</f>
        <v>6250</v>
      </c>
      <c r="M117" s="102">
        <v>22.9</v>
      </c>
      <c r="N117" s="25">
        <f t="shared" si="61"/>
        <v>-4.5833333333333393E-2</v>
      </c>
      <c r="O117" s="104">
        <f>IF(ISNUMBER(M117), $B118 * N117, "")</f>
        <v>-13750.000000000018</v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300000</v>
      </c>
      <c r="C118" s="228"/>
      <c r="D118" s="26" t="s">
        <v>302</v>
      </c>
      <c r="E118" s="27">
        <f>IF(COUNT(E98:E117), SUM(E98:E117) / COUNT(E98:E117), 0)</f>
        <v>3.4394979313890843E-2</v>
      </c>
      <c r="F118" s="28">
        <f>SUM(F98:F117)</f>
        <v>206369.87588334508</v>
      </c>
      <c r="G118" s="26" t="s">
        <v>302</v>
      </c>
      <c r="H118" s="27">
        <f>IF(COUNT(H98:H117), SUM(H98:H117) / COUNT(H98:H117), 0)</f>
        <v>3.5709588510439344E-2</v>
      </c>
      <c r="I118" s="28">
        <f>SUM(I98:I117)</f>
        <v>214257.53106263612</v>
      </c>
      <c r="J118" s="26" t="s">
        <v>302</v>
      </c>
      <c r="K118" s="27">
        <f>IF(COUNT(K98:K117), SUM(K98:K117) / COUNT(K98:K117), 0)</f>
        <v>4.3293098036302172E-2</v>
      </c>
      <c r="L118" s="28">
        <f>SUM(L98:L117)</f>
        <v>259758.58821781303</v>
      </c>
      <c r="M118" s="26" t="s">
        <v>302</v>
      </c>
      <c r="N118" s="27">
        <f>IF(COUNT(N98:N117), SUM(N98:N117) / COUNT(N98:N117), 0)</f>
        <v>9.5366528916209243E-3</v>
      </c>
      <c r="O118" s="28">
        <f>SUM(O98:O117)</f>
        <v>57219.917349725554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16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2021-05-04(화) 오전 00:00</v>
      </c>
      <c r="C123" s="226"/>
      <c r="D123" s="198" t="str">
        <f>TEXT($G$1, "[$-ko-KR]yyyy-mm-dd(ddd) ") &amp; "오후 14:00"</f>
        <v>2021-05-04(화) 오후 14:00</v>
      </c>
      <c r="E123" s="199"/>
      <c r="F123" s="200"/>
      <c r="G123" s="198" t="str">
        <f>TEXT($G$1, "[$-ko-KR]yyyy-mm-dd(ddd) ") &amp; "오후 19:00"</f>
        <v>2021-05-04(화) 오후 19:00</v>
      </c>
      <c r="H123" s="199"/>
      <c r="I123" s="200"/>
      <c r="J123" s="198" t="str">
        <f>TEXT($G$1, "[$-ko-KR]yyyy-mm-dd(ddd) ") &amp; "오후 21:00"</f>
        <v>2021-05-04(화) 오후 21:00</v>
      </c>
      <c r="K123" s="199"/>
      <c r="L123" s="200"/>
      <c r="M123" s="198" t="str">
        <f>TEXT($G$1+1, "[$-ko-KR]yyyy-mm-dd(ddd) ") &amp; "오전 00:00"</f>
        <v>2021-05-05(수)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17" t="s">
        <v>58</v>
      </c>
      <c r="H124" s="118" t="s">
        <v>299</v>
      </c>
      <c r="I124" s="119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 t="s">
        <v>220</v>
      </c>
      <c r="B125" s="127">
        <v>23.9</v>
      </c>
      <c r="C125" s="76">
        <v>5.75221239E-2</v>
      </c>
      <c r="D125" s="13">
        <v>23.8</v>
      </c>
      <c r="E125" s="14">
        <f>IF(ISNUMBER(D125), (D125 - $B125) / $B125, "")</f>
        <v>-4.184100418409953E-3</v>
      </c>
      <c r="F125" s="16">
        <f>IF(ISNUMBER(D125), $B145 * E125, "")</f>
        <v>-1255.2301255229859</v>
      </c>
      <c r="G125" s="29">
        <v>24.3</v>
      </c>
      <c r="H125" s="14">
        <f>IF(ISNUMBER(G125), (G125 - $B125) / $B125, "")</f>
        <v>1.6736401673640256E-2</v>
      </c>
      <c r="I125" s="100">
        <f>IF(ISNUMBER(G125), $B145 * H125, "")</f>
        <v>5020.9205020920772</v>
      </c>
      <c r="J125" s="13">
        <v>24.5</v>
      </c>
      <c r="K125" s="14">
        <f>IF(ISNUMBER(J125), (J125 - $B125) / $B125, "")</f>
        <v>2.5104602510460313E-2</v>
      </c>
      <c r="L125" s="16">
        <f>IF(ISNUMBER(J125), $B145 * K125, "")</f>
        <v>7531.3807531380935</v>
      </c>
      <c r="M125" s="29">
        <v>23.5</v>
      </c>
      <c r="N125" s="14">
        <f>IF(ISNUMBER(M125), (M125 - $B125) / $B125, "")</f>
        <v>-1.673640167364011E-2</v>
      </c>
      <c r="O125" s="16">
        <f>IF(ISNUMBER(M125), $B145 * N125, "")</f>
        <v>-5020.9205020920335</v>
      </c>
      <c r="Q125" s="184"/>
      <c r="R125" s="184"/>
      <c r="S125" s="184"/>
    </row>
    <row r="126" spans="1:19" ht="17.25" thickBot="1">
      <c r="A126" s="128" t="s">
        <v>154</v>
      </c>
      <c r="B126" s="129">
        <v>24</v>
      </c>
      <c r="C126" s="77">
        <v>5.2631578900000003E-2</v>
      </c>
      <c r="D126" s="15">
        <v>24.2</v>
      </c>
      <c r="E126" s="32">
        <f t="shared" ref="E126:E129" si="62">IF(ISNUMBER(D126), (D126 - $B126) / $B126, "")</f>
        <v>8.3333333333333037E-3</v>
      </c>
      <c r="F126" s="18">
        <f>IF(ISNUMBER(D126), $B145 * E126, "")</f>
        <v>2499.9999999999909</v>
      </c>
      <c r="G126" s="31">
        <v>23.9</v>
      </c>
      <c r="H126" s="32">
        <f t="shared" ref="H126:H129" si="63">IF(ISNUMBER(G126), (G126 - $B126) / $B126, "")</f>
        <v>-4.1666666666667256E-3</v>
      </c>
      <c r="I126" s="101">
        <f>IF(ISNUMBER(G126), $B145 * H126, "")</f>
        <v>-1250.0000000000177</v>
      </c>
      <c r="J126" s="15">
        <v>24.5</v>
      </c>
      <c r="K126" s="32">
        <f t="shared" ref="K126:K129" si="64">IF(ISNUMBER(J126), (J126 - $B126) / $B126, "")</f>
        <v>2.0833333333333332E-2</v>
      </c>
      <c r="L126" s="18">
        <f>IF(ISNUMBER(J126), $B145 * K126, "")</f>
        <v>6250</v>
      </c>
      <c r="M126" s="31">
        <v>22.9</v>
      </c>
      <c r="N126" s="32">
        <f t="shared" ref="N126:N129" si="65">IF(ISNUMBER(M126), (M126 - $B126) / $B126, "")</f>
        <v>-4.5833333333333393E-2</v>
      </c>
      <c r="O126" s="18">
        <f>IF(ISNUMBER(M126), $B145 * N126, "")</f>
        <v>-13750.000000000018</v>
      </c>
      <c r="Q126" s="184"/>
      <c r="R126" s="184"/>
      <c r="S126" s="184"/>
    </row>
    <row r="127" spans="1:19" ht="17.25" thickBot="1">
      <c r="A127" s="128" t="s">
        <v>65</v>
      </c>
      <c r="B127" s="129">
        <v>80</v>
      </c>
      <c r="C127" s="77">
        <v>4.98687664E-2</v>
      </c>
      <c r="D127" s="15">
        <v>76.7</v>
      </c>
      <c r="E127" s="32">
        <f t="shared" si="62"/>
        <v>-4.1249999999999967E-2</v>
      </c>
      <c r="F127" s="18">
        <f>IF(ISNUMBER(D127), $B145 * E127, "")</f>
        <v>-12374.999999999991</v>
      </c>
      <c r="G127" s="31">
        <v>77</v>
      </c>
      <c r="H127" s="32">
        <f t="shared" si="63"/>
        <v>-3.7499999999999999E-2</v>
      </c>
      <c r="I127" s="101">
        <f>IF(ISNUMBER(G127), $B145 * H127, "")</f>
        <v>-11250</v>
      </c>
      <c r="J127" s="15">
        <v>76.400000000000006</v>
      </c>
      <c r="K127" s="32">
        <f t="shared" si="64"/>
        <v>-4.4999999999999929E-2</v>
      </c>
      <c r="L127" s="18">
        <f>IF(ISNUMBER(J127), $B145 * K127, "")</f>
        <v>-13499.999999999978</v>
      </c>
      <c r="M127" s="31">
        <v>73.400000000000006</v>
      </c>
      <c r="N127" s="32">
        <f t="shared" si="65"/>
        <v>-8.2499999999999934E-2</v>
      </c>
      <c r="O127" s="18">
        <f>IF(ISNUMBER(M127), $B145 * N127, "")</f>
        <v>-24749.999999999982</v>
      </c>
      <c r="Q127" s="174"/>
      <c r="R127" s="174"/>
      <c r="S127" s="174"/>
    </row>
    <row r="128" spans="1:19" ht="17.25" thickBot="1">
      <c r="A128" s="128" t="s">
        <v>186</v>
      </c>
      <c r="B128" s="129">
        <v>29.3</v>
      </c>
      <c r="C128" s="77">
        <v>3.9007092200000003E-2</v>
      </c>
      <c r="D128" s="15">
        <v>28.1</v>
      </c>
      <c r="E128" s="32">
        <f t="shared" si="62"/>
        <v>-4.0955631399317384E-2</v>
      </c>
      <c r="F128" s="18">
        <f>IF(ISNUMBER(D128), $B145 * E128, "")</f>
        <v>-12286.689419795215</v>
      </c>
      <c r="G128" s="31">
        <v>28.2</v>
      </c>
      <c r="H128" s="32">
        <f t="shared" si="63"/>
        <v>-3.7542662116041001E-2</v>
      </c>
      <c r="I128" s="101">
        <f>IF(ISNUMBER(G128), $B145 * H128, "")</f>
        <v>-11262.798634812299</v>
      </c>
      <c r="J128" s="15">
        <v>28.2</v>
      </c>
      <c r="K128" s="32">
        <f t="shared" si="64"/>
        <v>-3.7542662116041001E-2</v>
      </c>
      <c r="L128" s="18">
        <f>IF(ISNUMBER(J128), $B145 * K128, "")</f>
        <v>-11262.798634812299</v>
      </c>
      <c r="M128" s="31">
        <v>27.1</v>
      </c>
      <c r="N128" s="32">
        <f t="shared" si="65"/>
        <v>-7.508532423208189E-2</v>
      </c>
      <c r="O128" s="18">
        <f>IF(ISNUMBER(M128), $B145 * N128, "")</f>
        <v>-22525.597269624566</v>
      </c>
      <c r="Q128" s="174"/>
      <c r="R128" s="174"/>
      <c r="S128" s="174"/>
    </row>
    <row r="129" spans="1:19" ht="17.25" thickBot="1">
      <c r="A129" s="130" t="s">
        <v>72</v>
      </c>
      <c r="B129" s="131">
        <v>38.299999999999997</v>
      </c>
      <c r="C129" s="78">
        <v>2.95698925E-2</v>
      </c>
      <c r="D129" s="20">
        <v>36.9</v>
      </c>
      <c r="E129" s="21">
        <f t="shared" si="62"/>
        <v>-3.6553524804177513E-2</v>
      </c>
      <c r="F129" s="22">
        <f>IF(ISNUMBER(D129), $B145 * E129, "")</f>
        <v>-10966.057441253253</v>
      </c>
      <c r="G129" s="30">
        <v>37.200000000000003</v>
      </c>
      <c r="H129" s="21">
        <f t="shared" si="63"/>
        <v>-2.8720626631853638E-2</v>
      </c>
      <c r="I129" s="105">
        <f>IF(ISNUMBER(G129), $B145 * H129, "")</f>
        <v>-8616.1879895560905</v>
      </c>
      <c r="J129" s="20">
        <v>36.799999999999997</v>
      </c>
      <c r="K129" s="21">
        <f t="shared" si="64"/>
        <v>-3.91644908616188E-2</v>
      </c>
      <c r="L129" s="22">
        <f>IF(ISNUMBER(J129), $B145 * K129, "")</f>
        <v>-11749.347258485641</v>
      </c>
      <c r="M129" s="30">
        <v>35.6</v>
      </c>
      <c r="N129" s="21">
        <f t="shared" si="65"/>
        <v>-7.0496083550913732E-2</v>
      </c>
      <c r="O129" s="22">
        <f>IF(ISNUMBER(M129), $B145 * N129, "")</f>
        <v>-21148.825065274119</v>
      </c>
      <c r="Q129" s="174"/>
      <c r="R129" s="174"/>
      <c r="S129" s="174"/>
    </row>
    <row r="130" spans="1:19" ht="17.25" thickBot="1">
      <c r="A130" s="128" t="s">
        <v>254</v>
      </c>
      <c r="B130" s="132">
        <v>99</v>
      </c>
      <c r="C130" s="80">
        <v>2.3784901800000001E-2</v>
      </c>
      <c r="D130" s="106">
        <v>94.5</v>
      </c>
      <c r="E130" s="107">
        <f>IF(ISNUMBER(D130), (D130 - $B130) / $B130, "")</f>
        <v>-4.5454545454545456E-2</v>
      </c>
      <c r="F130" s="108">
        <f>IF(ISNUMBER(D130), $B145 * E130, "")</f>
        <v>-13636.363636363636</v>
      </c>
      <c r="G130" s="109">
        <v>95.3</v>
      </c>
      <c r="H130" s="107">
        <f>IF(ISNUMBER(G130), (G130 - $B130) / $B130, "")</f>
        <v>-3.7373737373737399E-2</v>
      </c>
      <c r="I130" s="110">
        <f>IF(ISNUMBER(G130), $B145 * H130, "")</f>
        <v>-11212.121212121219</v>
      </c>
      <c r="J130" s="106">
        <v>97.8</v>
      </c>
      <c r="K130" s="107">
        <f>IF(ISNUMBER(J130), (J130 - $B130) / $B130, "")</f>
        <v>-1.2121212121212151E-2</v>
      </c>
      <c r="L130" s="108">
        <f>IF(ISNUMBER(J130), $B145 * K130, "")</f>
        <v>-3636.3636363636451</v>
      </c>
      <c r="M130" s="109">
        <v>92.9</v>
      </c>
      <c r="N130" s="107">
        <f>IF(ISNUMBER(M130), (M130 - $B130) / $B130, "")</f>
        <v>-6.1616161616161562E-2</v>
      </c>
      <c r="O130" s="108">
        <f>IF(ISNUMBER(M130), $B145 * N130, "")</f>
        <v>-18484.84848484847</v>
      </c>
      <c r="Q130" s="174"/>
      <c r="R130" s="174"/>
      <c r="S130" s="174"/>
    </row>
    <row r="131" spans="1:19" ht="17.25" thickBot="1">
      <c r="A131" s="128" t="s">
        <v>214</v>
      </c>
      <c r="B131" s="129">
        <v>25.3</v>
      </c>
      <c r="C131" s="77">
        <v>1.6064256999999998E-2</v>
      </c>
      <c r="D131" s="15">
        <v>24</v>
      </c>
      <c r="E131" s="32">
        <f t="shared" ref="E131:E134" si="66">IF(ISNUMBER(D131), (D131 - $B131) / $B131, "")</f>
        <v>-5.1383399209486195E-2</v>
      </c>
      <c r="F131" s="18">
        <f>IF(ISNUMBER(D131), $B145 * E131, "")</f>
        <v>-15415.019762845859</v>
      </c>
      <c r="G131" s="31">
        <v>24.4</v>
      </c>
      <c r="H131" s="32">
        <f t="shared" ref="H131:H134" si="67">IF(ISNUMBER(G131), (G131 - $B131) / $B131, "")</f>
        <v>-3.5573122529644355E-2</v>
      </c>
      <c r="I131" s="101">
        <f>IF(ISNUMBER(G131), $B145 * H131, "")</f>
        <v>-10671.936758893307</v>
      </c>
      <c r="J131" s="15">
        <v>24.2</v>
      </c>
      <c r="K131" s="32">
        <f t="shared" ref="K131:K134" si="68">IF(ISNUMBER(J131), (J131 - $B131) / $B131, "")</f>
        <v>-4.3478260869565272E-2</v>
      </c>
      <c r="L131" s="18">
        <f>IF(ISNUMBER(J131), $B145 * K131, "")</f>
        <v>-13043.478260869582</v>
      </c>
      <c r="M131" s="31">
        <v>23.5</v>
      </c>
      <c r="N131" s="32">
        <f t="shared" ref="N131:N134" si="69">IF(ISNUMBER(M131), (M131 - $B131) / $B131, "")</f>
        <v>-7.1146245059288557E-2</v>
      </c>
      <c r="O131" s="18">
        <f>IF(ISNUMBER(M131), $B145 * N131, "")</f>
        <v>-21343.873517786567</v>
      </c>
      <c r="Q131" s="174"/>
      <c r="R131" s="174"/>
      <c r="S131" s="174"/>
    </row>
    <row r="132" spans="1:19" ht="17.25" thickBot="1">
      <c r="A132" s="128" t="s">
        <v>236</v>
      </c>
      <c r="B132" s="129">
        <v>78.400000000000006</v>
      </c>
      <c r="C132" s="77">
        <v>9.0090090000000001E-3</v>
      </c>
      <c r="D132" s="15">
        <v>74.599999999999994</v>
      </c>
      <c r="E132" s="32">
        <f t="shared" si="66"/>
        <v>-4.8469387755102185E-2</v>
      </c>
      <c r="F132" s="18">
        <f>IF(ISNUMBER(D132), $B145 * E132, "")</f>
        <v>-14540.816326530656</v>
      </c>
      <c r="G132" s="31">
        <v>75.099999999999994</v>
      </c>
      <c r="H132" s="32">
        <f t="shared" si="67"/>
        <v>-4.2091836734694021E-2</v>
      </c>
      <c r="I132" s="101">
        <f>IF(ISNUMBER(G132), $B145 * H132, "")</f>
        <v>-12627.551020408206</v>
      </c>
      <c r="J132" s="15">
        <v>74.7</v>
      </c>
      <c r="K132" s="32">
        <f t="shared" si="68"/>
        <v>-4.719387755102044E-2</v>
      </c>
      <c r="L132" s="18">
        <f>IF(ISNUMBER(J132), $B145 * K132, "")</f>
        <v>-14158.163265306132</v>
      </c>
      <c r="M132" s="31">
        <v>72.2</v>
      </c>
      <c r="N132" s="32">
        <f t="shared" si="69"/>
        <v>-7.9081632653061257E-2</v>
      </c>
      <c r="O132" s="18">
        <f>IF(ISNUMBER(M132), $B145 * N132, "")</f>
        <v>-23724.489795918376</v>
      </c>
      <c r="Q132" s="174"/>
      <c r="R132" s="174"/>
      <c r="S132" s="174"/>
    </row>
    <row r="133" spans="1:19" ht="17.25" thickBot="1">
      <c r="A133" s="128" t="s">
        <v>196</v>
      </c>
      <c r="B133" s="129">
        <v>22.6</v>
      </c>
      <c r="C133" s="77">
        <v>4.4444443999999998E-3</v>
      </c>
      <c r="D133" s="15">
        <v>22</v>
      </c>
      <c r="E133" s="32">
        <f t="shared" si="66"/>
        <v>-2.6548672566371743E-2</v>
      </c>
      <c r="F133" s="18">
        <f>IF(ISNUMBER(D133), $B145 * E133, "")</f>
        <v>-7964.6017699115228</v>
      </c>
      <c r="G133" s="31">
        <v>22.1</v>
      </c>
      <c r="H133" s="32">
        <f t="shared" si="67"/>
        <v>-2.2123893805309734E-2</v>
      </c>
      <c r="I133" s="101">
        <f>IF(ISNUMBER(G133), $B145 * H133, "")</f>
        <v>-6637.1681415929206</v>
      </c>
      <c r="J133" s="15">
        <v>22.1</v>
      </c>
      <c r="K133" s="32">
        <f t="shared" si="68"/>
        <v>-2.2123893805309734E-2</v>
      </c>
      <c r="L133" s="18">
        <f>IF(ISNUMBER(J133), $B145 * K133, "")</f>
        <v>-6637.1681415929206</v>
      </c>
      <c r="M133" s="31">
        <v>21.1</v>
      </c>
      <c r="N133" s="32">
        <f t="shared" si="69"/>
        <v>-6.6371681415929196E-2</v>
      </c>
      <c r="O133" s="18">
        <f>IF(ISNUMBER(M133), $B145 * N133, "")</f>
        <v>-19911.504424778759</v>
      </c>
      <c r="Q133" s="33"/>
      <c r="R133" s="33"/>
    </row>
    <row r="134" spans="1:19" ht="17.25" thickBot="1">
      <c r="A134" s="133" t="s">
        <v>100</v>
      </c>
      <c r="B134" s="134">
        <v>8.4700000000000006</v>
      </c>
      <c r="C134" s="79">
        <v>3.5545023999999999E-3</v>
      </c>
      <c r="D134" s="24">
        <v>8.2200000000000006</v>
      </c>
      <c r="E134" s="25">
        <f t="shared" si="66"/>
        <v>-2.9515938606847696E-2</v>
      </c>
      <c r="F134" s="104">
        <f>IF(ISNUMBER(D134), $B145 * E134, "")</f>
        <v>-8854.7815820543092</v>
      </c>
      <c r="G134" s="102">
        <v>8.26</v>
      </c>
      <c r="H134" s="25">
        <f t="shared" si="67"/>
        <v>-2.4793388429752164E-2</v>
      </c>
      <c r="I134" s="103">
        <f>IF(ISNUMBER(G134), $B145 * H134, "")</f>
        <v>-7438.0165289256493</v>
      </c>
      <c r="J134" s="24">
        <v>8.23</v>
      </c>
      <c r="K134" s="25">
        <f t="shared" si="68"/>
        <v>-2.8335301062573814E-2</v>
      </c>
      <c r="L134" s="104">
        <f>IF(ISNUMBER(J134), $B145 * K134, "")</f>
        <v>-8500.5903187721451</v>
      </c>
      <c r="M134" s="102">
        <v>8.08</v>
      </c>
      <c r="N134" s="25">
        <f t="shared" si="69"/>
        <v>-4.6044864226682469E-2</v>
      </c>
      <c r="O134" s="104">
        <f>IF(ISNUMBER(M134), $B145 * N134, "")</f>
        <v>-13813.459268004741</v>
      </c>
      <c r="Q134" s="175"/>
      <c r="R134" s="176"/>
      <c r="S134" s="177"/>
    </row>
    <row r="135" spans="1:19">
      <c r="A135" s="126" t="s">
        <v>172</v>
      </c>
      <c r="B135" s="127">
        <v>28.7</v>
      </c>
      <c r="C135" s="76">
        <v>3.4965034999999999E-3</v>
      </c>
      <c r="D135" s="13">
        <v>27.4</v>
      </c>
      <c r="E135" s="14">
        <f>IF(ISNUMBER(D135), (D135 - $B135) / $B135, "")</f>
        <v>-4.5296167247386783E-2</v>
      </c>
      <c r="F135" s="16">
        <f>IF(ISNUMBER(D135), $B145 * E135, "")</f>
        <v>-13588.850174216035</v>
      </c>
      <c r="G135" s="29">
        <v>27.3</v>
      </c>
      <c r="H135" s="14">
        <f>IF(ISNUMBER(G135), (G135 - $B135) / $B135, "")</f>
        <v>-4.8780487804878002E-2</v>
      </c>
      <c r="I135" s="100">
        <f>IF(ISNUMBER(G135), $B145 * H135, "")</f>
        <v>-14634.1463414634</v>
      </c>
      <c r="J135" s="13">
        <v>27.5</v>
      </c>
      <c r="K135" s="14">
        <f>IF(ISNUMBER(J135), (J135 - $B135) / $B135, "")</f>
        <v>-4.1811846689895446E-2</v>
      </c>
      <c r="L135" s="16">
        <f>IF(ISNUMBER(J135), $B145 * K135, "")</f>
        <v>-12543.554006968634</v>
      </c>
      <c r="M135" s="29">
        <v>26.5</v>
      </c>
      <c r="N135" s="14">
        <f>IF(ISNUMBER(M135), (M135 - $B135) / $B135, "")</f>
        <v>-7.6655052264808343E-2</v>
      </c>
      <c r="O135" s="16">
        <f>IF(ISNUMBER(M135), $B145 * N135, "")</f>
        <v>-22996.515679442502</v>
      </c>
      <c r="Q135" s="178"/>
      <c r="R135" s="179"/>
      <c r="S135" s="180"/>
    </row>
    <row r="136" spans="1:19" ht="17.25" thickBot="1">
      <c r="A136" s="128" t="s">
        <v>228</v>
      </c>
      <c r="B136" s="129">
        <v>21.1</v>
      </c>
      <c r="C136" s="77">
        <v>0</v>
      </c>
      <c r="D136" s="15">
        <v>20.100000000000001</v>
      </c>
      <c r="E136" s="32">
        <f t="shared" ref="E136:E139" si="70">IF(ISNUMBER(D136), (D136 - $B136) / $B136, "")</f>
        <v>-4.7393364928909949E-2</v>
      </c>
      <c r="F136" s="18">
        <f>IF(ISNUMBER(D136), $B145 * E136, "")</f>
        <v>-14218.009478672984</v>
      </c>
      <c r="G136" s="31">
        <v>20.2</v>
      </c>
      <c r="H136" s="32">
        <f t="shared" ref="H136:H139" si="71">IF(ISNUMBER(G136), (G136 - $B136) / $B136, "")</f>
        <v>-4.2654028436019058E-2</v>
      </c>
      <c r="I136" s="101">
        <f>IF(ISNUMBER(G136), $B145 * H136, "")</f>
        <v>-12796.208530805718</v>
      </c>
      <c r="J136" s="15">
        <v>20.2</v>
      </c>
      <c r="K136" s="32">
        <f t="shared" ref="K136:K139" si="72">IF(ISNUMBER(J136), (J136 - $B136) / $B136, "")</f>
        <v>-4.2654028436019058E-2</v>
      </c>
      <c r="L136" s="18">
        <f>IF(ISNUMBER(J136), $B145 * K136, "")</f>
        <v>-12796.208530805718</v>
      </c>
      <c r="M136" s="31">
        <v>19.5</v>
      </c>
      <c r="N136" s="32">
        <f t="shared" ref="N136:N139" si="73">IF(ISNUMBER(M136), (M136 - $B136) / $B136, "")</f>
        <v>-7.5829383886255985E-2</v>
      </c>
      <c r="O136" s="18">
        <f>IF(ISNUMBER(M136), $B145 * N136, "")</f>
        <v>-22748.815165876797</v>
      </c>
      <c r="Q136" s="181"/>
      <c r="R136" s="182"/>
      <c r="S136" s="183"/>
    </row>
    <row r="137" spans="1:19" ht="17.25" thickBot="1">
      <c r="A137" s="128" t="s">
        <v>222</v>
      </c>
      <c r="B137" s="129">
        <v>20.7</v>
      </c>
      <c r="C137" s="77">
        <v>0</v>
      </c>
      <c r="D137" s="15">
        <v>20</v>
      </c>
      <c r="E137" s="32">
        <f t="shared" si="70"/>
        <v>-3.3816425120772917E-2</v>
      </c>
      <c r="F137" s="18">
        <f>IF(ISNUMBER(D137), $B145 * E137, "")</f>
        <v>-10144.927536231875</v>
      </c>
      <c r="G137" s="31">
        <v>20.100000000000001</v>
      </c>
      <c r="H137" s="32">
        <f t="shared" si="71"/>
        <v>-2.8985507246376711E-2</v>
      </c>
      <c r="I137" s="101">
        <f>IF(ISNUMBER(G137), $B145 * H137, "")</f>
        <v>-8695.652173913013</v>
      </c>
      <c r="J137" s="15">
        <v>20.100000000000001</v>
      </c>
      <c r="K137" s="32">
        <f t="shared" si="72"/>
        <v>-2.8985507246376711E-2</v>
      </c>
      <c r="L137" s="18">
        <f>IF(ISNUMBER(J137), $B145 * K137, "")</f>
        <v>-8695.652173913013</v>
      </c>
      <c r="M137" s="31">
        <v>19.3</v>
      </c>
      <c r="N137" s="32">
        <f t="shared" si="73"/>
        <v>-6.7632850241545833E-2</v>
      </c>
      <c r="O137" s="18">
        <f>IF(ISNUMBER(M137), $B145 * N137, "")</f>
        <v>-20289.85507246375</v>
      </c>
      <c r="Q137" s="174"/>
      <c r="R137" s="174"/>
      <c r="S137" s="174"/>
    </row>
    <row r="138" spans="1:19" ht="17.25" thickBot="1">
      <c r="A138" s="128" t="s">
        <v>198</v>
      </c>
      <c r="B138" s="129">
        <v>32.4</v>
      </c>
      <c r="C138" s="77">
        <v>0</v>
      </c>
      <c r="D138" s="15">
        <v>30.9</v>
      </c>
      <c r="E138" s="32">
        <f t="shared" si="70"/>
        <v>-4.6296296296296301E-2</v>
      </c>
      <c r="F138" s="18">
        <f>IF(ISNUMBER(D138), $B145 * E138, "")</f>
        <v>-13888.888888888891</v>
      </c>
      <c r="G138" s="31">
        <v>31.1</v>
      </c>
      <c r="H138" s="32">
        <f t="shared" si="71"/>
        <v>-4.0123456790123371E-2</v>
      </c>
      <c r="I138" s="101">
        <f>IF(ISNUMBER(G138), $B145 * H138, "")</f>
        <v>-12037.037037037011</v>
      </c>
      <c r="J138" s="15">
        <v>31</v>
      </c>
      <c r="K138" s="32">
        <f t="shared" si="72"/>
        <v>-4.3209876543209833E-2</v>
      </c>
      <c r="L138" s="18">
        <f>IF(ISNUMBER(J138), $B145 * K138, "")</f>
        <v>-12962.962962962949</v>
      </c>
      <c r="M138" s="31">
        <v>29.9</v>
      </c>
      <c r="N138" s="32">
        <f t="shared" si="73"/>
        <v>-7.7160493827160503E-2</v>
      </c>
      <c r="O138" s="18">
        <f>IF(ISNUMBER(M138), $B145 * N138, "")</f>
        <v>-23148.14814814815</v>
      </c>
      <c r="Q138" s="184"/>
      <c r="R138" s="184"/>
      <c r="S138" s="184"/>
    </row>
    <row r="139" spans="1:19" ht="17.25" thickBot="1">
      <c r="A139" s="130" t="s">
        <v>152</v>
      </c>
      <c r="B139" s="131">
        <v>49.8</v>
      </c>
      <c r="C139" s="78">
        <v>-2.0040079999999998E-3</v>
      </c>
      <c r="D139" s="20">
        <v>47.6</v>
      </c>
      <c r="E139" s="21">
        <f t="shared" si="70"/>
        <v>-4.4176706827309155E-2</v>
      </c>
      <c r="F139" s="22">
        <f>IF(ISNUMBER(D139), $B145 * E139, "")</f>
        <v>-13253.012048192746</v>
      </c>
      <c r="G139" s="30">
        <v>48</v>
      </c>
      <c r="H139" s="21">
        <f t="shared" si="71"/>
        <v>-3.6144578313252955E-2</v>
      </c>
      <c r="I139" s="105">
        <f>IF(ISNUMBER(G139), $B145 * H139, "")</f>
        <v>-10843.373493975887</v>
      </c>
      <c r="J139" s="20">
        <v>47.8</v>
      </c>
      <c r="K139" s="21">
        <f t="shared" si="72"/>
        <v>-4.0160642570281124E-2</v>
      </c>
      <c r="L139" s="22">
        <f>IF(ISNUMBER(J139), $B145 * K139, "")</f>
        <v>-12048.192771084337</v>
      </c>
      <c r="M139" s="30">
        <v>45.6</v>
      </c>
      <c r="N139" s="21">
        <f t="shared" si="73"/>
        <v>-8.4337349397590286E-2</v>
      </c>
      <c r="O139" s="22">
        <f>IF(ISNUMBER(M139), $B145 * N139, "")</f>
        <v>-25301.204819277085</v>
      </c>
      <c r="Q139" s="184"/>
      <c r="R139" s="184"/>
      <c r="S139" s="184"/>
    </row>
    <row r="140" spans="1:19" ht="17.25" thickBot="1">
      <c r="A140" s="128" t="s">
        <v>218</v>
      </c>
      <c r="B140" s="132">
        <v>32.799999999999997</v>
      </c>
      <c r="C140" s="80">
        <v>-3.0395137E-3</v>
      </c>
      <c r="D140" s="106">
        <v>31.3</v>
      </c>
      <c r="E140" s="107">
        <f>IF(ISNUMBER(D140), (D140 - $B140) / $B140, "")</f>
        <v>-4.5731707317073066E-2</v>
      </c>
      <c r="F140" s="108">
        <f>IF(ISNUMBER(D140), $B145 * E140, "")</f>
        <v>-13719.512195121919</v>
      </c>
      <c r="G140" s="109">
        <v>31.8</v>
      </c>
      <c r="H140" s="107">
        <f>IF(ISNUMBER(G140), (G140 - $B140) / $B140, "")</f>
        <v>-3.0487804878048676E-2</v>
      </c>
      <c r="I140" s="110">
        <f>IF(ISNUMBER(G140), $B145 * H140, "")</f>
        <v>-9146.3414634146029</v>
      </c>
      <c r="J140" s="106">
        <v>31.4</v>
      </c>
      <c r="K140" s="107">
        <f>IF(ISNUMBER(J140), (J140 - $B140) / $B140, "")</f>
        <v>-4.2682926829268254E-2</v>
      </c>
      <c r="L140" s="108">
        <f>IF(ISNUMBER(J140), $B145 * K140, "")</f>
        <v>-12804.878048780476</v>
      </c>
      <c r="M140" s="109">
        <v>30.3</v>
      </c>
      <c r="N140" s="107">
        <f>IF(ISNUMBER(M140), (M140 - $B140) / $B140, "")</f>
        <v>-7.6219512195121852E-2</v>
      </c>
      <c r="O140" s="108">
        <f>IF(ISNUMBER(M140), $B145 * N140, "")</f>
        <v>-22865.853658536555</v>
      </c>
      <c r="Q140" s="174"/>
      <c r="R140" s="174"/>
      <c r="S140" s="174"/>
    </row>
    <row r="141" spans="1:19" ht="17.25" thickBot="1">
      <c r="A141" s="128" t="s">
        <v>126</v>
      </c>
      <c r="B141" s="129">
        <v>68.7</v>
      </c>
      <c r="C141" s="77">
        <v>-7.2254334999999996E-3</v>
      </c>
      <c r="D141" s="15">
        <v>65.7</v>
      </c>
      <c r="E141" s="32">
        <f t="shared" ref="E141:E144" si="74">IF(ISNUMBER(D141), (D141 - $B141) / $B141, "")</f>
        <v>-4.3668122270742356E-2</v>
      </c>
      <c r="F141" s="18">
        <f>IF(ISNUMBER(D141), $B145 * E141, "")</f>
        <v>-13100.436681222707</v>
      </c>
      <c r="G141" s="31">
        <v>66.099999999999994</v>
      </c>
      <c r="H141" s="32">
        <f t="shared" ref="H141:H144" si="75">IF(ISNUMBER(G141), (G141 - $B141) / $B141, "")</f>
        <v>-3.7845705967976831E-2</v>
      </c>
      <c r="I141" s="101">
        <f>IF(ISNUMBER(G141), $B145 * H141, "")</f>
        <v>-11353.711790393048</v>
      </c>
      <c r="J141" s="15">
        <v>65.7</v>
      </c>
      <c r="K141" s="32">
        <f t="shared" ref="K141:K144" si="76">IF(ISNUMBER(J141), (J141 - $B141) / $B141, "")</f>
        <v>-4.3668122270742356E-2</v>
      </c>
      <c r="L141" s="18">
        <f>IF(ISNUMBER(J141), $B145 * K141, "")</f>
        <v>-13100.436681222707</v>
      </c>
      <c r="M141" s="31">
        <v>63.1</v>
      </c>
      <c r="N141" s="32">
        <f t="shared" ref="N141:N144" si="77">IF(ISNUMBER(M141), (M141 - $B141) / $B141, "")</f>
        <v>-8.1513828238719083E-2</v>
      </c>
      <c r="O141" s="18">
        <f>IF(ISNUMBER(M141), $B145 * N141, "")</f>
        <v>-24454.148471615725</v>
      </c>
      <c r="Q141" s="174"/>
      <c r="R141" s="174"/>
      <c r="S141" s="17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 t="s">
        <v>297</v>
      </c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 t="s">
        <v>297</v>
      </c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 t="s">
        <v>297</v>
      </c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300000</v>
      </c>
      <c r="C145" s="228"/>
      <c r="D145" s="26" t="s">
        <v>302</v>
      </c>
      <c r="E145" s="27">
        <f>IF(COUNT(E125:E144), SUM(E125:E144) / COUNT(E125:E144), 0)</f>
        <v>-3.6609450405259723E-2</v>
      </c>
      <c r="F145" s="28">
        <f>SUM(F125:F144)</f>
        <v>-186708.19706682459</v>
      </c>
      <c r="G145" s="26" t="s">
        <v>302</v>
      </c>
      <c r="H145" s="27">
        <f>IF(COUNT(H125:H144), SUM(H125:H144) / COUNT(H125:H144), 0)</f>
        <v>-3.0480653061807909E-2</v>
      </c>
      <c r="I145" s="28">
        <f>SUM(I125:I144)</f>
        <v>-155451.3306152203</v>
      </c>
      <c r="J145" s="26" t="s">
        <v>302</v>
      </c>
      <c r="K145" s="27">
        <f>IF(COUNT(K125:K144), SUM(K125:K144) / COUNT(K125:K144), 0)</f>
        <v>-3.0129100772314142E-2</v>
      </c>
      <c r="L145" s="28">
        <f>SUM(L125:L144)</f>
        <v>-153658.41393880208</v>
      </c>
      <c r="M145" s="26" t="s">
        <v>302</v>
      </c>
      <c r="N145" s="27">
        <f>IF(COUNT(N125:N144), SUM(N125:N144) / COUNT(N125:N144), 0)</f>
        <v>-6.7897658694840837E-2</v>
      </c>
      <c r="O145" s="28">
        <f>SUM(O125:O144)</f>
        <v>-346278.05934368825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16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2021-05-04(화) 오전 00:00</v>
      </c>
      <c r="C150" s="226"/>
      <c r="D150" s="198" t="str">
        <f>TEXT($G$1, "[$-ko-KR]yyyy-mm-dd(ddd) ") &amp; "오후 14:00"</f>
        <v>2021-05-04(화) 오후 14:00</v>
      </c>
      <c r="E150" s="199"/>
      <c r="F150" s="200"/>
      <c r="G150" s="198" t="str">
        <f>TEXT($G$1, "[$-ko-KR]yyyy-mm-dd(ddd) ") &amp; "오후 19:00"</f>
        <v>2021-05-04(화) 오후 19:00</v>
      </c>
      <c r="H150" s="199"/>
      <c r="I150" s="200"/>
      <c r="J150" s="198" t="str">
        <f>TEXT($G$1, "[$-ko-KR]yyyy-mm-dd(ddd) ") &amp; "오후 21:00"</f>
        <v>2021-05-04(화) 오후 21:00</v>
      </c>
      <c r="K150" s="199"/>
      <c r="L150" s="200"/>
      <c r="M150" s="198" t="str">
        <f>TEXT($G$1+1, "[$-ko-KR]yyyy-mm-dd(ddd) ") &amp; "오전 00:00"</f>
        <v>2021-05-05(수)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17" t="s">
        <v>58</v>
      </c>
      <c r="H151" s="118" t="s">
        <v>299</v>
      </c>
      <c r="I151" s="119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 t="s">
        <v>260</v>
      </c>
      <c r="B152" s="127">
        <v>140</v>
      </c>
      <c r="C152" s="76">
        <v>7.1942446E-3</v>
      </c>
      <c r="D152" s="13">
        <v>134</v>
      </c>
      <c r="E152" s="14">
        <f>IF(ISNUMBER(D152), (D152 - $B152) / $B152, "")</f>
        <v>-4.2857142857142858E-2</v>
      </c>
      <c r="F152" s="16">
        <f>IF(ISNUMBER(D152), $B172 * E152, "")</f>
        <v>-12857.142857142857</v>
      </c>
      <c r="G152" s="29">
        <v>134</v>
      </c>
      <c r="H152" s="14">
        <f>IF(ISNUMBER(G152), (G152 - $B152) / $B152, "")</f>
        <v>-4.2857142857142858E-2</v>
      </c>
      <c r="I152" s="100">
        <f>IF(ISNUMBER(G152), $B172 * H152, "")</f>
        <v>-12857.142857142857</v>
      </c>
      <c r="J152" s="13">
        <v>135</v>
      </c>
      <c r="K152" s="14">
        <f>IF(ISNUMBER(J152), (J152 - $B152) / $B152, "")</f>
        <v>-3.5714285714285712E-2</v>
      </c>
      <c r="L152" s="16">
        <f>IF(ISNUMBER(J152), $B172 * K152, "")</f>
        <v>-10714.285714285714</v>
      </c>
      <c r="M152" s="29">
        <v>129</v>
      </c>
      <c r="N152" s="14">
        <f>IF(ISNUMBER(M152), (M152 - $B152) / $B152, "")</f>
        <v>-7.857142857142857E-2</v>
      </c>
      <c r="O152" s="16">
        <f>IF(ISNUMBER(M152), $B172 * N152, "")</f>
        <v>-23571.428571428572</v>
      </c>
      <c r="Q152" s="184"/>
      <c r="R152" s="184"/>
      <c r="S152" s="184"/>
    </row>
    <row r="153" spans="1:19" ht="17.25" thickBot="1">
      <c r="A153" s="128" t="s">
        <v>134</v>
      </c>
      <c r="B153" s="129">
        <v>162</v>
      </c>
      <c r="C153" s="77">
        <v>6.2111800999999998E-3</v>
      </c>
      <c r="D153" s="15">
        <v>158</v>
      </c>
      <c r="E153" s="32">
        <f t="shared" ref="E153:E156" si="78">IF(ISNUMBER(D153), (D153 - $B153) / $B153, "")</f>
        <v>-2.4691358024691357E-2</v>
      </c>
      <c r="F153" s="18">
        <f>IF(ISNUMBER(D153), $B172 * E153, "")</f>
        <v>-7407.4074074074069</v>
      </c>
      <c r="G153" s="31">
        <v>158</v>
      </c>
      <c r="H153" s="32">
        <f t="shared" ref="H153:H156" si="79">IF(ISNUMBER(G153), (G153 - $B153) / $B153, "")</f>
        <v>-2.4691358024691357E-2</v>
      </c>
      <c r="I153" s="101">
        <f>IF(ISNUMBER(G153), $B172 * H153, "")</f>
        <v>-7407.4074074074069</v>
      </c>
      <c r="J153" s="15">
        <v>157</v>
      </c>
      <c r="K153" s="32">
        <f t="shared" ref="K153:K156" si="80">IF(ISNUMBER(J153), (J153 - $B153) / $B153, "")</f>
        <v>-3.0864197530864196E-2</v>
      </c>
      <c r="L153" s="18">
        <f>IF(ISNUMBER(J153), $B172 * K153, "")</f>
        <v>-9259.2592592592591</v>
      </c>
      <c r="M153" s="31">
        <v>153</v>
      </c>
      <c r="N153" s="32">
        <f t="shared" ref="N153:N156" si="81">IF(ISNUMBER(M153), (M153 - $B153) / $B153, "")</f>
        <v>-5.5555555555555552E-2</v>
      </c>
      <c r="O153" s="18">
        <f>IF(ISNUMBER(M153), $B172 * N153, "")</f>
        <v>-16666.666666666664</v>
      </c>
      <c r="Q153" s="184"/>
      <c r="R153" s="184"/>
      <c r="S153" s="184"/>
    </row>
    <row r="154" spans="1:19" ht="17.25" thickBot="1">
      <c r="A154" s="128" t="s">
        <v>216</v>
      </c>
      <c r="B154" s="129">
        <v>492</v>
      </c>
      <c r="C154" s="77">
        <v>6.1349693000000002E-3</v>
      </c>
      <c r="D154" s="15">
        <v>473</v>
      </c>
      <c r="E154" s="32">
        <f t="shared" si="78"/>
        <v>-3.8617886178861791E-2</v>
      </c>
      <c r="F154" s="18">
        <f>IF(ISNUMBER(D154), $B172 * E154, "")</f>
        <v>-11585.365853658537</v>
      </c>
      <c r="G154" s="31">
        <v>476</v>
      </c>
      <c r="H154" s="32">
        <f t="shared" si="79"/>
        <v>-3.2520325203252036E-2</v>
      </c>
      <c r="I154" s="101">
        <f>IF(ISNUMBER(G154), $B172 * H154, "")</f>
        <v>-9756.0975609756115</v>
      </c>
      <c r="J154" s="15">
        <v>473</v>
      </c>
      <c r="K154" s="32">
        <f t="shared" si="80"/>
        <v>-3.8617886178861791E-2</v>
      </c>
      <c r="L154" s="18">
        <f>IF(ISNUMBER(J154), $B172 * K154, "")</f>
        <v>-11585.365853658537</v>
      </c>
      <c r="M154" s="31">
        <v>457</v>
      </c>
      <c r="N154" s="32">
        <f t="shared" si="81"/>
        <v>-7.113821138211382E-2</v>
      </c>
      <c r="O154" s="18">
        <f>IF(ISNUMBER(M154), $B172 * N154, "")</f>
        <v>-21341.463414634145</v>
      </c>
      <c r="Q154" s="174"/>
      <c r="R154" s="174"/>
      <c r="S154" s="174"/>
    </row>
    <row r="155" spans="1:19" ht="17.25" thickBot="1">
      <c r="A155" s="128" t="s">
        <v>282</v>
      </c>
      <c r="B155" s="129">
        <v>182</v>
      </c>
      <c r="C155" s="77">
        <v>5.5248618999999997E-3</v>
      </c>
      <c r="D155" s="15">
        <v>177</v>
      </c>
      <c r="E155" s="32">
        <f t="shared" si="78"/>
        <v>-2.7472527472527472E-2</v>
      </c>
      <c r="F155" s="18">
        <f>IF(ISNUMBER(D155), $B172 * E155, "")</f>
        <v>-8241.7582417582416</v>
      </c>
      <c r="G155" s="31">
        <v>178</v>
      </c>
      <c r="H155" s="32">
        <f t="shared" si="79"/>
        <v>-2.197802197802198E-2</v>
      </c>
      <c r="I155" s="101">
        <f>IF(ISNUMBER(G155), $B172 * H155, "")</f>
        <v>-6593.4065934065939</v>
      </c>
      <c r="J155" s="15">
        <v>176</v>
      </c>
      <c r="K155" s="32">
        <f t="shared" si="80"/>
        <v>-3.2967032967032968E-2</v>
      </c>
      <c r="L155" s="18">
        <f>IF(ISNUMBER(J155), $B172 * K155, "")</f>
        <v>-9890.1098901098903</v>
      </c>
      <c r="M155" s="31">
        <v>172</v>
      </c>
      <c r="N155" s="32">
        <f t="shared" si="81"/>
        <v>-5.4945054945054944E-2</v>
      </c>
      <c r="O155" s="18">
        <f>IF(ISNUMBER(M155), $B172 * N155, "")</f>
        <v>-16483.516483516483</v>
      </c>
      <c r="Q155" s="174"/>
      <c r="R155" s="174"/>
      <c r="S155" s="174"/>
    </row>
    <row r="156" spans="1:19" ht="17.25" thickBot="1">
      <c r="A156" s="130" t="s">
        <v>54</v>
      </c>
      <c r="B156" s="131">
        <v>400</v>
      </c>
      <c r="C156" s="78">
        <v>5.0251256000000003E-3</v>
      </c>
      <c r="D156" s="20">
        <v>384</v>
      </c>
      <c r="E156" s="21">
        <f t="shared" si="78"/>
        <v>-0.04</v>
      </c>
      <c r="F156" s="22">
        <f>IF(ISNUMBER(D156), $B172 * E156, "")</f>
        <v>-12000</v>
      </c>
      <c r="G156" s="30">
        <v>384</v>
      </c>
      <c r="H156" s="21">
        <f t="shared" si="79"/>
        <v>-0.04</v>
      </c>
      <c r="I156" s="105">
        <f>IF(ISNUMBER(G156), $B172 * H156, "")</f>
        <v>-12000</v>
      </c>
      <c r="J156" s="20">
        <v>380</v>
      </c>
      <c r="K156" s="21">
        <f t="shared" si="80"/>
        <v>-0.05</v>
      </c>
      <c r="L156" s="22">
        <f>IF(ISNUMBER(J156), $B172 * K156, "")</f>
        <v>-15000</v>
      </c>
      <c r="M156" s="30">
        <v>364</v>
      </c>
      <c r="N156" s="21">
        <f t="shared" si="81"/>
        <v>-0.09</v>
      </c>
      <c r="O156" s="22">
        <f>IF(ISNUMBER(M156), $B172 * N156, "")</f>
        <v>-27000</v>
      </c>
      <c r="Q156" s="174"/>
      <c r="R156" s="174"/>
      <c r="S156" s="174"/>
    </row>
    <row r="157" spans="1:19" ht="17.25" thickBot="1">
      <c r="A157" s="128" t="s">
        <v>230</v>
      </c>
      <c r="B157" s="132">
        <v>200</v>
      </c>
      <c r="C157" s="80">
        <v>5.0251256000000003E-3</v>
      </c>
      <c r="D157" s="106">
        <v>192</v>
      </c>
      <c r="E157" s="107">
        <f>IF(ISNUMBER(D157), (D157 - $B157) / $B157, "")</f>
        <v>-0.04</v>
      </c>
      <c r="F157" s="108">
        <f>IF(ISNUMBER(D157), $B172 * E157, "")</f>
        <v>-12000</v>
      </c>
      <c r="G157" s="109">
        <v>193</v>
      </c>
      <c r="H157" s="107">
        <f>IF(ISNUMBER(G157), (G157 - $B157) / $B157, "")</f>
        <v>-3.5000000000000003E-2</v>
      </c>
      <c r="I157" s="110">
        <f>IF(ISNUMBER(G157), $B172 * H157, "")</f>
        <v>-10500.000000000002</v>
      </c>
      <c r="J157" s="106">
        <v>191</v>
      </c>
      <c r="K157" s="107">
        <f>IF(ISNUMBER(J157), (J157 - $B157) / $B157, "")</f>
        <v>-4.4999999999999998E-2</v>
      </c>
      <c r="L157" s="108">
        <f>IF(ISNUMBER(J157), $B172 * K157, "")</f>
        <v>-13500</v>
      </c>
      <c r="M157" s="109">
        <v>185</v>
      </c>
      <c r="N157" s="107">
        <f>IF(ISNUMBER(M157), (M157 - $B157) / $B157, "")</f>
        <v>-7.4999999999999997E-2</v>
      </c>
      <c r="O157" s="108">
        <f>IF(ISNUMBER(M157), $B172 * N157, "")</f>
        <v>-22500</v>
      </c>
      <c r="Q157" s="174"/>
      <c r="R157" s="174"/>
      <c r="S157" s="174"/>
    </row>
    <row r="158" spans="1:19" ht="17.25" thickBot="1">
      <c r="A158" s="128" t="s">
        <v>210</v>
      </c>
      <c r="B158" s="129">
        <v>223</v>
      </c>
      <c r="C158" s="77">
        <v>4.5045045000000001E-3</v>
      </c>
      <c r="D158" s="15">
        <v>210</v>
      </c>
      <c r="E158" s="32">
        <f t="shared" ref="E158:E161" si="82">IF(ISNUMBER(D158), (D158 - $B158) / $B158, "")</f>
        <v>-5.829596412556054E-2</v>
      </c>
      <c r="F158" s="18">
        <f>IF(ISNUMBER(D158), $B172 * E158, "")</f>
        <v>-17488.789237668163</v>
      </c>
      <c r="G158" s="31">
        <v>212</v>
      </c>
      <c r="H158" s="32">
        <f t="shared" ref="H158:H161" si="83">IF(ISNUMBER(G158), (G158 - $B158) / $B158, "")</f>
        <v>-4.9327354260089683E-2</v>
      </c>
      <c r="I158" s="101">
        <f>IF(ISNUMBER(G158), $B172 * H158, "")</f>
        <v>-14798.206278026904</v>
      </c>
      <c r="J158" s="15">
        <v>211</v>
      </c>
      <c r="K158" s="32">
        <f t="shared" ref="K158:K161" si="84">IF(ISNUMBER(J158), (J158 - $B158) / $B158, "")</f>
        <v>-5.3811659192825115E-2</v>
      </c>
      <c r="L158" s="18">
        <f>IF(ISNUMBER(J158), $B172 * K158, "")</f>
        <v>-16143.497757847534</v>
      </c>
      <c r="M158" s="31">
        <v>203</v>
      </c>
      <c r="N158" s="32">
        <f t="shared" ref="N158:N161" si="85">IF(ISNUMBER(M158), (M158 - $B158) / $B158, "")</f>
        <v>-8.9686098654708515E-2</v>
      </c>
      <c r="O158" s="18">
        <f>IF(ISNUMBER(M158), $B172 * N158, "")</f>
        <v>-26905.829596412554</v>
      </c>
      <c r="Q158" s="174"/>
      <c r="R158" s="174"/>
      <c r="S158" s="174"/>
    </row>
    <row r="159" spans="1:19" ht="17.25" thickBot="1">
      <c r="A159" s="128" t="s">
        <v>51</v>
      </c>
      <c r="B159" s="129">
        <v>673</v>
      </c>
      <c r="C159" s="77">
        <v>4.4776119000000001E-3</v>
      </c>
      <c r="D159" s="15">
        <v>655</v>
      </c>
      <c r="E159" s="32">
        <f t="shared" si="82"/>
        <v>-2.6745913818722138E-2</v>
      </c>
      <c r="F159" s="18">
        <f>IF(ISNUMBER(D159), $B172 * E159, "")</f>
        <v>-8023.7741456166414</v>
      </c>
      <c r="G159" s="31">
        <v>662</v>
      </c>
      <c r="H159" s="32">
        <f t="shared" si="83"/>
        <v>-1.6344725111441308E-2</v>
      </c>
      <c r="I159" s="101">
        <f>IF(ISNUMBER(G159), $B172 * H159, "")</f>
        <v>-4903.4175334323927</v>
      </c>
      <c r="J159" s="15">
        <v>659</v>
      </c>
      <c r="K159" s="32">
        <f t="shared" si="84"/>
        <v>-2.0802377414561663E-2</v>
      </c>
      <c r="L159" s="18">
        <f>IF(ISNUMBER(J159), $B172 * K159, "")</f>
        <v>-6240.7132243684991</v>
      </c>
      <c r="M159" s="31">
        <v>652</v>
      </c>
      <c r="N159" s="32">
        <f t="shared" si="85"/>
        <v>-3.1203566121842496E-2</v>
      </c>
      <c r="O159" s="18">
        <f>IF(ISNUMBER(M159), $B172 * N159, "")</f>
        <v>-9361.0698365527496</v>
      </c>
      <c r="Q159" s="174"/>
      <c r="R159" s="174"/>
      <c r="S159" s="174"/>
    </row>
    <row r="160" spans="1:19" ht="17.25" thickBot="1">
      <c r="A160" s="128" t="s">
        <v>200</v>
      </c>
      <c r="B160" s="129">
        <v>411</v>
      </c>
      <c r="C160" s="77">
        <v>2.4390243999999998E-3</v>
      </c>
      <c r="D160" s="15">
        <v>398</v>
      </c>
      <c r="E160" s="32">
        <f t="shared" si="82"/>
        <v>-3.1630170316301706E-2</v>
      </c>
      <c r="F160" s="18">
        <f>IF(ISNUMBER(D160), $B172 * E160, "")</f>
        <v>-9489.0510948905121</v>
      </c>
      <c r="G160" s="31">
        <v>401</v>
      </c>
      <c r="H160" s="32">
        <f t="shared" si="83"/>
        <v>-2.4330900243309004E-2</v>
      </c>
      <c r="I160" s="101">
        <f>IF(ISNUMBER(G160), $B172 * H160, "")</f>
        <v>-7299.270072992701</v>
      </c>
      <c r="J160" s="15">
        <v>401</v>
      </c>
      <c r="K160" s="32">
        <f t="shared" si="84"/>
        <v>-2.4330900243309004E-2</v>
      </c>
      <c r="L160" s="18">
        <f>IF(ISNUMBER(J160), $B172 * K160, "")</f>
        <v>-7299.270072992701</v>
      </c>
      <c r="M160" s="31">
        <v>386</v>
      </c>
      <c r="N160" s="32">
        <f t="shared" si="85"/>
        <v>-6.0827250608272508E-2</v>
      </c>
      <c r="O160" s="18">
        <f>IF(ISNUMBER(M160), $B172 * N160, "")</f>
        <v>-18248.175182481751</v>
      </c>
      <c r="Q160" s="33"/>
      <c r="R160" s="33"/>
    </row>
    <row r="161" spans="1:19" ht="17.25" thickBot="1">
      <c r="A161" s="133" t="s">
        <v>226</v>
      </c>
      <c r="B161" s="134">
        <v>559</v>
      </c>
      <c r="C161" s="79">
        <v>1.7921147000000001E-3</v>
      </c>
      <c r="D161" s="24">
        <v>542</v>
      </c>
      <c r="E161" s="25">
        <f t="shared" si="82"/>
        <v>-3.041144901610018E-2</v>
      </c>
      <c r="F161" s="104">
        <f>IF(ISNUMBER(D161), $B172 * E161, "")</f>
        <v>-9123.4347048300533</v>
      </c>
      <c r="G161" s="102">
        <v>543</v>
      </c>
      <c r="H161" s="25">
        <f t="shared" si="83"/>
        <v>-2.8622540250447227E-2</v>
      </c>
      <c r="I161" s="103">
        <f>IF(ISNUMBER(G161), $B172 * H161, "")</f>
        <v>-8586.7620751341674</v>
      </c>
      <c r="J161" s="24">
        <v>540</v>
      </c>
      <c r="K161" s="25">
        <f t="shared" si="84"/>
        <v>-3.3989266547406083E-2</v>
      </c>
      <c r="L161" s="104">
        <f>IF(ISNUMBER(J161), $B172 * K161, "")</f>
        <v>-10196.779964221825</v>
      </c>
      <c r="M161" s="102">
        <v>521</v>
      </c>
      <c r="N161" s="25">
        <f t="shared" si="85"/>
        <v>-6.7978533094812166E-2</v>
      </c>
      <c r="O161" s="104">
        <f>IF(ISNUMBER(M161), $B172 * N161, "")</f>
        <v>-20393.55992844365</v>
      </c>
      <c r="Q161" s="175"/>
      <c r="R161" s="176"/>
      <c r="S161" s="177"/>
    </row>
    <row r="162" spans="1:19">
      <c r="A162" s="126" t="s">
        <v>284</v>
      </c>
      <c r="B162" s="127">
        <v>480</v>
      </c>
      <c r="C162" s="76">
        <v>0</v>
      </c>
      <c r="D162" s="13">
        <v>466</v>
      </c>
      <c r="E162" s="14">
        <f>IF(ISNUMBER(D162), (D162 - $B162) / $B162, "")</f>
        <v>-2.9166666666666667E-2</v>
      </c>
      <c r="F162" s="16">
        <f>IF(ISNUMBER(D162), $B172 * E162, "")</f>
        <v>-8750</v>
      </c>
      <c r="G162" s="29">
        <v>467</v>
      </c>
      <c r="H162" s="14">
        <f>IF(ISNUMBER(G162), (G162 - $B162) / $B162, "")</f>
        <v>-2.7083333333333334E-2</v>
      </c>
      <c r="I162" s="100">
        <f>IF(ISNUMBER(G162), $B172 * H162, "")</f>
        <v>-8125</v>
      </c>
      <c r="J162" s="13">
        <v>463</v>
      </c>
      <c r="K162" s="14">
        <f>IF(ISNUMBER(J162), (J162 - $B162) / $B162, "")</f>
        <v>-3.5416666666666666E-2</v>
      </c>
      <c r="L162" s="16">
        <f>IF(ISNUMBER(J162), $B172 * K162, "")</f>
        <v>-10625</v>
      </c>
      <c r="M162" s="29">
        <v>446</v>
      </c>
      <c r="N162" s="14">
        <f>IF(ISNUMBER(M162), (M162 - $B162) / $B162, "")</f>
        <v>-7.0833333333333331E-2</v>
      </c>
      <c r="O162" s="16">
        <f>IF(ISNUMBER(M162), $B172 * N162, "")</f>
        <v>-21250</v>
      </c>
      <c r="Q162" s="178"/>
      <c r="R162" s="179"/>
      <c r="S162" s="180"/>
    </row>
    <row r="163" spans="1:19" ht="17.25" thickBot="1">
      <c r="A163" s="128" t="s">
        <v>240</v>
      </c>
      <c r="B163" s="129">
        <v>212</v>
      </c>
      <c r="C163" s="77">
        <v>0</v>
      </c>
      <c r="D163" s="15">
        <v>204</v>
      </c>
      <c r="E163" s="32">
        <f t="shared" ref="E163:E166" si="86">IF(ISNUMBER(D163), (D163 - $B163) / $B163, "")</f>
        <v>-3.7735849056603772E-2</v>
      </c>
      <c r="F163" s="18">
        <f>IF(ISNUMBER(D163), $B172 * E163, "")</f>
        <v>-11320.754716981131</v>
      </c>
      <c r="G163" s="31">
        <v>204</v>
      </c>
      <c r="H163" s="32">
        <f t="shared" ref="H163:H166" si="87">IF(ISNUMBER(G163), (G163 - $B163) / $B163, "")</f>
        <v>-3.7735849056603772E-2</v>
      </c>
      <c r="I163" s="101">
        <f>IF(ISNUMBER(G163), $B172 * H163, "")</f>
        <v>-11320.754716981131</v>
      </c>
      <c r="J163" s="15">
        <v>208</v>
      </c>
      <c r="K163" s="32">
        <f t="shared" ref="K163:K166" si="88">IF(ISNUMBER(J163), (J163 - $B163) / $B163, "")</f>
        <v>-1.8867924528301886E-2</v>
      </c>
      <c r="L163" s="18">
        <f>IF(ISNUMBER(J163), $B172 * K163, "")</f>
        <v>-5660.3773584905657</v>
      </c>
      <c r="M163" s="31">
        <v>196</v>
      </c>
      <c r="N163" s="32">
        <f t="shared" ref="N163:N166" si="89">IF(ISNUMBER(M163), (M163 - $B163) / $B163, "")</f>
        <v>-7.5471698113207544E-2</v>
      </c>
      <c r="O163" s="18">
        <f>IF(ISNUMBER(M163), $B172 * N163, "")</f>
        <v>-22641.509433962263</v>
      </c>
      <c r="Q163" s="181"/>
      <c r="R163" s="182"/>
      <c r="S163" s="183"/>
    </row>
    <row r="164" spans="1:19" ht="17.25" thickBot="1">
      <c r="A164" s="128" t="s">
        <v>212</v>
      </c>
      <c r="B164" s="129">
        <v>179</v>
      </c>
      <c r="C164" s="77">
        <v>0</v>
      </c>
      <c r="D164" s="15">
        <v>165</v>
      </c>
      <c r="E164" s="32">
        <f t="shared" si="86"/>
        <v>-7.8212290502793297E-2</v>
      </c>
      <c r="F164" s="18">
        <f>IF(ISNUMBER(D164), $B172 * E164, "")</f>
        <v>-23463.687150837988</v>
      </c>
      <c r="G164" s="31">
        <v>167</v>
      </c>
      <c r="H164" s="32">
        <f t="shared" si="87"/>
        <v>-6.7039106145251395E-2</v>
      </c>
      <c r="I164" s="101">
        <f>IF(ISNUMBER(G164), $B172 * H164, "")</f>
        <v>-20111.731843575417</v>
      </c>
      <c r="J164" s="15">
        <v>166</v>
      </c>
      <c r="K164" s="32">
        <f t="shared" si="88"/>
        <v>-7.2625698324022353E-2</v>
      </c>
      <c r="L164" s="18">
        <f>IF(ISNUMBER(J164), $B172 * K164, "")</f>
        <v>-21787.709497206706</v>
      </c>
      <c r="M164" s="31">
        <v>160</v>
      </c>
      <c r="N164" s="32">
        <f t="shared" si="89"/>
        <v>-0.10614525139664804</v>
      </c>
      <c r="O164" s="18">
        <f>IF(ISNUMBER(M164), $B172 * N164, "")</f>
        <v>-31843.575418994413</v>
      </c>
      <c r="Q164" s="174"/>
      <c r="R164" s="174"/>
      <c r="S164" s="174"/>
    </row>
    <row r="165" spans="1:19" ht="17.25" thickBot="1">
      <c r="A165" s="128" t="s">
        <v>250</v>
      </c>
      <c r="B165" s="129">
        <v>244</v>
      </c>
      <c r="C165" s="77">
        <v>0</v>
      </c>
      <c r="D165" s="15">
        <v>231</v>
      </c>
      <c r="E165" s="32">
        <f t="shared" si="86"/>
        <v>-5.3278688524590161E-2</v>
      </c>
      <c r="F165" s="18">
        <f>IF(ISNUMBER(D165), $B172 * E165, "")</f>
        <v>-15983.606557377048</v>
      </c>
      <c r="G165" s="31">
        <v>232</v>
      </c>
      <c r="H165" s="32">
        <f t="shared" si="87"/>
        <v>-4.9180327868852458E-2</v>
      </c>
      <c r="I165" s="101">
        <f>IF(ISNUMBER(G165), $B172 * H165, "")</f>
        <v>-14754.098360655737</v>
      </c>
      <c r="J165" s="15">
        <v>231</v>
      </c>
      <c r="K165" s="32">
        <f t="shared" si="88"/>
        <v>-5.3278688524590161E-2</v>
      </c>
      <c r="L165" s="18">
        <f>IF(ISNUMBER(J165), $B172 * K165, "")</f>
        <v>-15983.606557377048</v>
      </c>
      <c r="M165" s="31">
        <v>224</v>
      </c>
      <c r="N165" s="32">
        <f t="shared" si="89"/>
        <v>-8.1967213114754092E-2</v>
      </c>
      <c r="O165" s="18">
        <f>IF(ISNUMBER(M165), $B172 * N165, "")</f>
        <v>-24590.163934426229</v>
      </c>
      <c r="Q165" s="184"/>
      <c r="R165" s="184"/>
      <c r="S165" s="184"/>
    </row>
    <row r="166" spans="1:19" ht="17.25" thickBot="1">
      <c r="A166" s="130" t="s">
        <v>246</v>
      </c>
      <c r="B166" s="131">
        <v>443</v>
      </c>
      <c r="C166" s="78">
        <v>-2.2522522999999998E-3</v>
      </c>
      <c r="D166" s="20">
        <v>428</v>
      </c>
      <c r="E166" s="21">
        <f t="shared" si="86"/>
        <v>-3.3860045146726865E-2</v>
      </c>
      <c r="F166" s="22">
        <f>IF(ISNUMBER(D166), $B172 * E166, "")</f>
        <v>-10158.01354401806</v>
      </c>
      <c r="G166" s="30">
        <v>434</v>
      </c>
      <c r="H166" s="21">
        <f t="shared" si="87"/>
        <v>-2.0316027088036117E-2</v>
      </c>
      <c r="I166" s="105">
        <f>IF(ISNUMBER(G166), $B172 * H166, "")</f>
        <v>-6094.808126410835</v>
      </c>
      <c r="J166" s="20">
        <v>432</v>
      </c>
      <c r="K166" s="21">
        <f t="shared" si="88"/>
        <v>-2.4830699774266364E-2</v>
      </c>
      <c r="L166" s="22">
        <f>IF(ISNUMBER(J166), $B172 * K166, "")</f>
        <v>-7449.2099322799095</v>
      </c>
      <c r="M166" s="30">
        <v>420</v>
      </c>
      <c r="N166" s="21">
        <f t="shared" si="89"/>
        <v>-5.1918735891647853E-2</v>
      </c>
      <c r="O166" s="22">
        <f>IF(ISNUMBER(M166), $B172 * N166, "")</f>
        <v>-15575.620767494356</v>
      </c>
      <c r="Q166" s="184"/>
      <c r="R166" s="184"/>
      <c r="S166" s="184"/>
    </row>
    <row r="167" spans="1:19" ht="17.25" thickBot="1">
      <c r="A167" s="128" t="s">
        <v>202</v>
      </c>
      <c r="B167" s="132">
        <v>250</v>
      </c>
      <c r="C167" s="80">
        <v>-3.9840637000000002E-3</v>
      </c>
      <c r="D167" s="106">
        <v>231</v>
      </c>
      <c r="E167" s="107">
        <f>IF(ISNUMBER(D167), (D167 - $B167) / $B167, "")</f>
        <v>-7.5999999999999998E-2</v>
      </c>
      <c r="F167" s="108">
        <f>IF(ISNUMBER(D167), $B172 * E167, "")</f>
        <v>-22800</v>
      </c>
      <c r="G167" s="109">
        <v>236</v>
      </c>
      <c r="H167" s="107">
        <f>IF(ISNUMBER(G167), (G167 - $B167) / $B167, "")</f>
        <v>-5.6000000000000001E-2</v>
      </c>
      <c r="I167" s="110">
        <f>IF(ISNUMBER(G167), $B172 * H167, "")</f>
        <v>-16800</v>
      </c>
      <c r="J167" s="106">
        <v>234</v>
      </c>
      <c r="K167" s="107">
        <f>IF(ISNUMBER(J167), (J167 - $B167) / $B167, "")</f>
        <v>-6.4000000000000001E-2</v>
      </c>
      <c r="L167" s="108">
        <f>IF(ISNUMBER(J167), $B172 * K167, "")</f>
        <v>-19200</v>
      </c>
      <c r="M167" s="109">
        <v>226</v>
      </c>
      <c r="N167" s="107">
        <f>IF(ISNUMBER(M167), (M167 - $B167) / $B167, "")</f>
        <v>-9.6000000000000002E-2</v>
      </c>
      <c r="O167" s="108">
        <f>IF(ISNUMBER(M167), $B172 * N167, "")</f>
        <v>-28800</v>
      </c>
      <c r="Q167" s="174"/>
      <c r="R167" s="174"/>
      <c r="S167" s="174"/>
    </row>
    <row r="168" spans="1:19" ht="17.25" thickBot="1">
      <c r="A168" s="128" t="s">
        <v>174</v>
      </c>
      <c r="B168" s="129">
        <v>305</v>
      </c>
      <c r="C168" s="77">
        <v>-6.5146580000000004E-3</v>
      </c>
      <c r="D168" s="15">
        <v>294</v>
      </c>
      <c r="E168" s="32">
        <f t="shared" ref="E168:E171" si="90">IF(ISNUMBER(D168), (D168 - $B168) / $B168, "")</f>
        <v>-3.6065573770491806E-2</v>
      </c>
      <c r="F168" s="18">
        <f>IF(ISNUMBER(D168), $B172 * E168, "")</f>
        <v>-10819.672131147541</v>
      </c>
      <c r="G168" s="31">
        <v>295</v>
      </c>
      <c r="H168" s="32">
        <f t="shared" ref="H168:H171" si="91">IF(ISNUMBER(G168), (G168 - $B168) / $B168, "")</f>
        <v>-3.2786885245901641E-2</v>
      </c>
      <c r="I168" s="101">
        <f>IF(ISNUMBER(G168), $B172 * H168, "")</f>
        <v>-9836.0655737704928</v>
      </c>
      <c r="J168" s="15">
        <v>293</v>
      </c>
      <c r="K168" s="32">
        <f t="shared" ref="K168:K171" si="92">IF(ISNUMBER(J168), (J168 - $B168) / $B168, "")</f>
        <v>-3.9344262295081971E-2</v>
      </c>
      <c r="L168" s="18">
        <f>IF(ISNUMBER(J168), $B172 * K168, "")</f>
        <v>-11803.278688524591</v>
      </c>
      <c r="M168" s="31">
        <v>284</v>
      </c>
      <c r="N168" s="32">
        <f t="shared" ref="N168:N171" si="93">IF(ISNUMBER(M168), (M168 - $B168) / $B168, "")</f>
        <v>-6.8852459016393447E-2</v>
      </c>
      <c r="O168" s="18">
        <f>IF(ISNUMBER(M168), $B172 * N168, "")</f>
        <v>-20655.737704918036</v>
      </c>
      <c r="Q168" s="174"/>
      <c r="R168" s="174"/>
      <c r="S168" s="174"/>
    </row>
    <row r="169" spans="1:19" ht="17.25" thickBot="1">
      <c r="A169" s="128" t="s">
        <v>132</v>
      </c>
      <c r="B169" s="129">
        <v>258</v>
      </c>
      <c r="C169" s="77">
        <v>-7.6923076999999996E-3</v>
      </c>
      <c r="D169" s="15">
        <v>248</v>
      </c>
      <c r="E169" s="32">
        <f t="shared" si="90"/>
        <v>-3.875968992248062E-2</v>
      </c>
      <c r="F169" s="18">
        <f>IF(ISNUMBER(D169), $B172 * E169, "")</f>
        <v>-11627.906976744185</v>
      </c>
      <c r="G169" s="31">
        <v>251</v>
      </c>
      <c r="H169" s="32">
        <f t="shared" si="91"/>
        <v>-2.7131782945736434E-2</v>
      </c>
      <c r="I169" s="101">
        <f>IF(ISNUMBER(G169), $B172 * H169, "")</f>
        <v>-8139.5348837209303</v>
      </c>
      <c r="J169" s="15">
        <v>247</v>
      </c>
      <c r="K169" s="32">
        <f t="shared" si="92"/>
        <v>-4.2635658914728682E-2</v>
      </c>
      <c r="L169" s="18">
        <f>IF(ISNUMBER(J169), $B172 * K169, "")</f>
        <v>-12790.697674418605</v>
      </c>
      <c r="M169" s="31">
        <v>240</v>
      </c>
      <c r="N169" s="32">
        <f t="shared" si="93"/>
        <v>-6.9767441860465115E-2</v>
      </c>
      <c r="O169" s="18">
        <f>IF(ISNUMBER(M169), $B172 * N169, "")</f>
        <v>-20930.232558139534</v>
      </c>
      <c r="Q169" s="174"/>
      <c r="R169" s="174"/>
      <c r="S169" s="174"/>
    </row>
    <row r="170" spans="1:19">
      <c r="A170" s="128" t="s">
        <v>208</v>
      </c>
      <c r="B170" s="129">
        <v>550</v>
      </c>
      <c r="C170" s="77">
        <v>-9.0090090000000001E-3</v>
      </c>
      <c r="D170" s="15">
        <v>525</v>
      </c>
      <c r="E170" s="32">
        <f t="shared" si="90"/>
        <v>-4.5454545454545456E-2</v>
      </c>
      <c r="F170" s="18">
        <f>IF(ISNUMBER(D170), $B172 * E170, "")</f>
        <v>-13636.363636363636</v>
      </c>
      <c r="G170" s="31">
        <v>530</v>
      </c>
      <c r="H170" s="32">
        <f t="shared" si="91"/>
        <v>-3.6363636363636362E-2</v>
      </c>
      <c r="I170" s="101">
        <f>IF(ISNUMBER(G170), $B172 * H170, "")</f>
        <v>-10909.090909090908</v>
      </c>
      <c r="J170" s="15">
        <v>527</v>
      </c>
      <c r="K170" s="32">
        <f t="shared" si="92"/>
        <v>-4.1818181818181817E-2</v>
      </c>
      <c r="L170" s="18">
        <f>IF(ISNUMBER(J170), $B172 * K170, "")</f>
        <v>-12545.454545454546</v>
      </c>
      <c r="M170" s="31">
        <v>511</v>
      </c>
      <c r="N170" s="32">
        <f t="shared" si="93"/>
        <v>-7.0909090909090908E-2</v>
      </c>
      <c r="O170" s="18">
        <f>IF(ISNUMBER(M170), $B172 * N170, "")</f>
        <v>-21272.727272727272</v>
      </c>
      <c r="Q170" s="163"/>
      <c r="R170" s="164"/>
      <c r="S170" s="165"/>
    </row>
    <row r="171" spans="1:19" ht="17.25" thickBot="1">
      <c r="A171" s="133" t="s">
        <v>170</v>
      </c>
      <c r="B171" s="134">
        <v>549</v>
      </c>
      <c r="C171" s="79">
        <v>-9.0252708000000004E-3</v>
      </c>
      <c r="D171" s="24">
        <v>530</v>
      </c>
      <c r="E171" s="25">
        <f t="shared" si="90"/>
        <v>-3.4608378870673952E-2</v>
      </c>
      <c r="F171" s="104">
        <f>IF(ISNUMBER(D171), $B172 * E171, "")</f>
        <v>-10382.513661202185</v>
      </c>
      <c r="G171" s="102">
        <v>539</v>
      </c>
      <c r="H171" s="25">
        <f t="shared" si="91"/>
        <v>-1.8214936247723135E-2</v>
      </c>
      <c r="I171" s="103">
        <f>IF(ISNUMBER(G171), $B172 * H171, "")</f>
        <v>-5464.4808743169406</v>
      </c>
      <c r="J171" s="24">
        <v>536</v>
      </c>
      <c r="K171" s="25">
        <f t="shared" si="92"/>
        <v>-2.3679417122040074E-2</v>
      </c>
      <c r="L171" s="104">
        <f>IF(ISNUMBER(J171), $B172 * K171, "")</f>
        <v>-7103.8251366120221</v>
      </c>
      <c r="M171" s="102">
        <v>519</v>
      </c>
      <c r="N171" s="25">
        <f t="shared" si="93"/>
        <v>-5.4644808743169397E-2</v>
      </c>
      <c r="O171" s="104">
        <f>IF(ISNUMBER(M171), $B172 * N171, "")</f>
        <v>-16393.442622950821</v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300000</v>
      </c>
      <c r="C172" s="228"/>
      <c r="D172" s="26" t="s">
        <v>302</v>
      </c>
      <c r="E172" s="27">
        <f>IF(COUNT(E152:E171), SUM(E152:E171) / COUNT(E152:E171), 0)</f>
        <v>-4.1193206986274031E-2</v>
      </c>
      <c r="F172" s="28">
        <f>SUM(F152:F171)</f>
        <v>-247159.24191764425</v>
      </c>
      <c r="G172" s="26" t="s">
        <v>302</v>
      </c>
      <c r="H172" s="27">
        <f>IF(COUNT(H152:H171), SUM(H152:H171) / COUNT(H152:H171), 0)</f>
        <v>-3.4376212611173518E-2</v>
      </c>
      <c r="I172" s="28">
        <f>SUM(I152:I171)</f>
        <v>-206257.27566704105</v>
      </c>
      <c r="J172" s="26" t="s">
        <v>302</v>
      </c>
      <c r="K172" s="27">
        <f>IF(COUNT(K152:K171), SUM(K152:K171) / COUNT(K152:K171), 0)</f>
        <v>-3.9129740187851314E-2</v>
      </c>
      <c r="L172" s="28">
        <f>SUM(L152:L171)</f>
        <v>-234778.441127108</v>
      </c>
      <c r="M172" s="26" t="s">
        <v>302</v>
      </c>
      <c r="N172" s="27">
        <f>IF(COUNT(N152:N171), SUM(N152:N171) / COUNT(N152:N171), 0)</f>
        <v>-7.1070786565624905E-2</v>
      </c>
      <c r="O172" s="28">
        <f>SUM(O152:O171)</f>
        <v>-426424.71939374949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16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2021-05-04(화) 오전 00:00</v>
      </c>
      <c r="C177" s="226"/>
      <c r="D177" s="198" t="str">
        <f>TEXT($G$1, "[$-ko-KR]yyyy-mm-dd(ddd) ") &amp; "오후 14:00"</f>
        <v>2021-05-04(화) 오후 14:00</v>
      </c>
      <c r="E177" s="199"/>
      <c r="F177" s="200"/>
      <c r="G177" s="198" t="str">
        <f>TEXT($G$1, "[$-ko-KR]yyyy-mm-dd(ddd) ") &amp; "오후 19:00"</f>
        <v>2021-05-04(화) 오후 19:00</v>
      </c>
      <c r="H177" s="199"/>
      <c r="I177" s="200"/>
      <c r="J177" s="198" t="str">
        <f>TEXT($G$1, "[$-ko-KR]yyyy-mm-dd(ddd) ") &amp; "오후 21:00"</f>
        <v>2021-05-04(화) 오후 21:00</v>
      </c>
      <c r="K177" s="199"/>
      <c r="L177" s="200"/>
      <c r="M177" s="198" t="str">
        <f>TEXT($G$1+1, "[$-ko-KR]yyyy-mm-dd(ddd) ") &amp; "오전 00:00"</f>
        <v>2021-05-05(수)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17" t="s">
        <v>58</v>
      </c>
      <c r="H178" s="118" t="s">
        <v>299</v>
      </c>
      <c r="I178" s="119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 t="s">
        <v>74</v>
      </c>
      <c r="B179" s="127">
        <v>27900</v>
      </c>
      <c r="C179" s="76">
        <v>0</v>
      </c>
      <c r="D179" s="13">
        <v>27550</v>
      </c>
      <c r="E179" s="14">
        <f>IF(ISNUMBER(D179), (D179 - $B179) / $B179, "")</f>
        <v>-1.2544802867383513E-2</v>
      </c>
      <c r="F179" s="16">
        <f>IF(ISNUMBER(D179), $B199 * E179, "")</f>
        <v>-3763.4408602150538</v>
      </c>
      <c r="G179" s="29">
        <v>28570</v>
      </c>
      <c r="H179" s="14">
        <f>IF(ISNUMBER(G179), (G179 - $B179) / $B179, "")</f>
        <v>2.4014336917562724E-2</v>
      </c>
      <c r="I179" s="100">
        <f>IF(ISNUMBER(G179), $B199 * H179, "")</f>
        <v>7204.3010752688169</v>
      </c>
      <c r="J179" s="13">
        <v>28300</v>
      </c>
      <c r="K179" s="14">
        <f>IF(ISNUMBER(J179), (J179 - $B179) / $B179, "")</f>
        <v>1.4336917562724014E-2</v>
      </c>
      <c r="L179" s="16">
        <f>IF(ISNUMBER(J179), $B199 * K179, "")</f>
        <v>4301.0752688172042</v>
      </c>
      <c r="M179" s="29">
        <v>28010</v>
      </c>
      <c r="N179" s="14">
        <f>IF(ISNUMBER(M179), (M179 - $B179) / $B179, "")</f>
        <v>3.9426523297491044E-3</v>
      </c>
      <c r="O179" s="16">
        <f>IF(ISNUMBER(M179), $B199 * N179, "")</f>
        <v>1182.7956989247314</v>
      </c>
      <c r="Q179" s="184"/>
      <c r="R179" s="184"/>
      <c r="S179" s="184"/>
    </row>
    <row r="180" spans="1:19" ht="17.25" thickBot="1">
      <c r="A180" s="128" t="s">
        <v>228</v>
      </c>
      <c r="B180" s="129">
        <v>21.1</v>
      </c>
      <c r="C180" s="77">
        <v>0</v>
      </c>
      <c r="D180" s="15">
        <v>20.100000000000001</v>
      </c>
      <c r="E180" s="32">
        <f t="shared" ref="E180:E183" si="94">IF(ISNUMBER(D180), (D180 - $B180) / $B180, "")</f>
        <v>-4.7393364928909949E-2</v>
      </c>
      <c r="F180" s="18">
        <f>IF(ISNUMBER(D180), $B199 * E180, "")</f>
        <v>-14218.009478672984</v>
      </c>
      <c r="G180" s="31">
        <v>20.2</v>
      </c>
      <c r="H180" s="32">
        <f t="shared" ref="H180:H183" si="95">IF(ISNUMBER(G180), (G180 - $B180) / $B180, "")</f>
        <v>-4.2654028436019058E-2</v>
      </c>
      <c r="I180" s="101">
        <f>IF(ISNUMBER(G180), $B199 * H180, "")</f>
        <v>-12796.208530805718</v>
      </c>
      <c r="J180" s="15">
        <v>20.2</v>
      </c>
      <c r="K180" s="32">
        <f t="shared" ref="K180:K183" si="96">IF(ISNUMBER(J180), (J180 - $B180) / $B180, "")</f>
        <v>-4.2654028436019058E-2</v>
      </c>
      <c r="L180" s="18">
        <f>IF(ISNUMBER(J180), $B199 * K180, "")</f>
        <v>-12796.208530805718</v>
      </c>
      <c r="M180" s="31">
        <v>19.5</v>
      </c>
      <c r="N180" s="32">
        <f t="shared" ref="N180:N183" si="97">IF(ISNUMBER(M180), (M180 - $B180) / $B180, "")</f>
        <v>-7.5829383886255985E-2</v>
      </c>
      <c r="O180" s="18">
        <f>IF(ISNUMBER(M180), $B199 * N180, "")</f>
        <v>-22748.815165876797</v>
      </c>
      <c r="Q180" s="184"/>
      <c r="R180" s="184"/>
      <c r="S180" s="184"/>
    </row>
    <row r="181" spans="1:19" ht="17.25" thickBot="1">
      <c r="A181" s="128" t="s">
        <v>212</v>
      </c>
      <c r="B181" s="129">
        <v>179</v>
      </c>
      <c r="C181" s="77">
        <v>0</v>
      </c>
      <c r="D181" s="15">
        <v>165</v>
      </c>
      <c r="E181" s="32">
        <f t="shared" si="94"/>
        <v>-7.8212290502793297E-2</v>
      </c>
      <c r="F181" s="18">
        <f>IF(ISNUMBER(D181), $B199 * E181, "")</f>
        <v>-23463.687150837988</v>
      </c>
      <c r="G181" s="31">
        <v>167</v>
      </c>
      <c r="H181" s="32">
        <f t="shared" si="95"/>
        <v>-6.7039106145251395E-2</v>
      </c>
      <c r="I181" s="101">
        <f>IF(ISNUMBER(G181), $B199 * H181, "")</f>
        <v>-20111.731843575417</v>
      </c>
      <c r="J181" s="15">
        <v>166</v>
      </c>
      <c r="K181" s="32">
        <f t="shared" si="96"/>
        <v>-7.2625698324022353E-2</v>
      </c>
      <c r="L181" s="18">
        <f>IF(ISNUMBER(J181), $B199 * K181, "")</f>
        <v>-21787.709497206706</v>
      </c>
      <c r="M181" s="31">
        <v>160</v>
      </c>
      <c r="N181" s="32">
        <f t="shared" si="97"/>
        <v>-0.10614525139664804</v>
      </c>
      <c r="O181" s="18">
        <f>IF(ISNUMBER(M181), $B199 * N181, "")</f>
        <v>-31843.575418994413</v>
      </c>
      <c r="Q181" s="174"/>
      <c r="R181" s="174"/>
      <c r="S181" s="174"/>
    </row>
    <row r="182" spans="1:19" ht="17.25" thickBot="1">
      <c r="A182" s="128" t="s">
        <v>222</v>
      </c>
      <c r="B182" s="129">
        <v>20.7</v>
      </c>
      <c r="C182" s="77">
        <v>0</v>
      </c>
      <c r="D182" s="15">
        <v>20</v>
      </c>
      <c r="E182" s="32">
        <f t="shared" si="94"/>
        <v>-3.3816425120772917E-2</v>
      </c>
      <c r="F182" s="18">
        <f>IF(ISNUMBER(D182), $B199 * E182, "")</f>
        <v>-10144.927536231875</v>
      </c>
      <c r="G182" s="31">
        <v>20.100000000000001</v>
      </c>
      <c r="H182" s="32">
        <f t="shared" si="95"/>
        <v>-2.8985507246376711E-2</v>
      </c>
      <c r="I182" s="101">
        <f>IF(ISNUMBER(G182), $B199 * H182, "")</f>
        <v>-8695.652173913013</v>
      </c>
      <c r="J182" s="15">
        <v>20.100000000000001</v>
      </c>
      <c r="K182" s="32">
        <f t="shared" si="96"/>
        <v>-2.8985507246376711E-2</v>
      </c>
      <c r="L182" s="18">
        <f>IF(ISNUMBER(J182), $B199 * K182, "")</f>
        <v>-8695.652173913013</v>
      </c>
      <c r="M182" s="31">
        <v>19.3</v>
      </c>
      <c r="N182" s="32">
        <f t="shared" si="97"/>
        <v>-6.7632850241545833E-2</v>
      </c>
      <c r="O182" s="18">
        <f>IF(ISNUMBER(M182), $B199 * N182, "")</f>
        <v>-20289.85507246375</v>
      </c>
      <c r="Q182" s="174"/>
      <c r="R182" s="174"/>
      <c r="S182" s="174"/>
    </row>
    <row r="183" spans="1:19" ht="17.25" thickBot="1">
      <c r="A183" s="130" t="s">
        <v>198</v>
      </c>
      <c r="B183" s="131">
        <v>32.4</v>
      </c>
      <c r="C183" s="78">
        <v>0</v>
      </c>
      <c r="D183" s="20">
        <v>30.9</v>
      </c>
      <c r="E183" s="21">
        <f t="shared" si="94"/>
        <v>-4.6296296296296301E-2</v>
      </c>
      <c r="F183" s="22">
        <f>IF(ISNUMBER(D183), $B199 * E183, "")</f>
        <v>-13888.888888888891</v>
      </c>
      <c r="G183" s="30">
        <v>31.1</v>
      </c>
      <c r="H183" s="21">
        <f t="shared" si="95"/>
        <v>-4.0123456790123371E-2</v>
      </c>
      <c r="I183" s="105">
        <f>IF(ISNUMBER(G183), $B199 * H183, "")</f>
        <v>-12037.037037037011</v>
      </c>
      <c r="J183" s="20">
        <v>31</v>
      </c>
      <c r="K183" s="21">
        <f t="shared" si="96"/>
        <v>-4.3209876543209833E-2</v>
      </c>
      <c r="L183" s="22">
        <f>IF(ISNUMBER(J183), $B199 * K183, "")</f>
        <v>-12962.962962962949</v>
      </c>
      <c r="M183" s="30">
        <v>29.9</v>
      </c>
      <c r="N183" s="21">
        <f t="shared" si="97"/>
        <v>-7.7160493827160503E-2</v>
      </c>
      <c r="O183" s="22">
        <f>IF(ISNUMBER(M183), $B199 * N183, "")</f>
        <v>-23148.14814814815</v>
      </c>
      <c r="Q183" s="174"/>
      <c r="R183" s="174"/>
      <c r="S183" s="174"/>
    </row>
    <row r="184" spans="1:19" ht="17.25" thickBot="1">
      <c r="A184" s="128" t="s">
        <v>162</v>
      </c>
      <c r="B184" s="132">
        <v>2205</v>
      </c>
      <c r="C184" s="80">
        <v>0</v>
      </c>
      <c r="D184" s="106">
        <v>2145</v>
      </c>
      <c r="E184" s="107">
        <f>IF(ISNUMBER(D184), (D184 - $B184) / $B184, "")</f>
        <v>-2.7210884353741496E-2</v>
      </c>
      <c r="F184" s="108">
        <f>IF(ISNUMBER(D184), $B199 * E184, "")</f>
        <v>-8163.2653061224482</v>
      </c>
      <c r="G184" s="109">
        <v>2140</v>
      </c>
      <c r="H184" s="107">
        <f>IF(ISNUMBER(G184), (G184 - $B184) / $B184, "")</f>
        <v>-2.9478458049886622E-2</v>
      </c>
      <c r="I184" s="110">
        <f>IF(ISNUMBER(G184), $B199 * H184, "")</f>
        <v>-8843.5374149659856</v>
      </c>
      <c r="J184" s="106">
        <v>2130</v>
      </c>
      <c r="K184" s="107">
        <f>IF(ISNUMBER(J184), (J184 - $B184) / $B184, "")</f>
        <v>-3.4013605442176874E-2</v>
      </c>
      <c r="L184" s="108">
        <f>IF(ISNUMBER(J184), $B199 * K184, "")</f>
        <v>-10204.081632653062</v>
      </c>
      <c r="M184" s="109">
        <v>2065</v>
      </c>
      <c r="N184" s="107">
        <f>IF(ISNUMBER(M184), (M184 - $B184) / $B184, "")</f>
        <v>-6.3492063492063489E-2</v>
      </c>
      <c r="O184" s="108">
        <f>IF(ISNUMBER(M184), $B199 * N184, "")</f>
        <v>-19047.619047619046</v>
      </c>
      <c r="Q184" s="174"/>
      <c r="R184" s="174"/>
      <c r="S184" s="174"/>
    </row>
    <row r="185" spans="1:19" ht="17.25" thickBot="1">
      <c r="A185" s="128" t="s">
        <v>250</v>
      </c>
      <c r="B185" s="129">
        <v>244</v>
      </c>
      <c r="C185" s="77">
        <v>0</v>
      </c>
      <c r="D185" s="15">
        <v>231</v>
      </c>
      <c r="E185" s="32">
        <f t="shared" ref="E185:E188" si="98">IF(ISNUMBER(D185), (D185 - $B185) / $B185, "")</f>
        <v>-5.3278688524590161E-2</v>
      </c>
      <c r="F185" s="18">
        <f>IF(ISNUMBER(D185), $B199 * E185, "")</f>
        <v>-15983.606557377048</v>
      </c>
      <c r="G185" s="31">
        <v>232</v>
      </c>
      <c r="H185" s="32">
        <f t="shared" ref="H185:H188" si="99">IF(ISNUMBER(G185), (G185 - $B185) / $B185, "")</f>
        <v>-4.9180327868852458E-2</v>
      </c>
      <c r="I185" s="101">
        <f>IF(ISNUMBER(G185), $B199 * H185, "")</f>
        <v>-14754.098360655737</v>
      </c>
      <c r="J185" s="15">
        <v>231</v>
      </c>
      <c r="K185" s="32">
        <f t="shared" ref="K185:K188" si="100">IF(ISNUMBER(J185), (J185 - $B185) / $B185, "")</f>
        <v>-5.3278688524590161E-2</v>
      </c>
      <c r="L185" s="18">
        <f>IF(ISNUMBER(J185), $B199 * K185, "")</f>
        <v>-15983.606557377048</v>
      </c>
      <c r="M185" s="31">
        <v>224</v>
      </c>
      <c r="N185" s="32">
        <f t="shared" ref="N185:N188" si="101">IF(ISNUMBER(M185), (M185 - $B185) / $B185, "")</f>
        <v>-8.1967213114754092E-2</v>
      </c>
      <c r="O185" s="18">
        <f>IF(ISNUMBER(M185), $B199 * N185, "")</f>
        <v>-24590.163934426229</v>
      </c>
      <c r="Q185" s="174"/>
      <c r="R185" s="174"/>
      <c r="S185" s="174"/>
    </row>
    <row r="186" spans="1:19" ht="17.25" thickBot="1">
      <c r="A186" s="128" t="s">
        <v>152</v>
      </c>
      <c r="B186" s="129">
        <v>49.8</v>
      </c>
      <c r="C186" s="77">
        <v>-2.0040079999999998E-3</v>
      </c>
      <c r="D186" s="15">
        <v>47.6</v>
      </c>
      <c r="E186" s="32">
        <f t="shared" si="98"/>
        <v>-4.4176706827309155E-2</v>
      </c>
      <c r="F186" s="18">
        <f>IF(ISNUMBER(D186), $B199 * E186, "")</f>
        <v>-13253.012048192746</v>
      </c>
      <c r="G186" s="31">
        <v>48</v>
      </c>
      <c r="H186" s="32">
        <f t="shared" si="99"/>
        <v>-3.6144578313252955E-2</v>
      </c>
      <c r="I186" s="101">
        <f>IF(ISNUMBER(G186), $B199 * H186, "")</f>
        <v>-10843.373493975887</v>
      </c>
      <c r="J186" s="15">
        <v>47.8</v>
      </c>
      <c r="K186" s="32">
        <f t="shared" si="100"/>
        <v>-4.0160642570281124E-2</v>
      </c>
      <c r="L186" s="18">
        <f>IF(ISNUMBER(J186), $B199 * K186, "")</f>
        <v>-12048.192771084337</v>
      </c>
      <c r="M186" s="31">
        <v>45.6</v>
      </c>
      <c r="N186" s="32">
        <f t="shared" si="101"/>
        <v>-8.4337349397590286E-2</v>
      </c>
      <c r="O186" s="18">
        <f>IF(ISNUMBER(M186), $B199 * N186, "")</f>
        <v>-25301.204819277085</v>
      </c>
      <c r="Q186" s="174"/>
      <c r="R186" s="174"/>
      <c r="S186" s="174"/>
    </row>
    <row r="187" spans="1:19" ht="17.25" thickBot="1">
      <c r="A187" s="128" t="s">
        <v>246</v>
      </c>
      <c r="B187" s="129">
        <v>443</v>
      </c>
      <c r="C187" s="77">
        <v>-2.2522522999999998E-3</v>
      </c>
      <c r="D187" s="15">
        <v>428</v>
      </c>
      <c r="E187" s="32">
        <f t="shared" si="98"/>
        <v>-3.3860045146726865E-2</v>
      </c>
      <c r="F187" s="18">
        <f>IF(ISNUMBER(D187), $B199 * E187, "")</f>
        <v>-10158.01354401806</v>
      </c>
      <c r="G187" s="31">
        <v>434</v>
      </c>
      <c r="H187" s="32">
        <f t="shared" si="99"/>
        <v>-2.0316027088036117E-2</v>
      </c>
      <c r="I187" s="101">
        <f>IF(ISNUMBER(G187), $B199 * H187, "")</f>
        <v>-6094.808126410835</v>
      </c>
      <c r="J187" s="15">
        <v>432</v>
      </c>
      <c r="K187" s="32">
        <f t="shared" si="100"/>
        <v>-2.4830699774266364E-2</v>
      </c>
      <c r="L187" s="18">
        <f>IF(ISNUMBER(J187), $B199 * K187, "")</f>
        <v>-7449.2099322799095</v>
      </c>
      <c r="M187" s="31">
        <v>420</v>
      </c>
      <c r="N187" s="32">
        <f t="shared" si="101"/>
        <v>-5.1918735891647853E-2</v>
      </c>
      <c r="O187" s="18">
        <f>IF(ISNUMBER(M187), $B199 * N187, "")</f>
        <v>-15575.620767494356</v>
      </c>
      <c r="Q187" s="33"/>
      <c r="R187" s="33"/>
    </row>
    <row r="188" spans="1:19" ht="17.25" thickBot="1">
      <c r="A188" s="133" t="s">
        <v>218</v>
      </c>
      <c r="B188" s="134">
        <v>32.799999999999997</v>
      </c>
      <c r="C188" s="79">
        <v>-3.0395137E-3</v>
      </c>
      <c r="D188" s="24">
        <v>31.3</v>
      </c>
      <c r="E188" s="25">
        <f t="shared" si="98"/>
        <v>-4.5731707317073066E-2</v>
      </c>
      <c r="F188" s="104">
        <f>IF(ISNUMBER(D188), $B199 * E188, "")</f>
        <v>-13719.512195121919</v>
      </c>
      <c r="G188" s="102">
        <v>31.8</v>
      </c>
      <c r="H188" s="25">
        <f t="shared" si="99"/>
        <v>-3.0487804878048676E-2</v>
      </c>
      <c r="I188" s="103">
        <f>IF(ISNUMBER(G188), $B199 * H188, "")</f>
        <v>-9146.3414634146029</v>
      </c>
      <c r="J188" s="24">
        <v>31.4</v>
      </c>
      <c r="K188" s="25">
        <f t="shared" si="100"/>
        <v>-4.2682926829268254E-2</v>
      </c>
      <c r="L188" s="104">
        <f>IF(ISNUMBER(J188), $B199 * K188, "")</f>
        <v>-12804.878048780476</v>
      </c>
      <c r="M188" s="102">
        <v>30.3</v>
      </c>
      <c r="N188" s="25">
        <f t="shared" si="101"/>
        <v>-7.6219512195121852E-2</v>
      </c>
      <c r="O188" s="104">
        <f>IF(ISNUMBER(M188), $B199 * N188, "")</f>
        <v>-22865.853658536555</v>
      </c>
      <c r="Q188" s="175"/>
      <c r="R188" s="176"/>
      <c r="S188" s="177"/>
    </row>
    <row r="189" spans="1:19">
      <c r="A189" s="126" t="s">
        <v>110</v>
      </c>
      <c r="B189" s="127">
        <v>3020</v>
      </c>
      <c r="C189" s="76">
        <v>-3.3003300000000002E-3</v>
      </c>
      <c r="D189" s="13">
        <v>2910</v>
      </c>
      <c r="E189" s="14">
        <f>IF(ISNUMBER(D189), (D189 - $B189) / $B189, "")</f>
        <v>-3.6423841059602648E-2</v>
      </c>
      <c r="F189" s="16">
        <f>IF(ISNUMBER(D189), $B199 * E189, "")</f>
        <v>-10927.152317880795</v>
      </c>
      <c r="G189" s="29">
        <v>2940</v>
      </c>
      <c r="H189" s="14">
        <f>IF(ISNUMBER(G189), (G189 - $B189) / $B189, "")</f>
        <v>-2.6490066225165563E-2</v>
      </c>
      <c r="I189" s="100">
        <f>IF(ISNUMBER(G189), $B199 * H189, "")</f>
        <v>-7947.0198675496686</v>
      </c>
      <c r="J189" s="13">
        <v>2910</v>
      </c>
      <c r="K189" s="14">
        <f>IF(ISNUMBER(J189), (J189 - $B189) / $B189, "")</f>
        <v>-3.6423841059602648E-2</v>
      </c>
      <c r="L189" s="16">
        <f>IF(ISNUMBER(J189), $B199 * K189, "")</f>
        <v>-10927.152317880795</v>
      </c>
      <c r="M189" s="29">
        <v>2790</v>
      </c>
      <c r="N189" s="14">
        <f>IF(ISNUMBER(M189), (M189 - $B189) / $B189, "")</f>
        <v>-7.6158940397350994E-2</v>
      </c>
      <c r="O189" s="16">
        <f>IF(ISNUMBER(M189), $B199 * N189, "")</f>
        <v>-22847.682119205299</v>
      </c>
      <c r="Q189" s="178"/>
      <c r="R189" s="179"/>
      <c r="S189" s="180"/>
    </row>
    <row r="190" spans="1:19" ht="17.25" thickBot="1">
      <c r="A190" s="128" t="s">
        <v>158</v>
      </c>
      <c r="B190" s="129">
        <v>11230</v>
      </c>
      <c r="C190" s="77">
        <v>-3.5492458000000002E-3</v>
      </c>
      <c r="D190" s="15">
        <v>11070</v>
      </c>
      <c r="E190" s="32">
        <f t="shared" ref="E190:E193" si="102">IF(ISNUMBER(D190), (D190 - $B190) / $B190, "")</f>
        <v>-1.4247551202137132E-2</v>
      </c>
      <c r="F190" s="18">
        <f>IF(ISNUMBER(D190), $B199 * E190, "")</f>
        <v>-4274.2653606411395</v>
      </c>
      <c r="G190" s="31">
        <v>11320</v>
      </c>
      <c r="H190" s="32">
        <f t="shared" ref="H190:H193" si="103">IF(ISNUMBER(G190), (G190 - $B190) / $B190, "")</f>
        <v>8.0142475512021364E-3</v>
      </c>
      <c r="I190" s="101">
        <f>IF(ISNUMBER(G190), $B199 * H190, "")</f>
        <v>2404.274265360641</v>
      </c>
      <c r="J190" s="15">
        <v>11330</v>
      </c>
      <c r="K190" s="32">
        <f t="shared" ref="K190:K193" si="104">IF(ISNUMBER(J190), (J190 - $B190) / $B190, "")</f>
        <v>8.9047195013357075E-3</v>
      </c>
      <c r="L190" s="18">
        <f>IF(ISNUMBER(J190), $B199 * K190, "")</f>
        <v>2671.4158504007123</v>
      </c>
      <c r="M190" s="31">
        <v>10840</v>
      </c>
      <c r="N190" s="32">
        <f t="shared" ref="N190:N193" si="105">IF(ISNUMBER(M190), (M190 - $B190) / $B190, "")</f>
        <v>-3.4728406055209264E-2</v>
      </c>
      <c r="O190" s="18">
        <f>IF(ISNUMBER(M190), $B199 * N190, "")</f>
        <v>-10418.521816562779</v>
      </c>
      <c r="Q190" s="181"/>
      <c r="R190" s="182"/>
      <c r="S190" s="183"/>
    </row>
    <row r="191" spans="1:19" ht="17.25" thickBot="1">
      <c r="A191" s="128" t="s">
        <v>202</v>
      </c>
      <c r="B191" s="129">
        <v>250</v>
      </c>
      <c r="C191" s="77">
        <v>-3.9840637000000002E-3</v>
      </c>
      <c r="D191" s="15">
        <v>231</v>
      </c>
      <c r="E191" s="32">
        <f t="shared" si="102"/>
        <v>-7.5999999999999998E-2</v>
      </c>
      <c r="F191" s="18">
        <f>IF(ISNUMBER(D191), $B199 * E191, "")</f>
        <v>-22800</v>
      </c>
      <c r="G191" s="31">
        <v>236</v>
      </c>
      <c r="H191" s="32">
        <f t="shared" si="103"/>
        <v>-5.6000000000000001E-2</v>
      </c>
      <c r="I191" s="101">
        <f>IF(ISNUMBER(G191), $B199 * H191, "")</f>
        <v>-16800</v>
      </c>
      <c r="J191" s="15">
        <v>234</v>
      </c>
      <c r="K191" s="32">
        <f t="shared" si="104"/>
        <v>-6.4000000000000001E-2</v>
      </c>
      <c r="L191" s="18">
        <f>IF(ISNUMBER(J191), $B199 * K191, "")</f>
        <v>-19200</v>
      </c>
      <c r="M191" s="31">
        <v>226</v>
      </c>
      <c r="N191" s="32">
        <f t="shared" si="105"/>
        <v>-9.6000000000000002E-2</v>
      </c>
      <c r="O191" s="18">
        <f>IF(ISNUMBER(M191), $B199 * N191, "")</f>
        <v>-28800</v>
      </c>
      <c r="Q191" s="174"/>
      <c r="R191" s="174"/>
      <c r="S191" s="174"/>
    </row>
    <row r="192" spans="1:19" ht="17.25" thickBot="1">
      <c r="A192" s="128" t="s">
        <v>92</v>
      </c>
      <c r="B192" s="129">
        <v>1880</v>
      </c>
      <c r="C192" s="77">
        <v>-5.2910053000000002E-3</v>
      </c>
      <c r="D192" s="15">
        <v>1835</v>
      </c>
      <c r="E192" s="32">
        <f t="shared" si="102"/>
        <v>-2.3936170212765957E-2</v>
      </c>
      <c r="F192" s="18">
        <f>IF(ISNUMBER(D192), $B199 * E192, "")</f>
        <v>-7180.8510638297876</v>
      </c>
      <c r="G192" s="31">
        <v>1840</v>
      </c>
      <c r="H192" s="32">
        <f t="shared" si="103"/>
        <v>-2.1276595744680851E-2</v>
      </c>
      <c r="I192" s="101">
        <f>IF(ISNUMBER(G192), $B199 * H192, "")</f>
        <v>-6382.9787234042551</v>
      </c>
      <c r="J192" s="15">
        <v>1820</v>
      </c>
      <c r="K192" s="32">
        <f t="shared" si="104"/>
        <v>-3.1914893617021274E-2</v>
      </c>
      <c r="L192" s="18">
        <f>IF(ISNUMBER(J192), $B199 * K192, "")</f>
        <v>-9574.4680851063822</v>
      </c>
      <c r="M192" s="31">
        <v>1770</v>
      </c>
      <c r="N192" s="32">
        <f t="shared" si="105"/>
        <v>-5.8510638297872342E-2</v>
      </c>
      <c r="O192" s="18">
        <f>IF(ISNUMBER(M192), $B199 * N192, "")</f>
        <v>-17553.191489361703</v>
      </c>
      <c r="Q192" s="184"/>
      <c r="R192" s="184"/>
      <c r="S192" s="184"/>
    </row>
    <row r="193" spans="1:19" ht="17.25" thickBot="1">
      <c r="A193" s="130" t="s">
        <v>174</v>
      </c>
      <c r="B193" s="131">
        <v>305</v>
      </c>
      <c r="C193" s="78">
        <v>-6.5146580000000004E-3</v>
      </c>
      <c r="D193" s="20">
        <v>294</v>
      </c>
      <c r="E193" s="21">
        <f t="shared" si="102"/>
        <v>-3.6065573770491806E-2</v>
      </c>
      <c r="F193" s="22">
        <f>IF(ISNUMBER(D193), $B199 * E193, "")</f>
        <v>-10819.672131147541</v>
      </c>
      <c r="G193" s="30">
        <v>295</v>
      </c>
      <c r="H193" s="21">
        <f t="shared" si="103"/>
        <v>-3.2786885245901641E-2</v>
      </c>
      <c r="I193" s="105">
        <f>IF(ISNUMBER(G193), $B199 * H193, "")</f>
        <v>-9836.0655737704928</v>
      </c>
      <c r="J193" s="20">
        <v>293</v>
      </c>
      <c r="K193" s="21">
        <f t="shared" si="104"/>
        <v>-3.9344262295081971E-2</v>
      </c>
      <c r="L193" s="22">
        <f>IF(ISNUMBER(J193), $B199 * K193, "")</f>
        <v>-11803.278688524591</v>
      </c>
      <c r="M193" s="30">
        <v>284</v>
      </c>
      <c r="N193" s="21">
        <f t="shared" si="105"/>
        <v>-6.8852459016393447E-2</v>
      </c>
      <c r="O193" s="22">
        <f>IF(ISNUMBER(M193), $B199 * N193, "")</f>
        <v>-20655.737704918036</v>
      </c>
      <c r="Q193" s="184"/>
      <c r="R193" s="184"/>
      <c r="S193" s="184"/>
    </row>
    <row r="194" spans="1:19" ht="17.25" thickBot="1">
      <c r="A194" s="128" t="s">
        <v>126</v>
      </c>
      <c r="B194" s="132">
        <v>68.7</v>
      </c>
      <c r="C194" s="80">
        <v>-7.2254334999999996E-3</v>
      </c>
      <c r="D194" s="106">
        <v>65.7</v>
      </c>
      <c r="E194" s="107">
        <f>IF(ISNUMBER(D194), (D194 - $B194) / $B194, "")</f>
        <v>-4.3668122270742356E-2</v>
      </c>
      <c r="F194" s="108">
        <f>IF(ISNUMBER(D194), $B199 * E194, "")</f>
        <v>-13100.436681222707</v>
      </c>
      <c r="G194" s="109">
        <v>66.099999999999994</v>
      </c>
      <c r="H194" s="107">
        <f>IF(ISNUMBER(G194), (G194 - $B194) / $B194, "")</f>
        <v>-3.7845705967976831E-2</v>
      </c>
      <c r="I194" s="110">
        <f>IF(ISNUMBER(G194), $B199 * H194, "")</f>
        <v>-11353.711790393048</v>
      </c>
      <c r="J194" s="106">
        <v>65.7</v>
      </c>
      <c r="K194" s="107">
        <f>IF(ISNUMBER(J194), (J194 - $B194) / $B194, "")</f>
        <v>-4.3668122270742356E-2</v>
      </c>
      <c r="L194" s="108">
        <f>IF(ISNUMBER(J194), $B199 * K194, "")</f>
        <v>-13100.436681222707</v>
      </c>
      <c r="M194" s="109">
        <v>63.1</v>
      </c>
      <c r="N194" s="107">
        <f>IF(ISNUMBER(M194), (M194 - $B194) / $B194, "")</f>
        <v>-8.1513828238719083E-2</v>
      </c>
      <c r="O194" s="108">
        <f>IF(ISNUMBER(M194), $B199 * N194, "")</f>
        <v>-24454.148471615725</v>
      </c>
      <c r="Q194" s="174"/>
      <c r="R194" s="174"/>
      <c r="S194" s="174"/>
    </row>
    <row r="195" spans="1:19" ht="17.25" thickBot="1">
      <c r="A195" s="128" t="s">
        <v>132</v>
      </c>
      <c r="B195" s="129">
        <v>258</v>
      </c>
      <c r="C195" s="77">
        <v>-7.6923076999999996E-3</v>
      </c>
      <c r="D195" s="15">
        <v>248</v>
      </c>
      <c r="E195" s="32">
        <f t="shared" ref="E195:E198" si="106">IF(ISNUMBER(D195), (D195 - $B195) / $B195, "")</f>
        <v>-3.875968992248062E-2</v>
      </c>
      <c r="F195" s="18">
        <f>IF(ISNUMBER(D195), $B199 * E195, "")</f>
        <v>-11627.906976744185</v>
      </c>
      <c r="G195" s="31">
        <v>251</v>
      </c>
      <c r="H195" s="32">
        <f t="shared" ref="H195:H198" si="107">IF(ISNUMBER(G195), (G195 - $B195) / $B195, "")</f>
        <v>-2.7131782945736434E-2</v>
      </c>
      <c r="I195" s="101">
        <f>IF(ISNUMBER(G195), $B199 * H195, "")</f>
        <v>-8139.5348837209303</v>
      </c>
      <c r="J195" s="15">
        <v>247</v>
      </c>
      <c r="K195" s="32">
        <f t="shared" ref="K195:K198" si="108">IF(ISNUMBER(J195), (J195 - $B195) / $B195, "")</f>
        <v>-4.2635658914728682E-2</v>
      </c>
      <c r="L195" s="18">
        <f>IF(ISNUMBER(J195), $B199 * K195, "")</f>
        <v>-12790.697674418605</v>
      </c>
      <c r="M195" s="31">
        <v>240</v>
      </c>
      <c r="N195" s="32">
        <f t="shared" ref="N195:N198" si="109">IF(ISNUMBER(M195), (M195 - $B195) / $B195, "")</f>
        <v>-6.9767441860465115E-2</v>
      </c>
      <c r="O195" s="18">
        <f>IF(ISNUMBER(M195), $B199 * N195, "")</f>
        <v>-20930.232558139534</v>
      </c>
      <c r="Q195" s="174"/>
      <c r="R195" s="174"/>
      <c r="S195" s="174"/>
    </row>
    <row r="196" spans="1:19" ht="17.25" thickBot="1">
      <c r="A196" s="128" t="s">
        <v>208</v>
      </c>
      <c r="B196" s="129">
        <v>550</v>
      </c>
      <c r="C196" s="77">
        <v>-9.0090090000000001E-3</v>
      </c>
      <c r="D196" s="15">
        <v>525</v>
      </c>
      <c r="E196" s="32">
        <f t="shared" si="106"/>
        <v>-4.5454545454545456E-2</v>
      </c>
      <c r="F196" s="18">
        <f>IF(ISNUMBER(D196), $B199 * E196, "")</f>
        <v>-13636.363636363636</v>
      </c>
      <c r="G196" s="31">
        <v>530</v>
      </c>
      <c r="H196" s="32">
        <f t="shared" si="107"/>
        <v>-3.6363636363636362E-2</v>
      </c>
      <c r="I196" s="101">
        <f>IF(ISNUMBER(G196), $B199 * H196, "")</f>
        <v>-10909.090909090908</v>
      </c>
      <c r="J196" s="15">
        <v>527</v>
      </c>
      <c r="K196" s="32">
        <f t="shared" si="108"/>
        <v>-4.1818181818181817E-2</v>
      </c>
      <c r="L196" s="18">
        <f>IF(ISNUMBER(J196), $B199 * K196, "")</f>
        <v>-12545.454545454546</v>
      </c>
      <c r="M196" s="31">
        <v>511</v>
      </c>
      <c r="N196" s="32">
        <f t="shared" si="109"/>
        <v>-7.0909090909090908E-2</v>
      </c>
      <c r="O196" s="18">
        <f>IF(ISNUMBER(M196), $B199 * N196, "")</f>
        <v>-21272.727272727272</v>
      </c>
      <c r="Q196" s="174"/>
      <c r="R196" s="174"/>
      <c r="S196" s="174"/>
    </row>
    <row r="197" spans="1:19">
      <c r="A197" s="128" t="s">
        <v>170</v>
      </c>
      <c r="B197" s="129">
        <v>549</v>
      </c>
      <c r="C197" s="77">
        <v>-9.0252708000000004E-3</v>
      </c>
      <c r="D197" s="15">
        <v>530</v>
      </c>
      <c r="E197" s="32">
        <f t="shared" si="106"/>
        <v>-3.4608378870673952E-2</v>
      </c>
      <c r="F197" s="18">
        <f>IF(ISNUMBER(D197), $B199 * E197, "")</f>
        <v>-10382.513661202185</v>
      </c>
      <c r="G197" s="31">
        <v>539</v>
      </c>
      <c r="H197" s="32">
        <f t="shared" si="107"/>
        <v>-1.8214936247723135E-2</v>
      </c>
      <c r="I197" s="101">
        <f>IF(ISNUMBER(G197), $B199 * H197, "")</f>
        <v>-5464.4808743169406</v>
      </c>
      <c r="J197" s="15">
        <v>536</v>
      </c>
      <c r="K197" s="32">
        <f t="shared" si="108"/>
        <v>-2.3679417122040074E-2</v>
      </c>
      <c r="L197" s="18">
        <f>IF(ISNUMBER(J197), $B199 * K197, "")</f>
        <v>-7103.8251366120221</v>
      </c>
      <c r="M197" s="31">
        <v>519</v>
      </c>
      <c r="N197" s="32">
        <f t="shared" si="109"/>
        <v>-5.4644808743169397E-2</v>
      </c>
      <c r="O197" s="18">
        <f>IF(ISNUMBER(M197), $B199 * N197, "")</f>
        <v>-16393.442622950821</v>
      </c>
      <c r="Q197" s="163"/>
      <c r="R197" s="164"/>
      <c r="S197" s="165"/>
    </row>
    <row r="198" spans="1:19" ht="17.25" thickBot="1">
      <c r="A198" s="133" t="s">
        <v>204</v>
      </c>
      <c r="B198" s="134">
        <v>9915</v>
      </c>
      <c r="C198" s="79">
        <v>-9.4905094999999991E-3</v>
      </c>
      <c r="D198" s="24">
        <v>9705</v>
      </c>
      <c r="E198" s="25">
        <f t="shared" si="106"/>
        <v>-2.118003025718608E-2</v>
      </c>
      <c r="F198" s="104">
        <f>IF(ISNUMBER(D198), $B199 * E198, "")</f>
        <v>-6354.0090771558243</v>
      </c>
      <c r="G198" s="102">
        <v>9760</v>
      </c>
      <c r="H198" s="25">
        <f t="shared" si="107"/>
        <v>-1.5632879475542108E-2</v>
      </c>
      <c r="I198" s="103">
        <f>IF(ISNUMBER(G198), $B199 * H198, "")</f>
        <v>-4689.8638426626321</v>
      </c>
      <c r="J198" s="24">
        <v>9685</v>
      </c>
      <c r="K198" s="25">
        <f t="shared" si="108"/>
        <v>-2.319717599596571E-2</v>
      </c>
      <c r="L198" s="104">
        <f>IF(ISNUMBER(J198), $B199 * K198, "")</f>
        <v>-6959.1527987897125</v>
      </c>
      <c r="M198" s="102">
        <v>9385</v>
      </c>
      <c r="N198" s="25">
        <f t="shared" si="109"/>
        <v>-5.3454362077660113E-2</v>
      </c>
      <c r="O198" s="104">
        <f>IF(ISNUMBER(M198), $B199 * N198, "")</f>
        <v>-16036.308623298033</v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300000</v>
      </c>
      <c r="C199" s="228"/>
      <c r="D199" s="26" t="s">
        <v>302</v>
      </c>
      <c r="E199" s="27">
        <f>IF(COUNT(E179:E198), SUM(E179:E198) / COUNT(E179:E198), 0)</f>
        <v>-3.9643255745311128E-2</v>
      </c>
      <c r="F199" s="28">
        <f>SUM(F179:F198)</f>
        <v>-237859.53447186679</v>
      </c>
      <c r="G199" s="26" t="s">
        <v>302</v>
      </c>
      <c r="H199" s="27">
        <f>IF(COUNT(H179:H198), SUM(H179:H198) / COUNT(H179:H198), 0)</f>
        <v>-2.9206159928172278E-2</v>
      </c>
      <c r="I199" s="28">
        <f>SUM(I179:I198)</f>
        <v>-175236.95956903361</v>
      </c>
      <c r="J199" s="26" t="s">
        <v>302</v>
      </c>
      <c r="K199" s="27">
        <f>IF(COUNT(K179:K198), SUM(K179:K198) / COUNT(K179:K198), 0)</f>
        <v>-3.5294079485975779E-2</v>
      </c>
      <c r="L199" s="28">
        <f>SUM(L179:L198)</f>
        <v>-211764.47691585461</v>
      </c>
      <c r="M199" s="26" t="s">
        <v>302</v>
      </c>
      <c r="N199" s="27">
        <f>IF(COUNT(N179:N198), SUM(N179:N198) / COUNT(N179:N198), 0)</f>
        <v>-6.7265008835448475E-2</v>
      </c>
      <c r="O199" s="28">
        <f>SUM(O179:O198)</f>
        <v>-403590.05301269086</v>
      </c>
      <c r="Q199" s="169"/>
      <c r="R199" s="170"/>
      <c r="S199" s="17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47C4D-9FC5-4EC0-B2AE-32DC32C46BD5}">
  <sheetPr codeName="Sheet11"/>
  <dimension ref="A1:S199"/>
  <sheetViews>
    <sheetView zoomScaleNormal="100" workbookViewId="0">
      <selection activeCell="M17" sqref="M17"/>
    </sheetView>
  </sheetViews>
  <sheetFormatPr defaultRowHeight="16.5"/>
  <cols>
    <col min="1" max="1" width="13" style="123" bestFit="1" customWidth="1"/>
    <col min="2" max="2" width="14.25" style="123" bestFit="1" customWidth="1"/>
    <col min="3" max="3" width="9.25" style="123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4.375" bestFit="1" customWidth="1"/>
    <col min="10" max="10" width="14.25" bestFit="1" customWidth="1"/>
    <col min="11" max="11" width="9.25" bestFit="1" customWidth="1"/>
    <col min="12" max="12" width="15.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5" t="s">
        <v>0</v>
      </c>
      <c r="B1" s="186"/>
      <c r="C1" s="186"/>
      <c r="D1" s="186"/>
      <c r="E1" s="186"/>
      <c r="F1" s="187"/>
      <c r="G1" s="216">
        <v>44321</v>
      </c>
      <c r="H1" s="217"/>
      <c r="I1" s="218"/>
      <c r="J1" s="185" t="s">
        <v>1</v>
      </c>
      <c r="K1" s="186"/>
      <c r="L1" s="186"/>
      <c r="M1" s="186"/>
      <c r="N1" s="186"/>
      <c r="O1" s="187"/>
      <c r="Q1" s="185" t="s">
        <v>2</v>
      </c>
      <c r="R1" s="187"/>
    </row>
    <row r="2" spans="1:19" ht="17.25" customHeight="1">
      <c r="A2" s="120" t="s">
        <v>3</v>
      </c>
      <c r="B2" s="219" t="s">
        <v>4</v>
      </c>
      <c r="C2" s="220"/>
      <c r="D2" s="220"/>
      <c r="E2" s="220"/>
      <c r="F2" s="221"/>
      <c r="G2" s="213" t="s">
        <v>46</v>
      </c>
      <c r="H2" s="214"/>
      <c r="I2" s="215"/>
      <c r="J2" s="1" t="s">
        <v>3</v>
      </c>
      <c r="K2" s="219" t="s">
        <v>5</v>
      </c>
      <c r="L2" s="220"/>
      <c r="M2" s="220"/>
      <c r="N2" s="220"/>
      <c r="O2" s="221"/>
      <c r="Q2" s="2" t="s">
        <v>6</v>
      </c>
      <c r="R2" s="3">
        <v>0.375</v>
      </c>
    </row>
    <row r="3" spans="1:19" ht="17.25" customHeight="1" thickBot="1">
      <c r="A3" s="121" t="s">
        <v>7</v>
      </c>
      <c r="B3" s="210" t="s">
        <v>8</v>
      </c>
      <c r="C3" s="211"/>
      <c r="D3" s="211"/>
      <c r="E3" s="211"/>
      <c r="F3" s="212"/>
      <c r="G3" s="20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121,031 KRW (4.03%)</v>
      </c>
      <c r="H3" s="207"/>
      <c r="I3" s="208"/>
      <c r="J3" s="4" t="s">
        <v>7</v>
      </c>
      <c r="K3" s="210" t="s">
        <v>9</v>
      </c>
      <c r="L3" s="211"/>
      <c r="M3" s="211"/>
      <c r="N3" s="211"/>
      <c r="O3" s="212"/>
      <c r="Q3" s="2" t="s">
        <v>10</v>
      </c>
      <c r="R3" s="3">
        <v>0.79166666666666663</v>
      </c>
    </row>
    <row r="4" spans="1:19" ht="17.25" customHeight="1" thickBot="1">
      <c r="A4" s="121" t="s">
        <v>11</v>
      </c>
      <c r="B4" s="210" t="s">
        <v>12</v>
      </c>
      <c r="C4" s="211"/>
      <c r="D4" s="211"/>
      <c r="E4" s="211"/>
      <c r="F4" s="212"/>
      <c r="G4" s="213" t="s">
        <v>44</v>
      </c>
      <c r="H4" s="214"/>
      <c r="I4" s="215"/>
      <c r="J4" s="4" t="s">
        <v>11</v>
      </c>
      <c r="K4" s="210" t="s">
        <v>13</v>
      </c>
      <c r="L4" s="211"/>
      <c r="M4" s="211"/>
      <c r="N4" s="211"/>
      <c r="O4" s="212"/>
      <c r="Q4" s="65" t="s">
        <v>14</v>
      </c>
      <c r="R4" s="5">
        <v>0.95833333333333337</v>
      </c>
    </row>
    <row r="5" spans="1:19" ht="17.25" customHeight="1" thickBot="1">
      <c r="A5" s="121" t="s">
        <v>15</v>
      </c>
      <c r="B5" s="210" t="s">
        <v>16</v>
      </c>
      <c r="C5" s="211"/>
      <c r="D5" s="211"/>
      <c r="E5" s="211"/>
      <c r="F5" s="212"/>
      <c r="G5" s="20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-99,011 KRW (-3.88%)</v>
      </c>
      <c r="H5" s="207"/>
      <c r="I5" s="208"/>
      <c r="J5" s="4" t="s">
        <v>15</v>
      </c>
      <c r="K5" s="210" t="s">
        <v>17</v>
      </c>
      <c r="L5" s="211"/>
      <c r="M5" s="211"/>
      <c r="N5" s="211"/>
      <c r="O5" s="212"/>
    </row>
    <row r="6" spans="1:19">
      <c r="A6" s="121" t="s">
        <v>18</v>
      </c>
      <c r="B6" s="210" t="s">
        <v>19</v>
      </c>
      <c r="C6" s="211"/>
      <c r="D6" s="211"/>
      <c r="E6" s="211"/>
      <c r="F6" s="212"/>
      <c r="G6" s="213" t="s">
        <v>45</v>
      </c>
      <c r="H6" s="214"/>
      <c r="I6" s="215"/>
      <c r="J6" s="4" t="s">
        <v>18</v>
      </c>
      <c r="K6" s="210" t="s">
        <v>20</v>
      </c>
      <c r="L6" s="211"/>
      <c r="M6" s="211"/>
      <c r="N6" s="211"/>
      <c r="O6" s="212"/>
    </row>
    <row r="7" spans="1:19" ht="17.25" thickBot="1">
      <c r="A7" s="121" t="s">
        <v>21</v>
      </c>
      <c r="B7" s="210" t="s">
        <v>22</v>
      </c>
      <c r="C7" s="211"/>
      <c r="D7" s="211"/>
      <c r="E7" s="211"/>
      <c r="F7" s="212"/>
      <c r="G7" s="20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-31,542 KRW (-1.05%)</v>
      </c>
      <c r="H7" s="207"/>
      <c r="I7" s="208"/>
      <c r="J7" s="4" t="s">
        <v>21</v>
      </c>
      <c r="K7" s="210" t="s">
        <v>23</v>
      </c>
      <c r="L7" s="211"/>
      <c r="M7" s="211"/>
      <c r="N7" s="211"/>
      <c r="O7" s="212"/>
    </row>
    <row r="8" spans="1:19" ht="17.25" thickBot="1">
      <c r="A8" s="121" t="s">
        <v>24</v>
      </c>
      <c r="B8" s="210" t="s">
        <v>25</v>
      </c>
      <c r="C8" s="211"/>
      <c r="D8" s="211"/>
      <c r="E8" s="211"/>
      <c r="F8" s="212"/>
      <c r="G8" s="213" t="s">
        <v>285</v>
      </c>
      <c r="H8" s="214"/>
      <c r="I8" s="215"/>
      <c r="J8" s="4" t="s">
        <v>24</v>
      </c>
      <c r="K8" s="210" t="s">
        <v>26</v>
      </c>
      <c r="L8" s="211"/>
      <c r="M8" s="211"/>
      <c r="N8" s="211"/>
      <c r="O8" s="212"/>
      <c r="Q8" s="185" t="s">
        <v>27</v>
      </c>
      <c r="R8" s="187"/>
    </row>
    <row r="9" spans="1:19" ht="17.25" thickBot="1">
      <c r="A9" s="121" t="s">
        <v>28</v>
      </c>
      <c r="B9" s="210"/>
      <c r="C9" s="211"/>
      <c r="D9" s="211"/>
      <c r="E9" s="211"/>
      <c r="F9" s="212"/>
      <c r="G9" s="20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-118,752 KRW (-3.96%)</v>
      </c>
      <c r="H9" s="207"/>
      <c r="I9" s="208"/>
      <c r="J9" s="4" t="s">
        <v>28</v>
      </c>
      <c r="K9" s="210" t="s">
        <v>293</v>
      </c>
      <c r="L9" s="211"/>
      <c r="M9" s="211"/>
      <c r="N9" s="211"/>
      <c r="O9" s="212"/>
      <c r="Q9" s="2" t="s">
        <v>29</v>
      </c>
      <c r="R9" s="6">
        <v>10</v>
      </c>
    </row>
    <row r="10" spans="1:19">
      <c r="A10" s="121" t="s">
        <v>30</v>
      </c>
      <c r="B10" s="210"/>
      <c r="C10" s="211"/>
      <c r="D10" s="211"/>
      <c r="E10" s="211"/>
      <c r="F10" s="212"/>
      <c r="G10" s="213" t="s">
        <v>47</v>
      </c>
      <c r="H10" s="214"/>
      <c r="I10" s="215"/>
      <c r="J10" s="4" t="s">
        <v>30</v>
      </c>
      <c r="K10" s="210"/>
      <c r="L10" s="211"/>
      <c r="M10" s="211"/>
      <c r="N10" s="211"/>
      <c r="O10" s="212"/>
      <c r="Q10" s="2" t="s">
        <v>31</v>
      </c>
      <c r="R10" s="6">
        <v>100</v>
      </c>
    </row>
    <row r="11" spans="1:19" ht="17.25" thickBot="1">
      <c r="A11" s="122" t="s">
        <v>32</v>
      </c>
      <c r="B11" s="203"/>
      <c r="C11" s="204"/>
      <c r="D11" s="204"/>
      <c r="E11" s="204"/>
      <c r="F11" s="205"/>
      <c r="G11" s="20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121,031 KRW (4.03%)</v>
      </c>
      <c r="H11" s="207"/>
      <c r="I11" s="208"/>
      <c r="J11" s="7" t="s">
        <v>32</v>
      </c>
      <c r="K11" s="203"/>
      <c r="L11" s="204"/>
      <c r="M11" s="204"/>
      <c r="N11" s="204"/>
      <c r="O11" s="205"/>
      <c r="Q11" s="65" t="s">
        <v>33</v>
      </c>
      <c r="R11" s="8">
        <v>1000</v>
      </c>
    </row>
    <row r="12" spans="1:19" ht="17.25" thickBot="1"/>
    <row r="13" spans="1:19" ht="17.25" customHeight="1" thickBot="1">
      <c r="A13" s="185" t="s">
        <v>34</v>
      </c>
      <c r="B13" s="186"/>
      <c r="C13" s="186"/>
      <c r="D13" s="186"/>
      <c r="E13" s="186"/>
      <c r="F13" s="186"/>
      <c r="G13" s="186"/>
      <c r="H13" s="186"/>
      <c r="I13" s="186"/>
      <c r="J13" s="186"/>
      <c r="K13" s="186"/>
      <c r="L13" s="186"/>
      <c r="M13" s="186"/>
      <c r="N13" s="186"/>
      <c r="O13" s="187"/>
      <c r="Q13" s="184"/>
      <c r="R13" s="184"/>
      <c r="S13" s="184"/>
    </row>
    <row r="14" spans="1:19" ht="17.25" customHeight="1" thickBot="1">
      <c r="A14" s="153" t="s">
        <v>35</v>
      </c>
      <c r="B14" s="185" t="s">
        <v>36</v>
      </c>
      <c r="C14" s="187"/>
      <c r="D14" s="185" t="s">
        <v>37</v>
      </c>
      <c r="E14" s="186"/>
      <c r="F14" s="187"/>
      <c r="G14" s="188">
        <f>_xlfn.IFNA(VLOOKUP(B14, 현재가테이블!$B$2:$D$200, 2, FALSE), "-")</f>
        <v>67547000</v>
      </c>
      <c r="H14" s="189"/>
      <c r="I14" s="190"/>
      <c r="J14" s="185" t="s">
        <v>38</v>
      </c>
      <c r="K14" s="186"/>
      <c r="L14" s="187"/>
      <c r="M14" s="191">
        <f>_xlfn.IFNA(VLOOKUP(B14, 현재가테이블!$B$2:$D$200, 3, FALSE), "-")</f>
        <v>1.0743838800000001E-2</v>
      </c>
      <c r="N14" s="192"/>
      <c r="O14" s="193"/>
      <c r="Q14" s="184"/>
      <c r="R14" s="184"/>
      <c r="S14" s="184"/>
    </row>
    <row r="15" spans="1:19" ht="17.25" customHeight="1" thickBot="1">
      <c r="A15" s="222" t="s">
        <v>39</v>
      </c>
      <c r="B15" s="223" t="str">
        <f>TEXT($G$1, "[$-ko-KR]yyyy-mm-dd(ddd) ") &amp; "오전 00:00"</f>
        <v>2021-05-05(수) 오전 00:00</v>
      </c>
      <c r="C15" s="224"/>
      <c r="D15" s="198" t="str">
        <f>TEXT($G$1, "[$-ko-KR]yyyy-mm-dd(ddd) ") &amp; "오후 14:00"</f>
        <v>2021-05-05(수) 오후 14:00</v>
      </c>
      <c r="E15" s="199"/>
      <c r="F15" s="200"/>
      <c r="G15" s="198" t="str">
        <f>TEXT($G$1, "[$-ko-KR]yyyy-mm-dd(ddd) ") &amp; "오후 19:00"</f>
        <v>2021-05-05(수) 오후 19:00</v>
      </c>
      <c r="H15" s="199"/>
      <c r="I15" s="200"/>
      <c r="J15" s="198" t="str">
        <f>TEXT($G$1, "[$-ko-KR]yyyy-mm-dd(ddd) ") &amp; "오후 21:00"</f>
        <v>2021-05-05(수) 오후 21:00</v>
      </c>
      <c r="K15" s="199"/>
      <c r="L15" s="200"/>
      <c r="M15" s="198" t="str">
        <f>TEXT($G$1+1, "[$-ko-KR]yyyy-mm-dd(ddd) ") &amp; "오전 00:00"</f>
        <v>2021-05-06(목) 오전 00:00</v>
      </c>
      <c r="N15" s="199"/>
      <c r="O15" s="200"/>
      <c r="Q15" s="184"/>
      <c r="R15" s="184"/>
      <c r="S15" s="184"/>
    </row>
    <row r="16" spans="1:19" ht="17.25" customHeight="1" thickBot="1">
      <c r="A16" s="222"/>
      <c r="B16" s="124" t="s">
        <v>37</v>
      </c>
      <c r="C16" s="125" t="s">
        <v>38</v>
      </c>
      <c r="D16" s="2" t="s">
        <v>37</v>
      </c>
      <c r="E16" s="10" t="s">
        <v>40</v>
      </c>
      <c r="F16" s="11" t="s">
        <v>41</v>
      </c>
      <c r="G16" s="156" t="s">
        <v>37</v>
      </c>
      <c r="H16" s="157" t="s">
        <v>40</v>
      </c>
      <c r="I16" s="15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4"/>
      <c r="R16" s="174"/>
      <c r="S16" s="174"/>
    </row>
    <row r="17" spans="1:19" ht="17.25" customHeight="1" thickBot="1">
      <c r="A17" s="126" t="s">
        <v>296</v>
      </c>
      <c r="B17" s="127">
        <f>IF(NOT(ISBLANK(_xlfn.IFNA(VLOOKUP($A17, $A$40:$O$199, 2, FALSE), ))), _xlfn.IFNA(VLOOKUP($A17, $A$40:$O$199, 2, FALSE), ), "")</f>
        <v>664</v>
      </c>
      <c r="C17" s="76">
        <f>IF(NOT(ISBLANK(_xlfn.IFNA(VLOOKUP($A17, $A$40:$O$199, 3, FALSE), ))), _xlfn.IFNA(VLOOKUP($A17, $A$40:$O$199, 3, FALSE), ), "")</f>
        <v>0.2319109462</v>
      </c>
      <c r="D17" s="13">
        <f>IF(NOT(ISBLANK(_xlfn.IFNA(VLOOKUP($A17, $A$40:$O$199, 4, FALSE), ))), _xlfn.IFNA(VLOOKUP($A17, $A$40:$O$199, 4, FALSE), ), "")</f>
        <v>869</v>
      </c>
      <c r="E17" s="14">
        <f>IF(NOT(ISBLANK(_xlfn.IFNA(VLOOKUP($A17, $A$40:$O$199, 5, FALSE), ))), _xlfn.IFNA(VLOOKUP($A17, $A$40:$O$199, 5, FALSE), ), "")</f>
        <v>0.30873493975903615</v>
      </c>
      <c r="F17" s="16">
        <f>IF(NOT(ISBLANK(_xlfn.IFNA(VLOOKUP($A17, $A$40:$O$199, 6, FALSE), ))), _xlfn.IFNA(VLOOKUP($A17, $A$40:$O$199, 6, FALSE), ), "")</f>
        <v>46310.240963855424</v>
      </c>
      <c r="G17" s="29">
        <f>IF(NOT(ISBLANK(_xlfn.IFNA(VLOOKUP($A17, $A$40:$O$199, 7, FALSE), ))), _xlfn.IFNA(VLOOKUP($A17, $A$40:$O$199, 7, FALSE), ), "")</f>
        <v>813</v>
      </c>
      <c r="H17" s="14">
        <f>IF(NOT(ISBLANK(_xlfn.IFNA(VLOOKUP($A17, $A$40:$O$199, 8, FALSE), ))), _xlfn.IFNA(VLOOKUP($A17, $A$40:$O$199, 8, FALSE), ), "")</f>
        <v>0.22439759036144577</v>
      </c>
      <c r="I17" s="100">
        <f>IF(NOT(ISBLANK(_xlfn.IFNA(VLOOKUP($A17, $A$40:$O$199, 9, FALSE), ))), _xlfn.IFNA(VLOOKUP($A17, $A$40:$O$199, 9, FALSE), ), "")</f>
        <v>33659.638554216865</v>
      </c>
      <c r="J17" s="13">
        <f>IF(NOT(ISBLANK(_xlfn.IFNA(VLOOKUP($A17, $A$40:$O$199, 10, FALSE), ))), _xlfn.IFNA(VLOOKUP($A17, $A$40:$O$199, 10, FALSE), ), "")</f>
        <v>793</v>
      </c>
      <c r="K17" s="14">
        <f>IF(NOT(ISBLANK(_xlfn.IFNA(VLOOKUP($A17, $A$40:$O$199, 11, FALSE), ))), _xlfn.IFNA(VLOOKUP($A17, $A$40:$O$199, 11, FALSE), ), "")</f>
        <v>0.19427710843373494</v>
      </c>
      <c r="L17" s="16">
        <f>IF(NOT(ISBLANK(_xlfn.IFNA(VLOOKUP($A17, $A$40:$O$199, 12, FALSE), ))), _xlfn.IFNA(VLOOKUP($A17, $A$40:$O$199, 12, FALSE), ), "")</f>
        <v>29141.566265060243</v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4"/>
      <c r="R17" s="184"/>
      <c r="S17" s="184"/>
    </row>
    <row r="18" spans="1:19" ht="17.25" customHeight="1" thickBot="1">
      <c r="A18" s="128" t="s">
        <v>102</v>
      </c>
      <c r="B18" s="129">
        <f t="shared" ref="B18:B36" si="0">IF(NOT(ISBLANK(_xlfn.IFNA(VLOOKUP($A18, $A$40:$O$199, 2, FALSE), ))), _xlfn.IFNA(VLOOKUP($A18, $A$40:$O$199, 2, FALSE), ), "")</f>
        <v>75100</v>
      </c>
      <c r="C18" s="77">
        <f t="shared" ref="C18:C36" si="1">IF(NOT(ISBLANK(_xlfn.IFNA(VLOOKUP($A18, $A$40:$O$199, 3, FALSE), ))), _xlfn.IFNA(VLOOKUP($A18, $A$40:$O$199, 3, FALSE), ), "")</f>
        <v>0.1789638932</v>
      </c>
      <c r="D18" s="15">
        <f t="shared" ref="D18:D36" si="2">IF(NOT(ISBLANK(_xlfn.IFNA(VLOOKUP($A18, $A$40:$O$199, 4, FALSE), ))), _xlfn.IFNA(VLOOKUP($A18, $A$40:$O$199, 4, FALSE), ), "")</f>
        <v>94550</v>
      </c>
      <c r="E18" s="32">
        <f t="shared" ref="E18:E36" si="3">IF(NOT(ISBLANK(_xlfn.IFNA(VLOOKUP($A18, $A$40:$O$199, 5, FALSE), ))), _xlfn.IFNA(VLOOKUP($A18, $A$40:$O$199, 5, FALSE), ), "")</f>
        <v>0.25898801597869509</v>
      </c>
      <c r="F18" s="18">
        <f t="shared" ref="F18:F36" si="4">IF(NOT(ISBLANK(_xlfn.IFNA(VLOOKUP($A18, $A$40:$O$199, 6, FALSE), ))), _xlfn.IFNA(VLOOKUP($A18, $A$40:$O$199, 6, FALSE), ), "")</f>
        <v>38848.202396804263</v>
      </c>
      <c r="G18" s="31">
        <f t="shared" ref="G18:G36" si="5">IF(NOT(ISBLANK(_xlfn.IFNA(VLOOKUP($A18, $A$40:$O$199, 7, FALSE), ))), _xlfn.IFNA(VLOOKUP($A18, $A$40:$O$199, 7, FALSE), ), "")</f>
        <v>94090</v>
      </c>
      <c r="H18" s="32">
        <f t="shared" ref="H18:H36" si="6">IF(NOT(ISBLANK(_xlfn.IFNA(VLOOKUP($A18, $A$40:$O$199, 8, FALSE), ))), _xlfn.IFNA(VLOOKUP($A18, $A$40:$O$199, 8, FALSE), ), "")</f>
        <v>0.25286284953395471</v>
      </c>
      <c r="I18" s="101">
        <f t="shared" ref="I18:I36" si="7">IF(NOT(ISBLANK(_xlfn.IFNA(VLOOKUP($A18, $A$40:$O$199, 9, FALSE), ))), _xlfn.IFNA(VLOOKUP($A18, $A$40:$O$199, 9, FALSE), ), "")</f>
        <v>37929.427430093208</v>
      </c>
      <c r="J18" s="15">
        <f t="shared" ref="J18:J36" si="8">IF(NOT(ISBLANK(_xlfn.IFNA(VLOOKUP($A18, $A$40:$O$199, 10, FALSE), ))), _xlfn.IFNA(VLOOKUP($A18, $A$40:$O$199, 10, FALSE), ), "")</f>
        <v>89100</v>
      </c>
      <c r="K18" s="32">
        <f t="shared" ref="K18:K36" si="9">IF(NOT(ISBLANK(_xlfn.IFNA(VLOOKUP($A18, $A$40:$O$199, 11, FALSE), ))), _xlfn.IFNA(VLOOKUP($A18, $A$40:$O$199, 11, FALSE), ), "")</f>
        <v>0.18641810918774968</v>
      </c>
      <c r="L18" s="18">
        <f t="shared" ref="L18:L36" si="10">IF(NOT(ISBLANK(_xlfn.IFNA(VLOOKUP($A18, $A$40:$O$199, 12, FALSE), ))), _xlfn.IFNA(VLOOKUP($A18, $A$40:$O$199, 12, FALSE), ), "")</f>
        <v>27962.716378162451</v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4"/>
      <c r="R18" s="184"/>
      <c r="S18" s="184"/>
    </row>
    <row r="19" spans="1:19" ht="17.25" customHeight="1" thickBot="1">
      <c r="A19" s="128" t="s">
        <v>164</v>
      </c>
      <c r="B19" s="129">
        <f t="shared" si="0"/>
        <v>44090</v>
      </c>
      <c r="C19" s="77">
        <f t="shared" si="1"/>
        <v>9.0796635299999998E-2</v>
      </c>
      <c r="D19" s="15">
        <f t="shared" si="2"/>
        <v>44880</v>
      </c>
      <c r="E19" s="32">
        <f t="shared" si="3"/>
        <v>1.7917895214334317E-2</v>
      </c>
      <c r="F19" s="18">
        <f t="shared" si="4"/>
        <v>2687.6842821501477</v>
      </c>
      <c r="G19" s="31">
        <f t="shared" si="5"/>
        <v>44330</v>
      </c>
      <c r="H19" s="32">
        <f t="shared" si="6"/>
        <v>5.4434112043547289E-3</v>
      </c>
      <c r="I19" s="101">
        <f t="shared" si="7"/>
        <v>816.51168065320928</v>
      </c>
      <c r="J19" s="15">
        <f t="shared" si="8"/>
        <v>41950</v>
      </c>
      <c r="K19" s="32">
        <f t="shared" si="9"/>
        <v>-4.8537083238829666E-2</v>
      </c>
      <c r="L19" s="18">
        <f t="shared" si="10"/>
        <v>-7280.5624858244501</v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4"/>
      <c r="R19" s="174"/>
      <c r="S19" s="174"/>
    </row>
    <row r="20" spans="1:19" ht="17.25" customHeight="1" thickBot="1">
      <c r="A20" s="128" t="s">
        <v>94</v>
      </c>
      <c r="B20" s="129">
        <f t="shared" si="0"/>
        <v>127600</v>
      </c>
      <c r="C20" s="77">
        <f t="shared" si="1"/>
        <v>8.3191850600000006E-2</v>
      </c>
      <c r="D20" s="15">
        <f t="shared" si="2"/>
        <v>139600</v>
      </c>
      <c r="E20" s="32">
        <f t="shared" si="3"/>
        <v>9.4043887147335428E-2</v>
      </c>
      <c r="F20" s="18">
        <f t="shared" si="4"/>
        <v>14106.583072100315</v>
      </c>
      <c r="G20" s="31">
        <f t="shared" si="5"/>
        <v>133750</v>
      </c>
      <c r="H20" s="32">
        <f t="shared" si="6"/>
        <v>4.8197492163009406E-2</v>
      </c>
      <c r="I20" s="101">
        <f t="shared" si="7"/>
        <v>7229.6238244514107</v>
      </c>
      <c r="J20" s="15">
        <f t="shared" si="8"/>
        <v>140550</v>
      </c>
      <c r="K20" s="32">
        <f t="shared" si="9"/>
        <v>0.10148902821316615</v>
      </c>
      <c r="L20" s="18">
        <f t="shared" si="10"/>
        <v>15223.354231974921</v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4"/>
      <c r="R20" s="174"/>
      <c r="S20" s="174"/>
    </row>
    <row r="21" spans="1:19" ht="17.25" customHeight="1" thickBot="1">
      <c r="A21" s="130" t="s">
        <v>206</v>
      </c>
      <c r="B21" s="131">
        <f t="shared" si="0"/>
        <v>40910</v>
      </c>
      <c r="C21" s="78">
        <f t="shared" si="1"/>
        <v>6.8146214100000005E-2</v>
      </c>
      <c r="D21" s="20">
        <f t="shared" si="2"/>
        <v>39870</v>
      </c>
      <c r="E21" s="21">
        <f t="shared" si="3"/>
        <v>-2.5421657296504523E-2</v>
      </c>
      <c r="F21" s="22">
        <f t="shared" si="4"/>
        <v>-3813.2485944756786</v>
      </c>
      <c r="G21" s="30">
        <f t="shared" si="5"/>
        <v>40050</v>
      </c>
      <c r="H21" s="21">
        <f t="shared" si="6"/>
        <v>-2.1021755072109509E-2</v>
      </c>
      <c r="I21" s="105">
        <f t="shared" si="7"/>
        <v>-3153.2632608164263</v>
      </c>
      <c r="J21" s="20">
        <f t="shared" si="8"/>
        <v>39190</v>
      </c>
      <c r="K21" s="21">
        <f t="shared" si="9"/>
        <v>-4.2043510144219018E-2</v>
      </c>
      <c r="L21" s="22">
        <f t="shared" si="10"/>
        <v>-6306.5265216328526</v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4"/>
      <c r="R21" s="174"/>
      <c r="S21" s="174"/>
    </row>
    <row r="22" spans="1:19" ht="17.25" customHeight="1" thickBot="1">
      <c r="A22" s="128" t="s">
        <v>130</v>
      </c>
      <c r="B22" s="132">
        <f t="shared" si="0"/>
        <v>383950</v>
      </c>
      <c r="C22" s="80">
        <f t="shared" si="1"/>
        <v>6.2984496099999995E-2</v>
      </c>
      <c r="D22" s="106">
        <f t="shared" si="2"/>
        <v>414650</v>
      </c>
      <c r="E22" s="107">
        <f t="shared" si="3"/>
        <v>7.9958327907279594E-2</v>
      </c>
      <c r="F22" s="108">
        <f t="shared" si="4"/>
        <v>11993.74918609194</v>
      </c>
      <c r="G22" s="109">
        <f t="shared" si="5"/>
        <v>408400</v>
      </c>
      <c r="H22" s="107">
        <f t="shared" si="6"/>
        <v>6.3680166688370884E-2</v>
      </c>
      <c r="I22" s="110">
        <f t="shared" si="7"/>
        <v>9552.0250032556323</v>
      </c>
      <c r="J22" s="106">
        <f t="shared" si="8"/>
        <v>412800</v>
      </c>
      <c r="K22" s="107">
        <f t="shared" si="9"/>
        <v>7.513999218648261E-2</v>
      </c>
      <c r="L22" s="108">
        <f t="shared" si="10"/>
        <v>11270.998827972391</v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4"/>
      <c r="R22" s="174"/>
      <c r="S22" s="174"/>
    </row>
    <row r="23" spans="1:19" ht="17.25" customHeight="1" thickBot="1">
      <c r="A23" s="128" t="s">
        <v>266</v>
      </c>
      <c r="B23" s="129">
        <f t="shared" si="0"/>
        <v>104</v>
      </c>
      <c r="C23" s="77">
        <f t="shared" si="1"/>
        <v>5.6910569100000002E-2</v>
      </c>
      <c r="D23" s="15">
        <f t="shared" si="2"/>
        <v>101</v>
      </c>
      <c r="E23" s="32">
        <f t="shared" si="3"/>
        <v>-2.8846153846153848E-2</v>
      </c>
      <c r="F23" s="18">
        <f t="shared" si="4"/>
        <v>-4326.9230769230771</v>
      </c>
      <c r="G23" s="31">
        <f t="shared" si="5"/>
        <v>102</v>
      </c>
      <c r="H23" s="32">
        <f t="shared" si="6"/>
        <v>-1.9230769230769232E-2</v>
      </c>
      <c r="I23" s="101">
        <f t="shared" si="7"/>
        <v>-2884.6153846153848</v>
      </c>
      <c r="J23" s="15">
        <f t="shared" si="8"/>
        <v>102</v>
      </c>
      <c r="K23" s="32">
        <f t="shared" si="9"/>
        <v>-1.9230769230769232E-2</v>
      </c>
      <c r="L23" s="18">
        <f t="shared" si="10"/>
        <v>-2884.6153846153848</v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4"/>
      <c r="R23" s="174"/>
      <c r="S23" s="174"/>
    </row>
    <row r="24" spans="1:19" ht="17.25" customHeight="1" thickBot="1">
      <c r="A24" s="128" t="s">
        <v>76</v>
      </c>
      <c r="B24" s="129">
        <f t="shared" si="0"/>
        <v>54200</v>
      </c>
      <c r="C24" s="77">
        <f t="shared" si="1"/>
        <v>5.3245239E-2</v>
      </c>
      <c r="D24" s="15">
        <f t="shared" si="2"/>
        <v>60910</v>
      </c>
      <c r="E24" s="32">
        <f t="shared" si="3"/>
        <v>0.12380073800738008</v>
      </c>
      <c r="F24" s="18">
        <f t="shared" si="4"/>
        <v>18570.110701107013</v>
      </c>
      <c r="G24" s="31">
        <f t="shared" si="5"/>
        <v>60030</v>
      </c>
      <c r="H24" s="32">
        <f t="shared" si="6"/>
        <v>0.10756457564575646</v>
      </c>
      <c r="I24" s="101">
        <f t="shared" si="7"/>
        <v>16134.686346863469</v>
      </c>
      <c r="J24" s="15">
        <f t="shared" si="8"/>
        <v>58390</v>
      </c>
      <c r="K24" s="32">
        <f t="shared" si="9"/>
        <v>7.7306273062730621E-2</v>
      </c>
      <c r="L24" s="18">
        <f t="shared" si="10"/>
        <v>11595.940959409592</v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4"/>
      <c r="R24" s="174"/>
      <c r="S24" s="174"/>
    </row>
    <row r="25" spans="1:19" ht="17.25" customHeight="1" thickBot="1">
      <c r="A25" s="128" t="s">
        <v>108</v>
      </c>
      <c r="B25" s="129">
        <f t="shared" si="0"/>
        <v>54400</v>
      </c>
      <c r="C25" s="77">
        <f t="shared" si="1"/>
        <v>3.8167938899999997E-2</v>
      </c>
      <c r="D25" s="15">
        <f t="shared" si="2"/>
        <v>56500</v>
      </c>
      <c r="E25" s="32">
        <f t="shared" si="3"/>
        <v>3.860294117647059E-2</v>
      </c>
      <c r="F25" s="18">
        <f t="shared" si="4"/>
        <v>5790.4411764705883</v>
      </c>
      <c r="G25" s="31">
        <f t="shared" si="5"/>
        <v>55920</v>
      </c>
      <c r="H25" s="32">
        <f t="shared" si="6"/>
        <v>2.7941176470588237E-2</v>
      </c>
      <c r="I25" s="101">
        <f t="shared" si="7"/>
        <v>4191.1764705882351</v>
      </c>
      <c r="J25" s="15">
        <f t="shared" si="8"/>
        <v>60960</v>
      </c>
      <c r="K25" s="32">
        <f t="shared" si="9"/>
        <v>0.12058823529411765</v>
      </c>
      <c r="L25" s="18">
        <f t="shared" si="10"/>
        <v>18088.235294117647</v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3" t="s">
        <v>176</v>
      </c>
      <c r="B26" s="134">
        <f t="shared" si="0"/>
        <v>2645</v>
      </c>
      <c r="C26" s="79">
        <f t="shared" si="1"/>
        <v>3.7254901999999999E-2</v>
      </c>
      <c r="D26" s="24">
        <f t="shared" si="2"/>
        <v>2495</v>
      </c>
      <c r="E26" s="25">
        <f t="shared" si="3"/>
        <v>-5.6710775047258979E-2</v>
      </c>
      <c r="F26" s="104">
        <f t="shared" si="4"/>
        <v>-8506.6162570888464</v>
      </c>
      <c r="G26" s="102">
        <f t="shared" si="5"/>
        <v>2525</v>
      </c>
      <c r="H26" s="25">
        <f t="shared" si="6"/>
        <v>-4.5368620037807186E-2</v>
      </c>
      <c r="I26" s="103">
        <f t="shared" si="7"/>
        <v>-6805.2930056710784</v>
      </c>
      <c r="J26" s="24">
        <f t="shared" si="8"/>
        <v>2500</v>
      </c>
      <c r="K26" s="25">
        <f t="shared" si="9"/>
        <v>-5.4820415879017016E-2</v>
      </c>
      <c r="L26" s="104">
        <f t="shared" si="10"/>
        <v>-8223.0623818525528</v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5"/>
      <c r="R26" s="176"/>
      <c r="S26" s="177"/>
    </row>
    <row r="27" spans="1:19" ht="17.25" customHeight="1">
      <c r="A27" s="126" t="s">
        <v>220</v>
      </c>
      <c r="B27" s="127">
        <f t="shared" si="0"/>
        <v>23.5</v>
      </c>
      <c r="C27" s="76">
        <f t="shared" si="1"/>
        <v>2.1739130400000001E-2</v>
      </c>
      <c r="D27" s="13">
        <f t="shared" si="2"/>
        <v>21.4</v>
      </c>
      <c r="E27" s="14">
        <f t="shared" si="3"/>
        <v>-8.9361702127659634E-2</v>
      </c>
      <c r="F27" s="16">
        <f t="shared" si="4"/>
        <v>-13404.255319148946</v>
      </c>
      <c r="G27" s="29">
        <f t="shared" si="5"/>
        <v>21.6</v>
      </c>
      <c r="H27" s="14">
        <f t="shared" si="6"/>
        <v>-8.085106382978717E-2</v>
      </c>
      <c r="I27" s="100">
        <f t="shared" si="7"/>
        <v>-12127.659574468076</v>
      </c>
      <c r="J27" s="13">
        <f t="shared" si="8"/>
        <v>21.6</v>
      </c>
      <c r="K27" s="14">
        <f t="shared" si="9"/>
        <v>-8.085106382978717E-2</v>
      </c>
      <c r="L27" s="16">
        <f t="shared" si="10"/>
        <v>-12127.659574468076</v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8"/>
      <c r="R27" s="179"/>
      <c r="S27" s="180"/>
    </row>
    <row r="28" spans="1:19" ht="17.25" customHeight="1" thickBot="1">
      <c r="A28" s="128" t="s">
        <v>276</v>
      </c>
      <c r="B28" s="129">
        <f t="shared" si="0"/>
        <v>4535</v>
      </c>
      <c r="C28" s="77">
        <f t="shared" si="1"/>
        <v>1.00222717E-2</v>
      </c>
      <c r="D28" s="15">
        <f t="shared" si="2"/>
        <v>4500</v>
      </c>
      <c r="E28" s="32">
        <f t="shared" si="3"/>
        <v>-7.717750826901874E-3</v>
      </c>
      <c r="F28" s="18">
        <f t="shared" si="4"/>
        <v>-1157.6626240352812</v>
      </c>
      <c r="G28" s="31">
        <f t="shared" si="5"/>
        <v>4520</v>
      </c>
      <c r="H28" s="32">
        <f t="shared" si="6"/>
        <v>-3.3076074972436605E-3</v>
      </c>
      <c r="I28" s="101">
        <f t="shared" si="7"/>
        <v>-496.1411245865491</v>
      </c>
      <c r="J28" s="15">
        <f t="shared" si="8"/>
        <v>4470</v>
      </c>
      <c r="K28" s="32">
        <f t="shared" si="9"/>
        <v>-1.4332965821389196E-2</v>
      </c>
      <c r="L28" s="18">
        <f t="shared" si="10"/>
        <v>-2149.9448732083792</v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81"/>
      <c r="R28" s="182"/>
      <c r="S28" s="183"/>
    </row>
    <row r="29" spans="1:19" ht="17.25" customHeight="1" thickBot="1">
      <c r="A29" s="128" t="s">
        <v>144</v>
      </c>
      <c r="B29" s="129">
        <f t="shared" si="0"/>
        <v>11590</v>
      </c>
      <c r="C29" s="77">
        <f t="shared" si="1"/>
        <v>7.8260870000000007E-3</v>
      </c>
      <c r="D29" s="15">
        <f t="shared" si="2"/>
        <v>11930</v>
      </c>
      <c r="E29" s="32">
        <f t="shared" si="3"/>
        <v>2.9335634167385678E-2</v>
      </c>
      <c r="F29" s="18">
        <f t="shared" si="4"/>
        <v>4400.3451251078513</v>
      </c>
      <c r="G29" s="31">
        <f t="shared" si="5"/>
        <v>11840</v>
      </c>
      <c r="H29" s="32">
        <f t="shared" si="6"/>
        <v>2.1570319240724764E-2</v>
      </c>
      <c r="I29" s="101">
        <f t="shared" si="7"/>
        <v>3235.5478861087145</v>
      </c>
      <c r="J29" s="15">
        <f t="shared" si="8"/>
        <v>11710</v>
      </c>
      <c r="K29" s="32">
        <f t="shared" si="9"/>
        <v>1.0353753235547885E-2</v>
      </c>
      <c r="L29" s="18">
        <f t="shared" si="10"/>
        <v>1553.0629853321827</v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4"/>
      <c r="R29" s="174"/>
      <c r="S29" s="174"/>
    </row>
    <row r="30" spans="1:19" ht="17.25" customHeight="1" thickBot="1">
      <c r="A30" s="128" t="s">
        <v>90</v>
      </c>
      <c r="B30" s="129">
        <f t="shared" si="0"/>
        <v>451000</v>
      </c>
      <c r="C30" s="77">
        <f t="shared" si="1"/>
        <v>2.6678524000000002E-3</v>
      </c>
      <c r="D30" s="15">
        <f t="shared" si="2"/>
        <v>450950</v>
      </c>
      <c r="E30" s="32">
        <f t="shared" si="3"/>
        <v>-1.1086474501108647E-4</v>
      </c>
      <c r="F30" s="18">
        <f t="shared" si="4"/>
        <v>-16.62971175166297</v>
      </c>
      <c r="G30" s="31">
        <f t="shared" si="5"/>
        <v>440000</v>
      </c>
      <c r="H30" s="32">
        <f t="shared" si="6"/>
        <v>-2.4390243902439025E-2</v>
      </c>
      <c r="I30" s="101">
        <f t="shared" si="7"/>
        <v>-3658.5365853658536</v>
      </c>
      <c r="J30" s="15">
        <f t="shared" si="8"/>
        <v>456450</v>
      </c>
      <c r="K30" s="32">
        <f t="shared" si="9"/>
        <v>1.2084257206208426E-2</v>
      </c>
      <c r="L30" s="18">
        <f t="shared" si="10"/>
        <v>1812.638580931264</v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4"/>
      <c r="R30" s="184"/>
      <c r="S30" s="184"/>
    </row>
    <row r="31" spans="1:19" ht="17.25" customHeight="1" thickBot="1">
      <c r="A31" s="130" t="s">
        <v>86</v>
      </c>
      <c r="B31" s="131">
        <f t="shared" si="0"/>
        <v>8340</v>
      </c>
      <c r="C31" s="78">
        <f t="shared" si="1"/>
        <v>0</v>
      </c>
      <c r="D31" s="20">
        <f t="shared" si="2"/>
        <v>9060</v>
      </c>
      <c r="E31" s="21">
        <f t="shared" si="3"/>
        <v>8.6330935251798566E-2</v>
      </c>
      <c r="F31" s="22">
        <f t="shared" si="4"/>
        <v>12949.640287769786</v>
      </c>
      <c r="G31" s="30">
        <f t="shared" si="5"/>
        <v>8870</v>
      </c>
      <c r="H31" s="21">
        <f t="shared" si="6"/>
        <v>6.3549160671462823E-2</v>
      </c>
      <c r="I31" s="105">
        <f t="shared" si="7"/>
        <v>9532.374100719424</v>
      </c>
      <c r="J31" s="20">
        <f t="shared" si="8"/>
        <v>9085</v>
      </c>
      <c r="K31" s="21">
        <f t="shared" si="9"/>
        <v>8.9328537170263789E-2</v>
      </c>
      <c r="L31" s="22">
        <f t="shared" si="10"/>
        <v>13399.280575539568</v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4"/>
      <c r="R31" s="184"/>
      <c r="S31" s="184"/>
    </row>
    <row r="32" spans="1:19" ht="17.25" customHeight="1" thickBot="1">
      <c r="A32" s="128" t="s">
        <v>96</v>
      </c>
      <c r="B32" s="132">
        <f t="shared" si="0"/>
        <v>4211000</v>
      </c>
      <c r="C32" s="80">
        <f t="shared" si="1"/>
        <v>-3.5494557999999998E-3</v>
      </c>
      <c r="D32" s="106">
        <f t="shared" si="2"/>
        <v>4142000</v>
      </c>
      <c r="E32" s="107">
        <f t="shared" si="3"/>
        <v>-1.6385656613630967E-2</v>
      </c>
      <c r="F32" s="108">
        <f t="shared" si="4"/>
        <v>-2457.8484920446449</v>
      </c>
      <c r="G32" s="109">
        <f t="shared" si="5"/>
        <v>4163000</v>
      </c>
      <c r="H32" s="107">
        <f t="shared" si="6"/>
        <v>-1.1398717644265021E-2</v>
      </c>
      <c r="I32" s="110">
        <f t="shared" si="7"/>
        <v>-1709.8076466397531</v>
      </c>
      <c r="J32" s="106">
        <f t="shared" si="8"/>
        <v>4095000</v>
      </c>
      <c r="K32" s="107">
        <f t="shared" si="9"/>
        <v>-2.7546900973640466E-2</v>
      </c>
      <c r="L32" s="108">
        <f t="shared" si="10"/>
        <v>-4132.0351460460697</v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4"/>
      <c r="R32" s="174"/>
      <c r="S32" s="174"/>
    </row>
    <row r="33" spans="1:19" ht="17.25" customHeight="1" thickBot="1">
      <c r="A33" s="128" t="s">
        <v>78</v>
      </c>
      <c r="B33" s="129">
        <f t="shared" si="0"/>
        <v>1241500</v>
      </c>
      <c r="C33" s="77">
        <f t="shared" si="1"/>
        <v>-4.0112313999999998E-3</v>
      </c>
      <c r="D33" s="15">
        <f t="shared" si="2"/>
        <v>1355000</v>
      </c>
      <c r="E33" s="32">
        <f t="shared" si="3"/>
        <v>9.1421667337897708E-2</v>
      </c>
      <c r="F33" s="18">
        <f t="shared" si="4"/>
        <v>13713.250100684656</v>
      </c>
      <c r="G33" s="31">
        <f t="shared" si="5"/>
        <v>1329500</v>
      </c>
      <c r="H33" s="32">
        <f t="shared" si="6"/>
        <v>7.0881997583568265E-2</v>
      </c>
      <c r="I33" s="101">
        <f t="shared" si="7"/>
        <v>10632.29963753524</v>
      </c>
      <c r="J33" s="15">
        <f t="shared" si="8"/>
        <v>1499000</v>
      </c>
      <c r="K33" s="32">
        <f t="shared" si="9"/>
        <v>0.20741039065646397</v>
      </c>
      <c r="L33" s="18">
        <f t="shared" si="10"/>
        <v>31111.558598469594</v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4"/>
      <c r="R33" s="174"/>
      <c r="S33" s="174"/>
    </row>
    <row r="34" spans="1:19" ht="17.25" customHeight="1" thickBot="1">
      <c r="A34" s="128" t="s">
        <v>74</v>
      </c>
      <c r="B34" s="129">
        <f t="shared" si="0"/>
        <v>28010</v>
      </c>
      <c r="C34" s="77">
        <f t="shared" si="1"/>
        <v>-4.2659083000000002E-3</v>
      </c>
      <c r="D34" s="15">
        <f t="shared" si="2"/>
        <v>27680</v>
      </c>
      <c r="E34" s="32">
        <f t="shared" si="3"/>
        <v>-1.1781506604784006E-2</v>
      </c>
      <c r="F34" s="18">
        <f t="shared" si="4"/>
        <v>-1767.225990717601</v>
      </c>
      <c r="G34" s="31">
        <f t="shared" si="5"/>
        <v>28010</v>
      </c>
      <c r="H34" s="32">
        <f t="shared" si="6"/>
        <v>0</v>
      </c>
      <c r="I34" s="101">
        <f t="shared" si="7"/>
        <v>0</v>
      </c>
      <c r="J34" s="15">
        <f t="shared" si="8"/>
        <v>28330</v>
      </c>
      <c r="K34" s="32">
        <f t="shared" si="9"/>
        <v>1.1424491253123885E-2</v>
      </c>
      <c r="L34" s="18">
        <f t="shared" si="10"/>
        <v>1713.6736879685827</v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4"/>
      <c r="R34" s="174"/>
      <c r="S34" s="174"/>
    </row>
    <row r="35" spans="1:19" ht="17.25" customHeight="1">
      <c r="A35" s="128" t="s">
        <v>242</v>
      </c>
      <c r="B35" s="129">
        <f t="shared" si="0"/>
        <v>7190</v>
      </c>
      <c r="C35" s="77">
        <f t="shared" si="1"/>
        <v>-9.6418732999999993E-3</v>
      </c>
      <c r="D35" s="15">
        <f t="shared" si="2"/>
        <v>6765</v>
      </c>
      <c r="E35" s="32">
        <f t="shared" si="3"/>
        <v>-5.9109874826147428E-2</v>
      </c>
      <c r="F35" s="18">
        <f t="shared" si="4"/>
        <v>-8866.4812239221137</v>
      </c>
      <c r="G35" s="31">
        <f t="shared" si="5"/>
        <v>6840</v>
      </c>
      <c r="H35" s="32">
        <f t="shared" si="6"/>
        <v>-4.8678720445062586E-2</v>
      </c>
      <c r="I35" s="101">
        <f t="shared" si="7"/>
        <v>-7301.8080667593877</v>
      </c>
      <c r="J35" s="15">
        <f t="shared" si="8"/>
        <v>6715</v>
      </c>
      <c r="K35" s="32">
        <f t="shared" si="9"/>
        <v>-6.6063977746870658E-2</v>
      </c>
      <c r="L35" s="18">
        <f t="shared" si="10"/>
        <v>-9909.596662030599</v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3"/>
      <c r="R35" s="164"/>
      <c r="S35" s="165"/>
    </row>
    <row r="36" spans="1:19" ht="17.25" customHeight="1" thickBot="1">
      <c r="A36" s="133" t="s">
        <v>98</v>
      </c>
      <c r="B36" s="134">
        <f t="shared" si="0"/>
        <v>7250</v>
      </c>
      <c r="C36" s="79">
        <f t="shared" si="1"/>
        <v>-1.42760027E-2</v>
      </c>
      <c r="D36" s="24">
        <f t="shared" si="2"/>
        <v>7475</v>
      </c>
      <c r="E36" s="25">
        <f t="shared" si="3"/>
        <v>3.1034482758620689E-2</v>
      </c>
      <c r="F36" s="104">
        <f t="shared" si="4"/>
        <v>4655.1724137931033</v>
      </c>
      <c r="G36" s="102">
        <f t="shared" si="5"/>
        <v>7705</v>
      </c>
      <c r="H36" s="25">
        <f t="shared" si="6"/>
        <v>6.2758620689655167E-2</v>
      </c>
      <c r="I36" s="103">
        <f t="shared" si="7"/>
        <v>9413.7931034482754</v>
      </c>
      <c r="J36" s="24">
        <f t="shared" si="8"/>
        <v>7790</v>
      </c>
      <c r="K36" s="25">
        <f t="shared" si="9"/>
        <v>7.4482758620689649E-2</v>
      </c>
      <c r="L36" s="104">
        <f t="shared" si="10"/>
        <v>11172.413793103447</v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6"/>
      <c r="R36" s="167"/>
      <c r="S36" s="168"/>
    </row>
    <row r="37" spans="1:19" ht="17.25" customHeight="1" thickBot="1">
      <c r="A37" s="135" t="s">
        <v>42</v>
      </c>
      <c r="B37" s="227">
        <v>150000</v>
      </c>
      <c r="C37" s="228"/>
      <c r="D37" s="26" t="s">
        <v>43</v>
      </c>
      <c r="E37" s="27">
        <f>IF(COUNT(E17:E36), SUM(E17:E36) / COUNT(E17:E36), 0)</f>
        <v>4.3236176138609084E-2</v>
      </c>
      <c r="F37" s="28">
        <f>SUM(F17:F36)</f>
        <v>129708.52841582726</v>
      </c>
      <c r="G37" s="26" t="s">
        <v>43</v>
      </c>
      <c r="H37" s="27">
        <f>IF(COUNT(H17:H36), SUM(H17:H36) / COUNT(H17:H36), 0)</f>
        <v>3.4729993129670386E-2</v>
      </c>
      <c r="I37" s="28">
        <f>SUM(I17:I36)</f>
        <v>104189.97938901116</v>
      </c>
      <c r="J37" s="26" t="s">
        <v>43</v>
      </c>
      <c r="K37" s="27">
        <f>IF(COUNT(K17:K36), SUM(K17:K36) / COUNT(K17:K36), 0)</f>
        <v>4.0343812382787843E-2</v>
      </c>
      <c r="L37" s="28">
        <f>SUM(L17:L36)</f>
        <v>121031.43714836352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9"/>
      <c r="R37" s="170"/>
      <c r="S37" s="171"/>
    </row>
    <row r="38" spans="1:19" ht="17.25" customHeight="1"/>
    <row r="39" spans="1:19" ht="17.25" customHeight="1" thickBot="1"/>
    <row r="40" spans="1:19" ht="17.25" customHeight="1" thickBot="1">
      <c r="A40" s="185" t="s">
        <v>44</v>
      </c>
      <c r="B40" s="186"/>
      <c r="C40" s="186"/>
      <c r="D40" s="186"/>
      <c r="E40" s="186"/>
      <c r="F40" s="186"/>
      <c r="G40" s="186"/>
      <c r="H40" s="186"/>
      <c r="I40" s="186"/>
      <c r="J40" s="186"/>
      <c r="K40" s="186"/>
      <c r="L40" s="186"/>
      <c r="M40" s="186"/>
      <c r="N40" s="186"/>
      <c r="O40" s="187"/>
      <c r="Q40" s="184"/>
      <c r="R40" s="184"/>
      <c r="S40" s="184"/>
    </row>
    <row r="41" spans="1:19" ht="17.25" customHeight="1" thickBot="1">
      <c r="A41" s="153" t="s">
        <v>298</v>
      </c>
      <c r="B41" s="185" t="s">
        <v>49</v>
      </c>
      <c r="C41" s="187"/>
      <c r="D41" s="185" t="s">
        <v>58</v>
      </c>
      <c r="E41" s="186"/>
      <c r="F41" s="187"/>
      <c r="G41" s="188">
        <f>_xlfn.IFNA(VLOOKUP(B41, 현재가테이블!$B$2:$D$200, 2, FALSE), "-")</f>
        <v>67547000</v>
      </c>
      <c r="H41" s="189"/>
      <c r="I41" s="190"/>
      <c r="J41" s="185" t="s">
        <v>59</v>
      </c>
      <c r="K41" s="186"/>
      <c r="L41" s="187"/>
      <c r="M41" s="191">
        <f>_xlfn.IFNA(VLOOKUP(B41, 현재가테이블!$B$2:$D$200, 3, FALSE), "-")</f>
        <v>1.0743838800000001E-2</v>
      </c>
      <c r="N41" s="192"/>
      <c r="O41" s="193"/>
      <c r="Q41" s="184"/>
      <c r="R41" s="184"/>
      <c r="S41" s="184"/>
    </row>
    <row r="42" spans="1:19" ht="17.25" customHeight="1" thickBot="1">
      <c r="A42" s="229" t="s">
        <v>55</v>
      </c>
      <c r="B42" s="225" t="str">
        <f>TEXT($G$1, "[$-ko-KR]yyyy-mm-dd(ddd) ") &amp; "오전 00:00"</f>
        <v>2021-05-05(수) 오전 00:00</v>
      </c>
      <c r="C42" s="226"/>
      <c r="D42" s="198" t="str">
        <f>TEXT($G$1, "[$-ko-KR]yyyy-mm-dd(ddd) ") &amp; "오후 14:00"</f>
        <v>2021-05-05(수) 오후 14:00</v>
      </c>
      <c r="E42" s="199"/>
      <c r="F42" s="200"/>
      <c r="G42" s="198" t="str">
        <f>TEXT($G$1, "[$-ko-KR]yyyy-mm-dd(ddd) ") &amp; "오후 19:00"</f>
        <v>2021-05-05(수) 오후 19:00</v>
      </c>
      <c r="H42" s="199"/>
      <c r="I42" s="200"/>
      <c r="J42" s="198" t="str">
        <f>TEXT($G$1, "[$-ko-KR]yyyy-mm-dd(ddd) ") &amp; "오후 21:00"</f>
        <v>2021-05-05(수) 오후 21:00</v>
      </c>
      <c r="K42" s="199"/>
      <c r="L42" s="200"/>
      <c r="M42" s="198" t="str">
        <f>TEXT($G$1+1, "[$-ko-KR]yyyy-mm-dd(ddd) ") &amp; "오전 00:00"</f>
        <v>2021-05-06(목) 오전 00:00</v>
      </c>
      <c r="N42" s="199"/>
      <c r="O42" s="200"/>
      <c r="Q42" s="184"/>
      <c r="R42" s="184"/>
      <c r="S42" s="184"/>
    </row>
    <row r="43" spans="1:19" ht="17.25" customHeight="1" thickBot="1">
      <c r="A43" s="230"/>
      <c r="B43" s="124" t="s">
        <v>58</v>
      </c>
      <c r="C43" s="125" t="s">
        <v>59</v>
      </c>
      <c r="D43" s="2" t="s">
        <v>58</v>
      </c>
      <c r="E43" s="10" t="s">
        <v>299</v>
      </c>
      <c r="F43" s="11" t="s">
        <v>300</v>
      </c>
      <c r="G43" s="156" t="s">
        <v>58</v>
      </c>
      <c r="H43" s="157" t="s">
        <v>299</v>
      </c>
      <c r="I43" s="158" t="s">
        <v>300</v>
      </c>
      <c r="J43" s="10" t="s">
        <v>58</v>
      </c>
      <c r="K43" s="10" t="s">
        <v>299</v>
      </c>
      <c r="L43" s="115" t="s">
        <v>300</v>
      </c>
      <c r="M43" s="2" t="s">
        <v>58</v>
      </c>
      <c r="N43" s="10" t="s">
        <v>299</v>
      </c>
      <c r="O43" s="66" t="s">
        <v>300</v>
      </c>
      <c r="Q43" s="174"/>
      <c r="R43" s="174"/>
      <c r="S43" s="174"/>
    </row>
    <row r="44" spans="1:19" ht="17.25" customHeight="1" thickBot="1">
      <c r="A44" s="126" t="s">
        <v>220</v>
      </c>
      <c r="B44" s="127">
        <v>23.5</v>
      </c>
      <c r="C44" s="76">
        <v>2.1739130400000001E-2</v>
      </c>
      <c r="D44" s="13">
        <v>21.4</v>
      </c>
      <c r="E44" s="14">
        <f>IF(ISNUMBER(D44), (D44 - $B44) / $B44, "")</f>
        <v>-8.9361702127659634E-2</v>
      </c>
      <c r="F44" s="16">
        <f>IF(ISNUMBER(D44), $B64 * E44, "")</f>
        <v>-13404.255319148946</v>
      </c>
      <c r="G44" s="29">
        <v>21.6</v>
      </c>
      <c r="H44" s="14">
        <f>IF(ISNUMBER(G44), (G44 - $B44) / $B44, "")</f>
        <v>-8.085106382978717E-2</v>
      </c>
      <c r="I44" s="100">
        <f>IF(ISNUMBER(G44), $B64 * H44, "")</f>
        <v>-12127.659574468076</v>
      </c>
      <c r="J44" s="13">
        <v>21.6</v>
      </c>
      <c r="K44" s="14">
        <f>IF(ISNUMBER(J44), (J44 - $B44) / $B44, "")</f>
        <v>-8.085106382978717E-2</v>
      </c>
      <c r="L44" s="16">
        <f>IF(ISNUMBER(J44), $B64 * K44, "")</f>
        <v>-12127.659574468076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4"/>
      <c r="R44" s="184"/>
      <c r="S44" s="184"/>
    </row>
    <row r="45" spans="1:19" ht="17.25" customHeight="1" thickBot="1">
      <c r="A45" s="128" t="s">
        <v>154</v>
      </c>
      <c r="B45" s="129">
        <v>22.9</v>
      </c>
      <c r="C45" s="77">
        <v>-4.5833333300000001E-2</v>
      </c>
      <c r="D45" s="15">
        <v>20.9</v>
      </c>
      <c r="E45" s="32">
        <f t="shared" ref="E45:E48" si="14">IF(ISNUMBER(D45), (D45 - $B45) / $B45, "")</f>
        <v>-8.7336244541484725E-2</v>
      </c>
      <c r="F45" s="18">
        <f>IF(ISNUMBER(D45), $B64 * E45, "")</f>
        <v>-13100.436681222709</v>
      </c>
      <c r="G45" s="31">
        <v>21.6</v>
      </c>
      <c r="H45" s="32">
        <f t="shared" ref="H45:H48" si="15">IF(ISNUMBER(G45), (G45 - $B45) / $B45, "")</f>
        <v>-5.6768558951964948E-2</v>
      </c>
      <c r="I45" s="101">
        <f>IF(ISNUMBER(G45), $B64 * H45, "")</f>
        <v>-8515.2838427947427</v>
      </c>
      <c r="J45" s="15">
        <v>21.1</v>
      </c>
      <c r="K45" s="32">
        <f t="shared" ref="K45:K48" si="16">IF(ISNUMBER(J45), (J45 - $B45) / $B45, "")</f>
        <v>-7.8602620087336122E-2</v>
      </c>
      <c r="L45" s="18">
        <f>IF(ISNUMBER(J45), $B64 * K45, "")</f>
        <v>-11790.393013100418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4"/>
      <c r="R45" s="184"/>
      <c r="S45" s="184"/>
    </row>
    <row r="46" spans="1:19" ht="17.25" customHeight="1" thickBot="1">
      <c r="A46" s="128" t="s">
        <v>100</v>
      </c>
      <c r="B46" s="129">
        <v>8.08</v>
      </c>
      <c r="C46" s="77">
        <v>-5.05287897E-2</v>
      </c>
      <c r="D46" s="15">
        <v>8.0399999999999991</v>
      </c>
      <c r="E46" s="32">
        <f t="shared" si="14"/>
        <v>-4.950495049505065E-3</v>
      </c>
      <c r="F46" s="18">
        <f>IF(ISNUMBER(D46), $B64 * E46, "")</f>
        <v>-742.57425742575981</v>
      </c>
      <c r="G46" s="31">
        <v>9.01</v>
      </c>
      <c r="H46" s="32">
        <f t="shared" si="15"/>
        <v>0.11509900990099006</v>
      </c>
      <c r="I46" s="101">
        <f>IF(ISNUMBER(G46), $B64 * H46, "")</f>
        <v>17264.851485148509</v>
      </c>
      <c r="J46" s="15">
        <v>8.4600000000000009</v>
      </c>
      <c r="K46" s="32">
        <f t="shared" si="16"/>
        <v>4.7029702970297127E-2</v>
      </c>
      <c r="L46" s="18">
        <f>IF(ISNUMBER(J46), $B64 * K46, "")</f>
        <v>7054.4554455445686</v>
      </c>
      <c r="M46" s="31"/>
      <c r="N46" s="32" t="str">
        <f t="shared" si="17"/>
        <v/>
      </c>
      <c r="O46" s="18" t="str">
        <f>IF(ISNUMBER(M46), $B64 * N46, "")</f>
        <v/>
      </c>
      <c r="Q46" s="174"/>
      <c r="R46" s="174"/>
      <c r="S46" s="174"/>
    </row>
    <row r="47" spans="1:19" ht="17.25" customHeight="1" thickBot="1">
      <c r="A47" s="128" t="s">
        <v>196</v>
      </c>
      <c r="B47" s="129">
        <v>21.1</v>
      </c>
      <c r="C47" s="77">
        <v>-7.0484581500000004E-2</v>
      </c>
      <c r="D47" s="15">
        <v>20.3</v>
      </c>
      <c r="E47" s="32">
        <f t="shared" si="14"/>
        <v>-3.7914691943127993E-2</v>
      </c>
      <c r="F47" s="18">
        <f>IF(ISNUMBER(D47), $B64 * E47, "")</f>
        <v>-5687.2037914691991</v>
      </c>
      <c r="G47" s="31">
        <v>20.5</v>
      </c>
      <c r="H47" s="32">
        <f t="shared" si="15"/>
        <v>-2.8436018957346036E-2</v>
      </c>
      <c r="I47" s="101">
        <f>IF(ISNUMBER(G47), $B64 * H47, "")</f>
        <v>-4265.4028436019053</v>
      </c>
      <c r="J47" s="15">
        <v>20.399999999999999</v>
      </c>
      <c r="K47" s="32">
        <f t="shared" si="16"/>
        <v>-3.3175355450237101E-2</v>
      </c>
      <c r="L47" s="18">
        <f>IF(ISNUMBER(J47), $B64 * K47, "")</f>
        <v>-4976.3033175355649</v>
      </c>
      <c r="M47" s="31"/>
      <c r="N47" s="32" t="str">
        <f t="shared" si="17"/>
        <v/>
      </c>
      <c r="O47" s="18" t="str">
        <f>IF(ISNUMBER(M47), $B64 * N47, "")</f>
        <v/>
      </c>
      <c r="Q47" s="174"/>
      <c r="R47" s="174"/>
      <c r="S47" s="174"/>
    </row>
    <row r="48" spans="1:19" ht="17.25" customHeight="1" thickBot="1">
      <c r="A48" s="130" t="s">
        <v>65</v>
      </c>
      <c r="B48" s="131">
        <v>73.400000000000006</v>
      </c>
      <c r="C48" s="78">
        <v>-7.0886075899999998E-2</v>
      </c>
      <c r="D48" s="20">
        <v>72.599999999999994</v>
      </c>
      <c r="E48" s="21">
        <f t="shared" si="14"/>
        <v>-1.0899182561308056E-2</v>
      </c>
      <c r="F48" s="22">
        <f>IF(ISNUMBER(D48), $B64 * E48, "")</f>
        <v>-1634.8773841962084</v>
      </c>
      <c r="G48" s="30">
        <v>73.900000000000006</v>
      </c>
      <c r="H48" s="21">
        <f t="shared" si="15"/>
        <v>6.8119891008174378E-3</v>
      </c>
      <c r="I48" s="105">
        <f>IF(ISNUMBER(G48), $B64 * H48, "")</f>
        <v>1021.7983651226157</v>
      </c>
      <c r="J48" s="20">
        <v>72.099999999999994</v>
      </c>
      <c r="K48" s="21">
        <f t="shared" si="16"/>
        <v>-1.7711171662125495E-2</v>
      </c>
      <c r="L48" s="22">
        <f>IF(ISNUMBER(J48), $B64 * K48, "")</f>
        <v>-2656.6757493188243</v>
      </c>
      <c r="M48" s="30"/>
      <c r="N48" s="21" t="str">
        <f t="shared" si="17"/>
        <v/>
      </c>
      <c r="O48" s="22" t="str">
        <f>IF(ISNUMBER(M48), $B64 * N48, "")</f>
        <v/>
      </c>
      <c r="Q48" s="174"/>
      <c r="R48" s="174"/>
      <c r="S48" s="174"/>
    </row>
    <row r="49" spans="1:19" ht="17.25" customHeight="1" thickBot="1">
      <c r="A49" s="128" t="s">
        <v>254</v>
      </c>
      <c r="B49" s="132">
        <v>92.9</v>
      </c>
      <c r="C49" s="80">
        <v>-7.0999999999999994E-2</v>
      </c>
      <c r="D49" s="106">
        <v>86</v>
      </c>
      <c r="E49" s="107">
        <f>IF(ISNUMBER(D49), (D49 - $B49) / $B49, "")</f>
        <v>-7.427341227125947E-2</v>
      </c>
      <c r="F49" s="108">
        <f>IF(ISNUMBER(D49), $B64 * E49, "")</f>
        <v>-11141.011840688921</v>
      </c>
      <c r="G49" s="109">
        <v>88.1</v>
      </c>
      <c r="H49" s="107">
        <f>IF(ISNUMBER(G49), (G49 - $B49) / $B49, "")</f>
        <v>-5.1668460710441455E-2</v>
      </c>
      <c r="I49" s="110">
        <f>IF(ISNUMBER(G49), $B64 * H49, "")</f>
        <v>-7750.2691065662184</v>
      </c>
      <c r="J49" s="106">
        <v>86.5</v>
      </c>
      <c r="K49" s="107">
        <f>IF(ISNUMBER(J49), (J49 - $B49) / $B49, "")</f>
        <v>-6.8891280947255176E-2</v>
      </c>
      <c r="L49" s="108">
        <f>IF(ISNUMBER(J49), $B64 * K49, "")</f>
        <v>-10333.692142088277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4"/>
      <c r="R49" s="174"/>
      <c r="S49" s="174"/>
    </row>
    <row r="50" spans="1:19" ht="17.25" customHeight="1" thickBot="1">
      <c r="A50" s="128" t="s">
        <v>72</v>
      </c>
      <c r="B50" s="129">
        <v>35.6</v>
      </c>
      <c r="C50" s="77">
        <v>-7.2916666699999994E-2</v>
      </c>
      <c r="D50" s="15">
        <v>34.6</v>
      </c>
      <c r="E50" s="32">
        <f t="shared" ref="E50:E53" si="18">IF(ISNUMBER(D50), (D50 - $B50) / $B50, "")</f>
        <v>-2.8089887640449437E-2</v>
      </c>
      <c r="F50" s="18">
        <f>IF(ISNUMBER(D50), $B64 * E50, "")</f>
        <v>-4213.4831460674159</v>
      </c>
      <c r="G50" s="31">
        <v>35.9</v>
      </c>
      <c r="H50" s="32">
        <f t="shared" ref="H50:H53" si="19">IF(ISNUMBER(G50), (G50 - $B50) / $B50, "")</f>
        <v>8.4269662921347514E-3</v>
      </c>
      <c r="I50" s="101">
        <f>IF(ISNUMBER(G50), $B64 * H50, "")</f>
        <v>1264.0449438202127</v>
      </c>
      <c r="J50" s="15">
        <v>35.1</v>
      </c>
      <c r="K50" s="32">
        <f t="shared" ref="K50:K53" si="20">IF(ISNUMBER(J50), (J50 - $B50) / $B50, "")</f>
        <v>-1.4044943820224719E-2</v>
      </c>
      <c r="L50" s="18">
        <f>IF(ISNUMBER(J50), $B64 * K50, "")</f>
        <v>-2106.7415730337079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4"/>
      <c r="R50" s="174"/>
      <c r="S50" s="174"/>
    </row>
    <row r="51" spans="1:19" ht="17.25" customHeight="1" thickBot="1">
      <c r="A51" s="128" t="s">
        <v>214</v>
      </c>
      <c r="B51" s="129">
        <v>23.5</v>
      </c>
      <c r="C51" s="77">
        <v>-7.8431372499999999E-2</v>
      </c>
      <c r="D51" s="15">
        <v>21.6</v>
      </c>
      <c r="E51" s="32">
        <f t="shared" si="18"/>
        <v>-8.085106382978717E-2</v>
      </c>
      <c r="F51" s="18">
        <f>IF(ISNUMBER(D51), $B64 * E51, "")</f>
        <v>-12127.659574468076</v>
      </c>
      <c r="G51" s="31">
        <v>22.3</v>
      </c>
      <c r="H51" s="32">
        <f t="shared" si="19"/>
        <v>-5.1063829787234012E-2</v>
      </c>
      <c r="I51" s="101">
        <f>IF(ISNUMBER(G51), $B64 * H51, "")</f>
        <v>-7659.5744680851021</v>
      </c>
      <c r="J51" s="15">
        <v>21.9</v>
      </c>
      <c r="K51" s="32">
        <f t="shared" si="20"/>
        <v>-6.808510638297878E-2</v>
      </c>
      <c r="L51" s="18">
        <f>IF(ISNUMBER(J51), $B64 * K51, "")</f>
        <v>-10212.765957446816</v>
      </c>
      <c r="M51" s="31"/>
      <c r="N51" s="32" t="str">
        <f t="shared" si="21"/>
        <v/>
      </c>
      <c r="O51" s="18" t="str">
        <f>IF(ISNUMBER(M51), $B64 * N51, "")</f>
        <v/>
      </c>
      <c r="Q51" s="174"/>
      <c r="R51" s="174"/>
      <c r="S51" s="174"/>
    </row>
    <row r="52" spans="1:19" ht="17.25" customHeight="1" thickBot="1">
      <c r="A52" s="128" t="s">
        <v>172</v>
      </c>
      <c r="B52" s="129">
        <v>26.5</v>
      </c>
      <c r="C52" s="77">
        <v>-7.9861111100000007E-2</v>
      </c>
      <c r="D52" s="15">
        <v>25.1</v>
      </c>
      <c r="E52" s="32">
        <f t="shared" si="18"/>
        <v>-5.283018867924523E-2</v>
      </c>
      <c r="F52" s="18">
        <f>IF(ISNUMBER(D52), $B64 * E52, "")</f>
        <v>-7924.5283018867849</v>
      </c>
      <c r="G52" s="31">
        <v>25.3</v>
      </c>
      <c r="H52" s="32">
        <f t="shared" si="19"/>
        <v>-4.5283018867924504E-2</v>
      </c>
      <c r="I52" s="101">
        <f>IF(ISNUMBER(G52), $B64 * H52, "")</f>
        <v>-6792.4528301886758</v>
      </c>
      <c r="J52" s="15">
        <v>25.3</v>
      </c>
      <c r="K52" s="32">
        <f t="shared" si="20"/>
        <v>-4.5283018867924504E-2</v>
      </c>
      <c r="L52" s="18">
        <f>IF(ISNUMBER(J52), $B64 * K52, "")</f>
        <v>-6792.4528301886758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3" t="s">
        <v>228</v>
      </c>
      <c r="B53" s="134">
        <v>19.5</v>
      </c>
      <c r="C53" s="79">
        <v>-8.0188679200000001E-2</v>
      </c>
      <c r="D53" s="24">
        <v>18</v>
      </c>
      <c r="E53" s="25">
        <f t="shared" si="18"/>
        <v>-7.6923076923076927E-2</v>
      </c>
      <c r="F53" s="104">
        <f>IF(ISNUMBER(D53), $B64 * E53, "")</f>
        <v>-11538.461538461539</v>
      </c>
      <c r="G53" s="102">
        <v>18.600000000000001</v>
      </c>
      <c r="H53" s="25">
        <f t="shared" si="19"/>
        <v>-4.615384615384608E-2</v>
      </c>
      <c r="I53" s="103">
        <f>IF(ISNUMBER(G53), $B64 * H53, "")</f>
        <v>-6923.076923076912</v>
      </c>
      <c r="J53" s="24">
        <v>18.3</v>
      </c>
      <c r="K53" s="25">
        <f t="shared" si="20"/>
        <v>-6.15384615384615E-2</v>
      </c>
      <c r="L53" s="104">
        <f>IF(ISNUMBER(J53), $B64 * K53, "")</f>
        <v>-9230.769230769225</v>
      </c>
      <c r="M53" s="102"/>
      <c r="N53" s="25" t="str">
        <f t="shared" si="21"/>
        <v/>
      </c>
      <c r="O53" s="104" t="str">
        <f>IF(ISNUMBER(M53), $B64 * N53, "")</f>
        <v/>
      </c>
      <c r="Q53" s="175"/>
      <c r="R53" s="176"/>
      <c r="S53" s="177"/>
    </row>
    <row r="54" spans="1:19" ht="17.25" customHeight="1">
      <c r="A54" s="126" t="s">
        <v>222</v>
      </c>
      <c r="B54" s="127">
        <v>19.3</v>
      </c>
      <c r="C54" s="76">
        <v>-8.0952381000000004E-2</v>
      </c>
      <c r="D54" s="13">
        <v>18</v>
      </c>
      <c r="E54" s="14">
        <f>IF(ISNUMBER(D54), (D54 - $B54) / $B54, "")</f>
        <v>-6.7357512953367907E-2</v>
      </c>
      <c r="F54" s="16">
        <f>IF(ISNUMBER(D54), $B64 * E54, "")</f>
        <v>-10103.626943005185</v>
      </c>
      <c r="G54" s="29">
        <v>18.7</v>
      </c>
      <c r="H54" s="14">
        <f>IF(ISNUMBER(G54), (G54 - $B54) / $B54, "")</f>
        <v>-3.1088082901554476E-2</v>
      </c>
      <c r="I54" s="100">
        <f>IF(ISNUMBER(G54), $B64 * H54, "")</f>
        <v>-4663.2124352331712</v>
      </c>
      <c r="J54" s="13">
        <v>18.2</v>
      </c>
      <c r="K54" s="14">
        <f>IF(ISNUMBER(J54), (J54 - $B54) / $B54, "")</f>
        <v>-5.6994818652849812E-2</v>
      </c>
      <c r="L54" s="16">
        <f>IF(ISNUMBER(J54), $B64 * K54, "")</f>
        <v>-8549.2227979274721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8"/>
      <c r="R54" s="179"/>
      <c r="S54" s="180"/>
    </row>
    <row r="55" spans="1:19" ht="17.25" customHeight="1" thickBot="1">
      <c r="A55" s="128" t="s">
        <v>236</v>
      </c>
      <c r="B55" s="129">
        <v>72.2</v>
      </c>
      <c r="C55" s="77">
        <v>-8.7231352700000001E-2</v>
      </c>
      <c r="D55" s="15">
        <v>67.7</v>
      </c>
      <c r="E55" s="32">
        <f t="shared" ref="E55:E58" si="22">IF(ISNUMBER(D55), (D55 - $B55) / $B55, "")</f>
        <v>-6.2326869806094178E-2</v>
      </c>
      <c r="F55" s="18">
        <f>IF(ISNUMBER(D55), $B64 * E55, "")</f>
        <v>-9349.0304709141274</v>
      </c>
      <c r="G55" s="31">
        <v>68.900000000000006</v>
      </c>
      <c r="H55" s="32">
        <f t="shared" ref="H55:H58" si="23">IF(ISNUMBER(G55), (G55 - $B55) / $B55, "")</f>
        <v>-4.5706371191135693E-2</v>
      </c>
      <c r="I55" s="101">
        <f>IF(ISNUMBER(G55), $B64 * H55, "")</f>
        <v>-6855.9556786703542</v>
      </c>
      <c r="J55" s="15">
        <v>68</v>
      </c>
      <c r="K55" s="32">
        <f t="shared" ref="K55:K58" si="24">IF(ISNUMBER(J55), (J55 - $B55) / $B55, "")</f>
        <v>-5.8171745152354605E-2</v>
      </c>
      <c r="L55" s="18">
        <f>IF(ISNUMBER(J55), $B64 * K55, "")</f>
        <v>-8725.7617728531914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81"/>
      <c r="R55" s="182"/>
      <c r="S55" s="183"/>
    </row>
    <row r="56" spans="1:19" ht="17.25" customHeight="1" thickBot="1">
      <c r="A56" s="128" t="s">
        <v>218</v>
      </c>
      <c r="B56" s="129">
        <v>30.3</v>
      </c>
      <c r="C56" s="77">
        <v>-8.7349397600000003E-2</v>
      </c>
      <c r="D56" s="15">
        <v>28.1</v>
      </c>
      <c r="E56" s="32">
        <f t="shared" si="22"/>
        <v>-7.2607260726072584E-2</v>
      </c>
      <c r="F56" s="18">
        <f>IF(ISNUMBER(D56), $B64 * E56, "")</f>
        <v>-10891.089108910888</v>
      </c>
      <c r="G56" s="31">
        <v>28.7</v>
      </c>
      <c r="H56" s="32">
        <f t="shared" si="23"/>
        <v>-5.2805280528052848E-2</v>
      </c>
      <c r="I56" s="101">
        <f>IF(ISNUMBER(G56), $B64 * H56, "")</f>
        <v>-7920.7920792079267</v>
      </c>
      <c r="J56" s="15">
        <v>28.4</v>
      </c>
      <c r="K56" s="32">
        <f t="shared" si="24"/>
        <v>-6.2706270627062771E-2</v>
      </c>
      <c r="L56" s="18">
        <f>IF(ISNUMBER(J56), $B64 * K56, "")</f>
        <v>-9405.9405940594152</v>
      </c>
      <c r="M56" s="31"/>
      <c r="N56" s="32" t="str">
        <f t="shared" si="25"/>
        <v/>
      </c>
      <c r="O56" s="18" t="str">
        <f>IF(ISNUMBER(M56), $B64 * N56, "")</f>
        <v/>
      </c>
      <c r="Q56" s="174"/>
      <c r="R56" s="174"/>
      <c r="S56" s="174"/>
    </row>
    <row r="57" spans="1:19" ht="17.25" customHeight="1" thickBot="1">
      <c r="A57" s="128" t="s">
        <v>186</v>
      </c>
      <c r="B57" s="129">
        <v>27.1</v>
      </c>
      <c r="C57" s="77">
        <v>-8.7542087500000004E-2</v>
      </c>
      <c r="D57" s="15">
        <v>25.5</v>
      </c>
      <c r="E57" s="32">
        <f t="shared" si="22"/>
        <v>-5.9040590405904106E-2</v>
      </c>
      <c r="F57" s="18">
        <f>IF(ISNUMBER(D57), $B64 * E57, "")</f>
        <v>-8856.0885608856152</v>
      </c>
      <c r="G57" s="31">
        <v>25.7</v>
      </c>
      <c r="H57" s="32">
        <f t="shared" si="23"/>
        <v>-5.1660516605166129E-2</v>
      </c>
      <c r="I57" s="101">
        <f>IF(ISNUMBER(G57), $B64 * H57, "")</f>
        <v>-7749.0774907749192</v>
      </c>
      <c r="J57" s="15">
        <v>25.2</v>
      </c>
      <c r="K57" s="32">
        <f t="shared" si="24"/>
        <v>-7.0110701107011147E-2</v>
      </c>
      <c r="L57" s="18">
        <f>IF(ISNUMBER(J57), $B64 * K57, "")</f>
        <v>-10516.605166051671</v>
      </c>
      <c r="M57" s="31"/>
      <c r="N57" s="32" t="str">
        <f t="shared" si="25"/>
        <v/>
      </c>
      <c r="O57" s="18" t="str">
        <f>IF(ISNUMBER(M57), $B64 * N57, "")</f>
        <v/>
      </c>
      <c r="Q57" s="184"/>
      <c r="R57" s="184"/>
      <c r="S57" s="184"/>
    </row>
    <row r="58" spans="1:19" ht="17.25" customHeight="1" thickBot="1">
      <c r="A58" s="130" t="s">
        <v>198</v>
      </c>
      <c r="B58" s="131">
        <v>29.9</v>
      </c>
      <c r="C58" s="78">
        <v>-8.84146341E-2</v>
      </c>
      <c r="D58" s="20">
        <v>28.2</v>
      </c>
      <c r="E58" s="21">
        <f t="shared" si="22"/>
        <v>-5.6856187290969876E-2</v>
      </c>
      <c r="F58" s="22">
        <f>IF(ISNUMBER(D58), $B64 * E58, "")</f>
        <v>-8528.4280936454816</v>
      </c>
      <c r="G58" s="30">
        <v>28.5</v>
      </c>
      <c r="H58" s="21">
        <f t="shared" si="23"/>
        <v>-4.6822742474916343E-2</v>
      </c>
      <c r="I58" s="105">
        <f>IF(ISNUMBER(G58), $B64 * H58, "")</f>
        <v>-7023.411371237451</v>
      </c>
      <c r="J58" s="20">
        <v>28.2</v>
      </c>
      <c r="K58" s="21">
        <f t="shared" si="24"/>
        <v>-5.6856187290969876E-2</v>
      </c>
      <c r="L58" s="22">
        <f>IF(ISNUMBER(J58), $B64 * K58, "")</f>
        <v>-8528.4280936454816</v>
      </c>
      <c r="M58" s="30"/>
      <c r="N58" s="21" t="str">
        <f t="shared" si="25"/>
        <v/>
      </c>
      <c r="O58" s="22" t="str">
        <f>IF(ISNUMBER(M58), $B64 * N58, "")</f>
        <v/>
      </c>
      <c r="Q58" s="184"/>
      <c r="R58" s="184"/>
      <c r="S58" s="184"/>
    </row>
    <row r="59" spans="1:19" ht="17.25" customHeight="1" thickBot="1">
      <c r="A59" s="128" t="s">
        <v>152</v>
      </c>
      <c r="B59" s="132">
        <v>45.6</v>
      </c>
      <c r="C59" s="80">
        <v>-8.9820359299999999E-2</v>
      </c>
      <c r="D59" s="106">
        <v>45.8</v>
      </c>
      <c r="E59" s="107">
        <f>IF(ISNUMBER(D59), (D59 - $B59) / $B59, "")</f>
        <v>4.3859649122806078E-3</v>
      </c>
      <c r="F59" s="108">
        <f>IF(ISNUMBER(D59), $B64 * E59, "")</f>
        <v>657.89473684209122</v>
      </c>
      <c r="G59" s="109">
        <v>47.6</v>
      </c>
      <c r="H59" s="107">
        <f>IF(ISNUMBER(G59), (G59 - $B59) / $B59, "")</f>
        <v>4.3859649122807015E-2</v>
      </c>
      <c r="I59" s="110">
        <f>IF(ISNUMBER(G59), $B64 * H59, "")</f>
        <v>6578.9473684210525</v>
      </c>
      <c r="J59" s="106">
        <v>48.1</v>
      </c>
      <c r="K59" s="107">
        <f>IF(ISNUMBER(J59), (J59 - $B59) / $B59, "")</f>
        <v>5.4824561403508769E-2</v>
      </c>
      <c r="L59" s="108">
        <f>IF(ISNUMBER(J59), $B64 * K59, "")</f>
        <v>8223.6842105263149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4"/>
      <c r="R59" s="174"/>
      <c r="S59" s="174"/>
    </row>
    <row r="60" spans="1:19" ht="17.25" customHeight="1" thickBot="1">
      <c r="A60" s="128" t="s">
        <v>126</v>
      </c>
      <c r="B60" s="129">
        <v>63.1</v>
      </c>
      <c r="C60" s="77">
        <v>-9.5988538700000001E-2</v>
      </c>
      <c r="D60" s="15">
        <v>60.1</v>
      </c>
      <c r="E60" s="32">
        <f t="shared" ref="E60:E63" si="26">IF(ISNUMBER(D60), (D60 - $B60) / $B60, "")</f>
        <v>-4.7543581616481777E-2</v>
      </c>
      <c r="F60" s="18">
        <f>IF(ISNUMBER(D60), $B64 * E60, "")</f>
        <v>-7131.5372424722664</v>
      </c>
      <c r="G60" s="31">
        <v>62.1</v>
      </c>
      <c r="H60" s="32">
        <f t="shared" ref="H60:H63" si="27">IF(ISNUMBER(G60), (G60 - $B60) / $B60, "")</f>
        <v>-1.5847860538827259E-2</v>
      </c>
      <c r="I60" s="101">
        <f>IF(ISNUMBER(G60), $B64 * H60, "")</f>
        <v>-2377.1790808240889</v>
      </c>
      <c r="J60" s="15">
        <v>63.8</v>
      </c>
      <c r="K60" s="32">
        <f t="shared" ref="K60:K63" si="28">IF(ISNUMBER(J60), (J60 - $B60) / $B60, "")</f>
        <v>1.1093502377179014E-2</v>
      </c>
      <c r="L60" s="18">
        <f>IF(ISNUMBER(J60), $B64 * K60, "")</f>
        <v>1664.0253565768521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4"/>
      <c r="R60" s="174"/>
      <c r="S60" s="174"/>
    </row>
    <row r="61" spans="1:19" ht="17.25" customHeight="1" thickBot="1">
      <c r="A61" s="128"/>
      <c r="B61" s="129"/>
      <c r="C61" s="77"/>
      <c r="D61" s="15" t="s">
        <v>297</v>
      </c>
      <c r="E61" s="32" t="str">
        <f t="shared" si="26"/>
        <v/>
      </c>
      <c r="F61" s="18" t="str">
        <f>IF(ISNUMBER(D61), $B64 * E61, "")</f>
        <v/>
      </c>
      <c r="G61" s="31" t="s">
        <v>297</v>
      </c>
      <c r="H61" s="32" t="str">
        <f t="shared" si="27"/>
        <v/>
      </c>
      <c r="I61" s="101" t="str">
        <f>IF(ISNUMBER(G61), $B64 * H61, "")</f>
        <v/>
      </c>
      <c r="J61" s="15" t="s">
        <v>297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4"/>
      <c r="R61" s="174"/>
      <c r="S61" s="174"/>
    </row>
    <row r="62" spans="1:19" ht="17.25" customHeight="1">
      <c r="A62" s="128"/>
      <c r="B62" s="129"/>
      <c r="C62" s="77"/>
      <c r="D62" s="15" t="s">
        <v>297</v>
      </c>
      <c r="E62" s="32" t="str">
        <f t="shared" si="26"/>
        <v/>
      </c>
      <c r="F62" s="18" t="str">
        <f>IF(ISNUMBER(D62), $B64 * E62, "")</f>
        <v/>
      </c>
      <c r="G62" s="31" t="s">
        <v>297</v>
      </c>
      <c r="H62" s="32" t="str">
        <f t="shared" si="27"/>
        <v/>
      </c>
      <c r="I62" s="101" t="str">
        <f>IF(ISNUMBER(G62), $B64 * H62, "")</f>
        <v/>
      </c>
      <c r="J62" s="15" t="s">
        <v>297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3"/>
      <c r="R62" s="164"/>
      <c r="S62" s="165"/>
    </row>
    <row r="63" spans="1:19" ht="17.25" customHeight="1" thickBot="1">
      <c r="A63" s="133"/>
      <c r="B63" s="134"/>
      <c r="C63" s="79"/>
      <c r="D63" s="24" t="s">
        <v>297</v>
      </c>
      <c r="E63" s="25" t="str">
        <f t="shared" si="26"/>
        <v/>
      </c>
      <c r="F63" s="104" t="str">
        <f>IF(ISNUMBER(D63), $B64 * E63, "")</f>
        <v/>
      </c>
      <c r="G63" s="102" t="s">
        <v>297</v>
      </c>
      <c r="H63" s="25" t="str">
        <f t="shared" si="27"/>
        <v/>
      </c>
      <c r="I63" s="103" t="str">
        <f>IF(ISNUMBER(G63), $B64 * H63, "")</f>
        <v/>
      </c>
      <c r="J63" s="24" t="s">
        <v>297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6"/>
      <c r="R63" s="167"/>
      <c r="S63" s="168"/>
    </row>
    <row r="64" spans="1:19" ht="17.25" customHeight="1" thickBot="1">
      <c r="A64" s="135" t="s">
        <v>301</v>
      </c>
      <c r="B64" s="227">
        <f>$B$37</f>
        <v>150000</v>
      </c>
      <c r="C64" s="228"/>
      <c r="D64" s="26" t="s">
        <v>302</v>
      </c>
      <c r="E64" s="27">
        <f>IF(COUNT(E44:E63), SUM(E44:E63) / COUNT(E44:E63), 0)</f>
        <v>-5.3222116673736088E-2</v>
      </c>
      <c r="F64" s="28">
        <f>SUM(F44:F63)</f>
        <v>-135716.39751802705</v>
      </c>
      <c r="G64" s="26" t="s">
        <v>302</v>
      </c>
      <c r="H64" s="27">
        <f>IF(COUNT(H44:H63), SUM(H44:H63) / COUNT(H44:H63), 0)</f>
        <v>-2.5291649240085156E-2</v>
      </c>
      <c r="I64" s="28">
        <f>SUM(I44:I63)</f>
        <v>-64493.705562217161</v>
      </c>
      <c r="J64" s="26" t="s">
        <v>302</v>
      </c>
      <c r="K64" s="27">
        <f>IF(COUNT(K44:K63), SUM(K44:K63) / COUNT(K44:K63), 0)</f>
        <v>-3.8827939921505517E-2</v>
      </c>
      <c r="L64" s="28">
        <f>SUM(L44:L63)</f>
        <v>-99011.246799839064</v>
      </c>
      <c r="M64" s="26" t="s">
        <v>302</v>
      </c>
      <c r="N64" s="27">
        <f>IF(COUNT(N44:N63), SUM(N44:N63) / COUNT(N44:N63), 0)</f>
        <v>0</v>
      </c>
      <c r="O64" s="28">
        <f>SUM(O44:O63)</f>
        <v>0</v>
      </c>
      <c r="Q64" s="169"/>
      <c r="R64" s="170"/>
      <c r="S64" s="171"/>
    </row>
    <row r="65" spans="1:19" ht="17.25" customHeight="1"/>
    <row r="66" spans="1:19" ht="17.25" customHeight="1" thickBot="1"/>
    <row r="67" spans="1:19" ht="17.25" thickBot="1">
      <c r="A67" s="185" t="s">
        <v>45</v>
      </c>
      <c r="B67" s="186"/>
      <c r="C67" s="186"/>
      <c r="D67" s="186"/>
      <c r="E67" s="186"/>
      <c r="F67" s="186"/>
      <c r="G67" s="186"/>
      <c r="H67" s="186"/>
      <c r="I67" s="186"/>
      <c r="J67" s="186"/>
      <c r="K67" s="186"/>
      <c r="L67" s="186"/>
      <c r="M67" s="186"/>
      <c r="N67" s="186"/>
      <c r="O67" s="187"/>
      <c r="Q67" s="184"/>
      <c r="R67" s="184"/>
      <c r="S67" s="184"/>
    </row>
    <row r="68" spans="1:19" ht="17.25" thickBot="1">
      <c r="A68" s="153" t="s">
        <v>298</v>
      </c>
      <c r="B68" s="185" t="s">
        <v>49</v>
      </c>
      <c r="C68" s="187"/>
      <c r="D68" s="185" t="s">
        <v>58</v>
      </c>
      <c r="E68" s="186"/>
      <c r="F68" s="187"/>
      <c r="G68" s="188">
        <f>_xlfn.IFNA(VLOOKUP(B68, 현재가테이블!$B$2:$D$200, 2, FALSE), "-")</f>
        <v>67547000</v>
      </c>
      <c r="H68" s="189"/>
      <c r="I68" s="190"/>
      <c r="J68" s="185" t="s">
        <v>59</v>
      </c>
      <c r="K68" s="186"/>
      <c r="L68" s="187"/>
      <c r="M68" s="191">
        <f>_xlfn.IFNA(VLOOKUP(B68, 현재가테이블!$B$2:$D$200, 3, FALSE), "-")</f>
        <v>1.0743838800000001E-2</v>
      </c>
      <c r="N68" s="192"/>
      <c r="O68" s="193"/>
      <c r="Q68" s="184"/>
      <c r="R68" s="184"/>
      <c r="S68" s="184"/>
    </row>
    <row r="69" spans="1:19" ht="17.25" thickBot="1">
      <c r="A69" s="229" t="s">
        <v>55</v>
      </c>
      <c r="B69" s="225" t="str">
        <f>TEXT($G$1, "[$-ko-KR]yyyy-mm-dd(ddd) ") &amp; "오전 00:00"</f>
        <v>2021-05-05(수) 오전 00:00</v>
      </c>
      <c r="C69" s="226"/>
      <c r="D69" s="198" t="str">
        <f>TEXT($G$1, "[$-ko-KR]yyyy-mm-dd(ddd) ") &amp; "오후 14:00"</f>
        <v>2021-05-05(수) 오후 14:00</v>
      </c>
      <c r="E69" s="199"/>
      <c r="F69" s="200"/>
      <c r="G69" s="198" t="str">
        <f>TEXT($G$1, "[$-ko-KR]yyyy-mm-dd(ddd) ") &amp; "오후 19:00"</f>
        <v>2021-05-05(수) 오후 19:00</v>
      </c>
      <c r="H69" s="199"/>
      <c r="I69" s="200"/>
      <c r="J69" s="198" t="str">
        <f>TEXT($G$1, "[$-ko-KR]yyyy-mm-dd(ddd) ") &amp; "오후 21:00"</f>
        <v>2021-05-05(수) 오후 21:00</v>
      </c>
      <c r="K69" s="199"/>
      <c r="L69" s="200"/>
      <c r="M69" s="198" t="str">
        <f>TEXT($G$1+1, "[$-ko-KR]yyyy-mm-dd(ddd) ") &amp; "오전 00:00"</f>
        <v>2021-05-06(목) 오전 00:00</v>
      </c>
      <c r="N69" s="199"/>
      <c r="O69" s="200"/>
      <c r="Q69" s="184"/>
      <c r="R69" s="184"/>
      <c r="S69" s="184"/>
    </row>
    <row r="70" spans="1:19" ht="17.25" thickBot="1">
      <c r="A70" s="230"/>
      <c r="B70" s="124" t="s">
        <v>58</v>
      </c>
      <c r="C70" s="125" t="s">
        <v>59</v>
      </c>
      <c r="D70" s="2" t="s">
        <v>58</v>
      </c>
      <c r="E70" s="10" t="s">
        <v>299</v>
      </c>
      <c r="F70" s="11" t="s">
        <v>300</v>
      </c>
      <c r="G70" s="156" t="s">
        <v>58</v>
      </c>
      <c r="H70" s="157" t="s">
        <v>299</v>
      </c>
      <c r="I70" s="158" t="s">
        <v>300</v>
      </c>
      <c r="J70" s="10" t="s">
        <v>58</v>
      </c>
      <c r="K70" s="10" t="s">
        <v>299</v>
      </c>
      <c r="L70" s="115" t="s">
        <v>300</v>
      </c>
      <c r="M70" s="2" t="s">
        <v>58</v>
      </c>
      <c r="N70" s="10" t="s">
        <v>299</v>
      </c>
      <c r="O70" s="66" t="s">
        <v>300</v>
      </c>
      <c r="Q70" s="174"/>
      <c r="R70" s="174"/>
      <c r="S70" s="174"/>
    </row>
    <row r="71" spans="1:19" ht="17.25" thickBot="1">
      <c r="A71" s="126" t="s">
        <v>296</v>
      </c>
      <c r="B71" s="127">
        <v>664</v>
      </c>
      <c r="C71" s="76">
        <v>0.2319109462</v>
      </c>
      <c r="D71" s="13">
        <v>869</v>
      </c>
      <c r="E71" s="14">
        <f>IF(ISNUMBER(D71), (D71 - $B71) / $B71, "")</f>
        <v>0.30873493975903615</v>
      </c>
      <c r="F71" s="16">
        <f>IF(ISNUMBER(D71), $B91 * E71, "")</f>
        <v>46310.240963855424</v>
      </c>
      <c r="G71" s="29">
        <v>813</v>
      </c>
      <c r="H71" s="14">
        <f>IF(ISNUMBER(G71), (G71 - $B71) / $B71, "")</f>
        <v>0.22439759036144577</v>
      </c>
      <c r="I71" s="100">
        <f>IF(ISNUMBER(G71), $B91 * H71, "")</f>
        <v>33659.638554216865</v>
      </c>
      <c r="J71" s="13">
        <v>793</v>
      </c>
      <c r="K71" s="14">
        <f>IF(ISNUMBER(J71), (J71 - $B71) / $B71, "")</f>
        <v>0.19427710843373494</v>
      </c>
      <c r="L71" s="16">
        <f>IF(ISNUMBER(J71), $B91 * K71, "")</f>
        <v>29141.566265060243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4"/>
      <c r="R71" s="184"/>
      <c r="S71" s="184"/>
    </row>
    <row r="72" spans="1:19" ht="17.25" thickBot="1">
      <c r="A72" s="128" t="s">
        <v>266</v>
      </c>
      <c r="B72" s="129">
        <v>104</v>
      </c>
      <c r="C72" s="77">
        <v>5.6910569100000002E-2</v>
      </c>
      <c r="D72" s="15">
        <v>101</v>
      </c>
      <c r="E72" s="32">
        <f t="shared" ref="E72:E75" si="30">IF(ISNUMBER(D72), (D72 - $B72) / $B72, "")</f>
        <v>-2.8846153846153848E-2</v>
      </c>
      <c r="F72" s="18">
        <f>IF(ISNUMBER(D72), $B91 * E72, "")</f>
        <v>-4326.9230769230771</v>
      </c>
      <c r="G72" s="31">
        <v>102</v>
      </c>
      <c r="H72" s="32">
        <f t="shared" ref="H72:H75" si="31">IF(ISNUMBER(G72), (G72 - $B72) / $B72, "")</f>
        <v>-1.9230769230769232E-2</v>
      </c>
      <c r="I72" s="101">
        <f>IF(ISNUMBER(G72), $B91 * H72, "")</f>
        <v>-2884.6153846153848</v>
      </c>
      <c r="J72" s="15">
        <v>102</v>
      </c>
      <c r="K72" s="32">
        <f t="shared" ref="K72:K75" si="32">IF(ISNUMBER(J72), (J72 - $B72) / $B72, "")</f>
        <v>-1.9230769230769232E-2</v>
      </c>
      <c r="L72" s="18">
        <f>IF(ISNUMBER(J72), $B91 * K72, "")</f>
        <v>-2884.6153846153848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4"/>
      <c r="R72" s="184"/>
      <c r="S72" s="184"/>
    </row>
    <row r="73" spans="1:19" ht="17.25" thickBot="1">
      <c r="A73" s="128" t="s">
        <v>136</v>
      </c>
      <c r="B73" s="129">
        <v>254</v>
      </c>
      <c r="C73" s="77">
        <v>-1.93050193E-2</v>
      </c>
      <c r="D73" s="15">
        <v>251</v>
      </c>
      <c r="E73" s="32">
        <f t="shared" si="30"/>
        <v>-1.1811023622047244E-2</v>
      </c>
      <c r="F73" s="18">
        <f>IF(ISNUMBER(D73), $B91 * E73, "")</f>
        <v>-1771.6535433070867</v>
      </c>
      <c r="G73" s="31">
        <v>255</v>
      </c>
      <c r="H73" s="32">
        <f t="shared" si="31"/>
        <v>3.937007874015748E-3</v>
      </c>
      <c r="I73" s="101">
        <f>IF(ISNUMBER(G73), $B91 * H73, "")</f>
        <v>590.55118110236219</v>
      </c>
      <c r="J73" s="15">
        <v>253</v>
      </c>
      <c r="K73" s="32">
        <f t="shared" si="32"/>
        <v>-3.937007874015748E-3</v>
      </c>
      <c r="L73" s="18">
        <f>IF(ISNUMBER(J73), $B91 * K73, "")</f>
        <v>-590.55118110236219</v>
      </c>
      <c r="M73" s="31"/>
      <c r="N73" s="32" t="str">
        <f t="shared" si="33"/>
        <v/>
      </c>
      <c r="O73" s="18" t="str">
        <f>IF(ISNUMBER(M73), $B91 * N73, "")</f>
        <v/>
      </c>
      <c r="Q73" s="174"/>
      <c r="R73" s="174"/>
      <c r="S73" s="174"/>
    </row>
    <row r="74" spans="1:19" ht="17.25" thickBot="1">
      <c r="A74" s="128" t="s">
        <v>88</v>
      </c>
      <c r="B74" s="129">
        <v>630</v>
      </c>
      <c r="C74" s="77">
        <v>-2.1739130400000001E-2</v>
      </c>
      <c r="D74" s="15">
        <v>621</v>
      </c>
      <c r="E74" s="32">
        <f t="shared" si="30"/>
        <v>-1.4285714285714285E-2</v>
      </c>
      <c r="F74" s="18">
        <f>IF(ISNUMBER(D74), $B91 * E74, "")</f>
        <v>-2142.8571428571427</v>
      </c>
      <c r="G74" s="31">
        <v>628</v>
      </c>
      <c r="H74" s="32">
        <f t="shared" si="31"/>
        <v>-3.1746031746031746E-3</v>
      </c>
      <c r="I74" s="101">
        <f>IF(ISNUMBER(G74), $B91 * H74, "")</f>
        <v>-476.1904761904762</v>
      </c>
      <c r="J74" s="15">
        <v>630</v>
      </c>
      <c r="K74" s="32">
        <f t="shared" si="32"/>
        <v>0</v>
      </c>
      <c r="L74" s="18">
        <f>IF(ISNUMBER(J74), $B91 * K74, "")</f>
        <v>0</v>
      </c>
      <c r="M74" s="31"/>
      <c r="N74" s="32" t="str">
        <f t="shared" si="33"/>
        <v/>
      </c>
      <c r="O74" s="18" t="str">
        <f>IF(ISNUMBER(M74), $B91 * N74, "")</f>
        <v/>
      </c>
      <c r="Q74" s="174"/>
      <c r="R74" s="174"/>
      <c r="S74" s="174"/>
    </row>
    <row r="75" spans="1:19" ht="17.25" thickBot="1">
      <c r="A75" s="130" t="s">
        <v>116</v>
      </c>
      <c r="B75" s="131">
        <v>780</v>
      </c>
      <c r="C75" s="78">
        <v>-2.9850746300000001E-2</v>
      </c>
      <c r="D75" s="20">
        <v>739</v>
      </c>
      <c r="E75" s="21">
        <f t="shared" si="30"/>
        <v>-5.2564102564102565E-2</v>
      </c>
      <c r="F75" s="22">
        <f>IF(ISNUMBER(D75), $B91 * E75, "")</f>
        <v>-7884.6153846153848</v>
      </c>
      <c r="G75" s="30">
        <v>755</v>
      </c>
      <c r="H75" s="21">
        <f t="shared" si="31"/>
        <v>-3.2051282051282048E-2</v>
      </c>
      <c r="I75" s="105">
        <f>IF(ISNUMBER(G75), $B91 * H75, "")</f>
        <v>-4807.6923076923076</v>
      </c>
      <c r="J75" s="20">
        <v>727</v>
      </c>
      <c r="K75" s="21">
        <f t="shared" si="32"/>
        <v>-6.7948717948717943E-2</v>
      </c>
      <c r="L75" s="22">
        <f>IF(ISNUMBER(J75), $B91 * K75, "")</f>
        <v>-10192.307692307691</v>
      </c>
      <c r="M75" s="30"/>
      <c r="N75" s="21" t="str">
        <f t="shared" si="33"/>
        <v/>
      </c>
      <c r="O75" s="22" t="str">
        <f>IF(ISNUMBER(M75), $B91 * N75, "")</f>
        <v/>
      </c>
      <c r="Q75" s="174"/>
      <c r="R75" s="174"/>
      <c r="S75" s="174"/>
    </row>
    <row r="76" spans="1:19" ht="17.25" thickBot="1">
      <c r="A76" s="128" t="s">
        <v>51</v>
      </c>
      <c r="B76" s="132">
        <v>652</v>
      </c>
      <c r="C76" s="80">
        <v>-3.5502958600000002E-2</v>
      </c>
      <c r="D76" s="106">
        <v>658</v>
      </c>
      <c r="E76" s="107">
        <f>IF(ISNUMBER(D76), (D76 - $B76) / $B76, "")</f>
        <v>9.202453987730062E-3</v>
      </c>
      <c r="F76" s="108">
        <f>IF(ISNUMBER(D76), $B91 * E76, "")</f>
        <v>1380.3680981595094</v>
      </c>
      <c r="G76" s="109">
        <v>663</v>
      </c>
      <c r="H76" s="107">
        <f>IF(ISNUMBER(G76), (G76 - $B76) / $B76, "")</f>
        <v>1.6871165644171779E-2</v>
      </c>
      <c r="I76" s="110">
        <f>IF(ISNUMBER(G76), $B91 * H76, "")</f>
        <v>2530.6748466257668</v>
      </c>
      <c r="J76" s="106">
        <v>679</v>
      </c>
      <c r="K76" s="107">
        <f>IF(ISNUMBER(J76), (J76 - $B76) / $B76, "")</f>
        <v>4.1411042944785273E-2</v>
      </c>
      <c r="L76" s="108">
        <f>IF(ISNUMBER(J76), $B91 * K76, "")</f>
        <v>6211.6564417177906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4"/>
      <c r="R76" s="174"/>
      <c r="S76" s="174"/>
    </row>
    <row r="77" spans="1:19" ht="17.25" thickBot="1">
      <c r="A77" s="128" t="s">
        <v>156</v>
      </c>
      <c r="B77" s="129">
        <v>156</v>
      </c>
      <c r="C77" s="77">
        <v>-3.7037037000000002E-2</v>
      </c>
      <c r="D77" s="15">
        <v>155</v>
      </c>
      <c r="E77" s="32">
        <f t="shared" ref="E77:E80" si="34">IF(ISNUMBER(D77), (D77 - $B77) / $B77, "")</f>
        <v>-6.41025641025641E-3</v>
      </c>
      <c r="F77" s="18">
        <f>IF(ISNUMBER(D77), $B91 * E77, "")</f>
        <v>-961.53846153846155</v>
      </c>
      <c r="G77" s="31">
        <v>162</v>
      </c>
      <c r="H77" s="32">
        <f t="shared" ref="H77:H80" si="35">IF(ISNUMBER(G77), (G77 - $B77) / $B77, "")</f>
        <v>3.8461538461538464E-2</v>
      </c>
      <c r="I77" s="101">
        <f>IF(ISNUMBER(G77), $B91 * H77, "")</f>
        <v>5769.2307692307695</v>
      </c>
      <c r="J77" s="15">
        <v>160</v>
      </c>
      <c r="K77" s="32">
        <f t="shared" ref="K77:K80" si="36">IF(ISNUMBER(J77), (J77 - $B77) / $B77, "")</f>
        <v>2.564102564102564E-2</v>
      </c>
      <c r="L77" s="18">
        <f>IF(ISNUMBER(J77), $B91 * K77, "")</f>
        <v>3846.1538461538462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4"/>
      <c r="R77" s="174"/>
      <c r="S77" s="174"/>
    </row>
    <row r="78" spans="1:19" ht="17.25" thickBot="1">
      <c r="A78" s="128" t="s">
        <v>278</v>
      </c>
      <c r="B78" s="129">
        <v>155</v>
      </c>
      <c r="C78" s="77">
        <v>-4.3209876500000001E-2</v>
      </c>
      <c r="D78" s="15">
        <v>153</v>
      </c>
      <c r="E78" s="32">
        <f t="shared" si="34"/>
        <v>-1.2903225806451613E-2</v>
      </c>
      <c r="F78" s="18">
        <f>IF(ISNUMBER(D78), $B91 * E78, "")</f>
        <v>-1935.483870967742</v>
      </c>
      <c r="G78" s="31">
        <v>157</v>
      </c>
      <c r="H78" s="32">
        <f t="shared" si="35"/>
        <v>1.2903225806451613E-2</v>
      </c>
      <c r="I78" s="101">
        <f>IF(ISNUMBER(G78), $B91 * H78, "")</f>
        <v>1935.483870967742</v>
      </c>
      <c r="J78" s="15">
        <v>156</v>
      </c>
      <c r="K78" s="32">
        <f t="shared" si="36"/>
        <v>6.4516129032258064E-3</v>
      </c>
      <c r="L78" s="18">
        <f>IF(ISNUMBER(J78), $B91 * K78, "")</f>
        <v>967.74193548387098</v>
      </c>
      <c r="M78" s="31"/>
      <c r="N78" s="32" t="str">
        <f t="shared" si="37"/>
        <v/>
      </c>
      <c r="O78" s="18" t="str">
        <f>IF(ISNUMBER(M78), $B91 * N78, "")</f>
        <v/>
      </c>
      <c r="Q78" s="174"/>
      <c r="R78" s="174"/>
      <c r="S78" s="174"/>
    </row>
    <row r="79" spans="1:19" ht="17.25" thickBot="1">
      <c r="A79" s="128" t="s">
        <v>128</v>
      </c>
      <c r="B79" s="129">
        <v>677</v>
      </c>
      <c r="C79" s="77">
        <v>-5.18207283E-2</v>
      </c>
      <c r="D79" s="15">
        <v>674</v>
      </c>
      <c r="E79" s="32">
        <f t="shared" si="34"/>
        <v>-4.4313146233382573E-3</v>
      </c>
      <c r="F79" s="18">
        <f>IF(ISNUMBER(D79), $B91 * E79, "")</f>
        <v>-664.69719350073865</v>
      </c>
      <c r="G79" s="31">
        <v>682</v>
      </c>
      <c r="H79" s="32">
        <f t="shared" si="35"/>
        <v>7.385524372230428E-3</v>
      </c>
      <c r="I79" s="101">
        <f>IF(ISNUMBER(G79), $B91 * H79, "")</f>
        <v>1107.8286558345642</v>
      </c>
      <c r="J79" s="15">
        <v>681</v>
      </c>
      <c r="K79" s="32">
        <f t="shared" si="36"/>
        <v>5.9084194977843431E-3</v>
      </c>
      <c r="L79" s="18">
        <f>IF(ISNUMBER(J79), $B91 * K79, "")</f>
        <v>886.26292466765142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3" t="s">
        <v>268</v>
      </c>
      <c r="B80" s="134">
        <v>105</v>
      </c>
      <c r="C80" s="79">
        <v>-5.4054054099999999E-2</v>
      </c>
      <c r="D80" s="24">
        <v>99.2</v>
      </c>
      <c r="E80" s="25">
        <f t="shared" si="34"/>
        <v>-5.5238095238095211E-2</v>
      </c>
      <c r="F80" s="104">
        <f>IF(ISNUMBER(D80), $B91 * E80, "")</f>
        <v>-8285.7142857142808</v>
      </c>
      <c r="G80" s="102">
        <v>99.5</v>
      </c>
      <c r="H80" s="25">
        <f t="shared" si="35"/>
        <v>-5.2380952380952382E-2</v>
      </c>
      <c r="I80" s="103">
        <f>IF(ISNUMBER(G80), $B91 * H80, "")</f>
        <v>-7857.1428571428569</v>
      </c>
      <c r="J80" s="24">
        <v>97.9</v>
      </c>
      <c r="K80" s="25">
        <f t="shared" si="36"/>
        <v>-6.7619047619047565E-2</v>
      </c>
      <c r="L80" s="104">
        <f>IF(ISNUMBER(J80), $B91 * K80, "")</f>
        <v>-10142.857142857134</v>
      </c>
      <c r="M80" s="102"/>
      <c r="N80" s="25" t="str">
        <f t="shared" si="37"/>
        <v/>
      </c>
      <c r="O80" s="104" t="str">
        <f>IF(ISNUMBER(M80), $B91 * N80, "")</f>
        <v/>
      </c>
      <c r="Q80" s="175"/>
      <c r="R80" s="176"/>
      <c r="S80" s="177"/>
    </row>
    <row r="81" spans="1:19">
      <c r="A81" s="126" t="s">
        <v>148</v>
      </c>
      <c r="B81" s="127">
        <v>198</v>
      </c>
      <c r="C81" s="76">
        <v>-5.71428571E-2</v>
      </c>
      <c r="D81" s="13">
        <v>197</v>
      </c>
      <c r="E81" s="14">
        <f>IF(ISNUMBER(D81), (D81 - $B81) / $B81, "")</f>
        <v>-5.0505050505050509E-3</v>
      </c>
      <c r="F81" s="16">
        <f>IF(ISNUMBER(D81), $B91 * E81, "")</f>
        <v>-757.57575757575762</v>
      </c>
      <c r="G81" s="29">
        <v>197</v>
      </c>
      <c r="H81" s="14">
        <f>IF(ISNUMBER(G81), (G81 - $B81) / $B81, "")</f>
        <v>-5.0505050505050509E-3</v>
      </c>
      <c r="I81" s="100">
        <f>IF(ISNUMBER(G81), $B91 * H81, "")</f>
        <v>-757.57575757575762</v>
      </c>
      <c r="J81" s="13">
        <v>196</v>
      </c>
      <c r="K81" s="14">
        <f>IF(ISNUMBER(J81), (J81 - $B81) / $B81, "")</f>
        <v>-1.0101010101010102E-2</v>
      </c>
      <c r="L81" s="16">
        <f>IF(ISNUMBER(J81), $B91 * K81, "")</f>
        <v>-1515.1515151515152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8"/>
      <c r="R81" s="179"/>
      <c r="S81" s="180"/>
    </row>
    <row r="82" spans="1:19" ht="17.25" thickBot="1">
      <c r="A82" s="128" t="s">
        <v>57</v>
      </c>
      <c r="B82" s="129">
        <v>399</v>
      </c>
      <c r="C82" s="77">
        <v>-5.8962264200000003E-2</v>
      </c>
      <c r="D82" s="15">
        <v>396</v>
      </c>
      <c r="E82" s="32">
        <f t="shared" ref="E82:E85" si="38">IF(ISNUMBER(D82), (D82 - $B82) / $B82, "")</f>
        <v>-7.5187969924812026E-3</v>
      </c>
      <c r="F82" s="18">
        <f>IF(ISNUMBER(D82), $B91 * E82, "")</f>
        <v>-1127.8195488721803</v>
      </c>
      <c r="G82" s="31">
        <v>399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401</v>
      </c>
      <c r="K82" s="32">
        <f t="shared" ref="K82:K85" si="40">IF(ISNUMBER(J82), (J82 - $B82) / $B82, "")</f>
        <v>5.0125313283208017E-3</v>
      </c>
      <c r="L82" s="18">
        <f>IF(ISNUMBER(J82), $B91 * K82, "")</f>
        <v>751.87969924812023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81"/>
      <c r="R82" s="182"/>
      <c r="S82" s="183"/>
    </row>
    <row r="83" spans="1:19" ht="17.25" thickBot="1">
      <c r="A83" s="128" t="s">
        <v>120</v>
      </c>
      <c r="B83" s="129">
        <v>216</v>
      </c>
      <c r="C83" s="77">
        <v>-6.4935064900000006E-2</v>
      </c>
      <c r="D83" s="15">
        <v>209</v>
      </c>
      <c r="E83" s="32">
        <f t="shared" si="38"/>
        <v>-3.2407407407407406E-2</v>
      </c>
      <c r="F83" s="18">
        <f>IF(ISNUMBER(D83), $B91 * E83, "")</f>
        <v>-4861.1111111111104</v>
      </c>
      <c r="G83" s="31">
        <v>213</v>
      </c>
      <c r="H83" s="32">
        <f t="shared" si="39"/>
        <v>-1.3888888888888888E-2</v>
      </c>
      <c r="I83" s="101">
        <f>IF(ISNUMBER(G83), $B91 * H83, "")</f>
        <v>-2083.333333333333</v>
      </c>
      <c r="J83" s="15">
        <v>212</v>
      </c>
      <c r="K83" s="32">
        <f t="shared" si="40"/>
        <v>-1.8518518518518517E-2</v>
      </c>
      <c r="L83" s="18">
        <f>IF(ISNUMBER(J83), $B91 * K83, "")</f>
        <v>-2777.7777777777778</v>
      </c>
      <c r="M83" s="31"/>
      <c r="N83" s="32" t="str">
        <f t="shared" si="41"/>
        <v/>
      </c>
      <c r="O83" s="18" t="str">
        <f>IF(ISNUMBER(M83), $B91 * N83, "")</f>
        <v/>
      </c>
      <c r="Q83" s="174"/>
      <c r="R83" s="174"/>
      <c r="S83" s="174"/>
    </row>
    <row r="84" spans="1:19" ht="17.25" thickBot="1">
      <c r="A84" s="128" t="s">
        <v>282</v>
      </c>
      <c r="B84" s="129">
        <v>172</v>
      </c>
      <c r="C84" s="77">
        <v>-6.5217391299999997E-2</v>
      </c>
      <c r="D84" s="15">
        <v>162</v>
      </c>
      <c r="E84" s="32">
        <f t="shared" si="38"/>
        <v>-5.8139534883720929E-2</v>
      </c>
      <c r="F84" s="18">
        <f>IF(ISNUMBER(D84), $B91 * E84, "")</f>
        <v>-8720.9302325581393</v>
      </c>
      <c r="G84" s="31">
        <v>163</v>
      </c>
      <c r="H84" s="32">
        <f t="shared" si="39"/>
        <v>-5.232558139534884E-2</v>
      </c>
      <c r="I84" s="101">
        <f>IF(ISNUMBER(G84), $B91 * H84, "")</f>
        <v>-7848.8372093023263</v>
      </c>
      <c r="J84" s="15">
        <v>160</v>
      </c>
      <c r="K84" s="32">
        <f t="shared" si="40"/>
        <v>-6.9767441860465115E-2</v>
      </c>
      <c r="L84" s="18">
        <f>IF(ISNUMBER(J84), $B91 * K84, "")</f>
        <v>-10465.116279069767</v>
      </c>
      <c r="M84" s="31"/>
      <c r="N84" s="32" t="str">
        <f t="shared" si="41"/>
        <v/>
      </c>
      <c r="O84" s="18" t="str">
        <f>IF(ISNUMBER(M84), $B91 * N84, "")</f>
        <v/>
      </c>
      <c r="Q84" s="184"/>
      <c r="R84" s="184"/>
      <c r="S84" s="184"/>
    </row>
    <row r="85" spans="1:19" ht="17.25" thickBot="1">
      <c r="A85" s="130" t="s">
        <v>132</v>
      </c>
      <c r="B85" s="131">
        <v>240</v>
      </c>
      <c r="C85" s="78">
        <v>-6.9767441900000005E-2</v>
      </c>
      <c r="D85" s="20">
        <v>238</v>
      </c>
      <c r="E85" s="21">
        <f t="shared" si="38"/>
        <v>-8.3333333333333332E-3</v>
      </c>
      <c r="F85" s="22">
        <f>IF(ISNUMBER(D85), $B91 * E85, "")</f>
        <v>-1250</v>
      </c>
      <c r="G85" s="30">
        <v>244</v>
      </c>
      <c r="H85" s="21">
        <f t="shared" si="39"/>
        <v>1.6666666666666666E-2</v>
      </c>
      <c r="I85" s="105">
        <f>IF(ISNUMBER(G85), $B91 * H85, "")</f>
        <v>2500</v>
      </c>
      <c r="J85" s="20">
        <v>246</v>
      </c>
      <c r="K85" s="21">
        <f t="shared" si="40"/>
        <v>2.5000000000000001E-2</v>
      </c>
      <c r="L85" s="22">
        <f>IF(ISNUMBER(J85), $B91 * K85, "")</f>
        <v>3750</v>
      </c>
      <c r="M85" s="30"/>
      <c r="N85" s="21" t="str">
        <f t="shared" si="41"/>
        <v/>
      </c>
      <c r="O85" s="22" t="str">
        <f>IF(ISNUMBER(M85), $B91 * N85, "")</f>
        <v/>
      </c>
      <c r="Q85" s="184"/>
      <c r="R85" s="184"/>
      <c r="S85" s="184"/>
    </row>
    <row r="86" spans="1:19" ht="17.25" thickBot="1">
      <c r="A86" s="128" t="s">
        <v>200</v>
      </c>
      <c r="B86" s="132">
        <v>386</v>
      </c>
      <c r="C86" s="80">
        <v>-7.2115384599999999E-2</v>
      </c>
      <c r="D86" s="106">
        <v>370</v>
      </c>
      <c r="E86" s="107">
        <f>IF(ISNUMBER(D86), (D86 - $B86) / $B86, "")</f>
        <v>-4.145077720207254E-2</v>
      </c>
      <c r="F86" s="108">
        <f>IF(ISNUMBER(D86), $B91 * E86, "")</f>
        <v>-6217.6165803108806</v>
      </c>
      <c r="G86" s="109">
        <v>377</v>
      </c>
      <c r="H86" s="107">
        <f>IF(ISNUMBER(G86), (G86 - $B86) / $B86, "")</f>
        <v>-2.3316062176165803E-2</v>
      </c>
      <c r="I86" s="110">
        <f>IF(ISNUMBER(G86), $B91 * H86, "")</f>
        <v>-3497.4093264248704</v>
      </c>
      <c r="J86" s="106">
        <v>368</v>
      </c>
      <c r="K86" s="107">
        <f>IF(ISNUMBER(J86), (J86 - $B86) / $B86, "")</f>
        <v>-4.6632124352331605E-2</v>
      </c>
      <c r="L86" s="108">
        <f>IF(ISNUMBER(J86), $B91 * K86, "")</f>
        <v>-6994.8186528497408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4"/>
      <c r="R86" s="174"/>
      <c r="S86" s="174"/>
    </row>
    <row r="87" spans="1:19" ht="17.25" thickBot="1">
      <c r="A87" s="128" t="s">
        <v>134</v>
      </c>
      <c r="B87" s="129">
        <v>153</v>
      </c>
      <c r="C87" s="77">
        <v>-7.2727272699999998E-2</v>
      </c>
      <c r="D87" s="15">
        <v>145</v>
      </c>
      <c r="E87" s="32">
        <f t="shared" ref="E87:E90" si="42">IF(ISNUMBER(D87), (D87 - $B87) / $B87, "")</f>
        <v>-5.2287581699346407E-2</v>
      </c>
      <c r="F87" s="18">
        <f>IF(ISNUMBER(D87), $B91 * E87, "")</f>
        <v>-7843.1372549019607</v>
      </c>
      <c r="G87" s="31">
        <v>147</v>
      </c>
      <c r="H87" s="32">
        <f t="shared" ref="H87:H90" si="43">IF(ISNUMBER(G87), (G87 - $B87) / $B87, "")</f>
        <v>-3.9215686274509803E-2</v>
      </c>
      <c r="I87" s="101">
        <f>IF(ISNUMBER(G87), $B91 * H87, "")</f>
        <v>-5882.3529411764703</v>
      </c>
      <c r="J87" s="15">
        <v>147</v>
      </c>
      <c r="K87" s="32">
        <f t="shared" ref="K87:K90" si="44">IF(ISNUMBER(J87), (J87 - $B87) / $B87, "")</f>
        <v>-3.9215686274509803E-2</v>
      </c>
      <c r="L87" s="18">
        <f>IF(ISNUMBER(J87), $B91 * K87, "")</f>
        <v>-5882.3529411764703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4"/>
      <c r="R87" s="174"/>
      <c r="S87" s="174"/>
    </row>
    <row r="88" spans="1:19" ht="17.25" thickBot="1">
      <c r="A88" s="128" t="s">
        <v>252</v>
      </c>
      <c r="B88" s="129">
        <v>560</v>
      </c>
      <c r="C88" s="77">
        <v>-7.2847682100000005E-2</v>
      </c>
      <c r="D88" s="15">
        <v>538</v>
      </c>
      <c r="E88" s="32">
        <f t="shared" si="42"/>
        <v>-3.9285714285714285E-2</v>
      </c>
      <c r="F88" s="18">
        <f>IF(ISNUMBER(D88), $B91 * E88, "")</f>
        <v>-5892.8571428571431</v>
      </c>
      <c r="G88" s="31">
        <v>544</v>
      </c>
      <c r="H88" s="32">
        <f t="shared" si="43"/>
        <v>-2.8571428571428571E-2</v>
      </c>
      <c r="I88" s="101">
        <f>IF(ISNUMBER(G88), $B91 * H88, "")</f>
        <v>-4285.7142857142853</v>
      </c>
      <c r="J88" s="15">
        <v>536</v>
      </c>
      <c r="K88" s="32">
        <f t="shared" si="44"/>
        <v>-4.2857142857142858E-2</v>
      </c>
      <c r="L88" s="18">
        <f>IF(ISNUMBER(J88), $B91 * K88, "")</f>
        <v>-6428.5714285714284</v>
      </c>
      <c r="M88" s="31"/>
      <c r="N88" s="32" t="str">
        <f t="shared" si="45"/>
        <v/>
      </c>
      <c r="O88" s="18" t="str">
        <f>IF(ISNUMBER(M88), $B91 * N88, "")</f>
        <v/>
      </c>
      <c r="Q88" s="174"/>
      <c r="R88" s="174"/>
      <c r="S88" s="174"/>
    </row>
    <row r="89" spans="1:19">
      <c r="A89" s="128" t="s">
        <v>238</v>
      </c>
      <c r="B89" s="129">
        <v>309</v>
      </c>
      <c r="C89" s="77">
        <v>-7.48502994E-2</v>
      </c>
      <c r="D89" s="15">
        <v>296</v>
      </c>
      <c r="E89" s="32">
        <f t="shared" si="42"/>
        <v>-4.2071197411003236E-2</v>
      </c>
      <c r="F89" s="18">
        <f>IF(ISNUMBER(D89), $B91 * E89, "")</f>
        <v>-6310.6796116504856</v>
      </c>
      <c r="G89" s="31">
        <v>293</v>
      </c>
      <c r="H89" s="32">
        <f t="shared" si="43"/>
        <v>-5.1779935275080909E-2</v>
      </c>
      <c r="I89" s="101">
        <f>IF(ISNUMBER(G89), $B91 * H89, "")</f>
        <v>-7766.9902912621365</v>
      </c>
      <c r="J89" s="15">
        <v>290</v>
      </c>
      <c r="K89" s="32">
        <f t="shared" si="44"/>
        <v>-6.1488673139158574E-2</v>
      </c>
      <c r="L89" s="18">
        <f>IF(ISNUMBER(J89), $B91 * K89, "")</f>
        <v>-9223.3009708737864</v>
      </c>
      <c r="M89" s="31"/>
      <c r="N89" s="32" t="str">
        <f t="shared" si="45"/>
        <v/>
      </c>
      <c r="O89" s="18" t="str">
        <f>IF(ISNUMBER(M89), $B91 * N89, "")</f>
        <v/>
      </c>
      <c r="Q89" s="163"/>
      <c r="R89" s="164"/>
      <c r="S89" s="165"/>
    </row>
    <row r="90" spans="1:19" ht="17.25" thickBot="1">
      <c r="A90" s="133" t="s">
        <v>246</v>
      </c>
      <c r="B90" s="134">
        <v>420</v>
      </c>
      <c r="C90" s="79">
        <v>-7.4889867799999996E-2</v>
      </c>
      <c r="D90" s="24">
        <v>390</v>
      </c>
      <c r="E90" s="25">
        <f t="shared" si="42"/>
        <v>-7.1428571428571425E-2</v>
      </c>
      <c r="F90" s="104">
        <f>IF(ISNUMBER(D90), $B91 * E90, "")</f>
        <v>-10714.285714285714</v>
      </c>
      <c r="G90" s="102">
        <v>399</v>
      </c>
      <c r="H90" s="25">
        <f t="shared" si="43"/>
        <v>-0.05</v>
      </c>
      <c r="I90" s="103">
        <f>IF(ISNUMBER(G90), $B91 * H90, "")</f>
        <v>-7500</v>
      </c>
      <c r="J90" s="24">
        <v>392</v>
      </c>
      <c r="K90" s="25">
        <f t="shared" si="44"/>
        <v>-6.6666666666666666E-2</v>
      </c>
      <c r="L90" s="104">
        <f>IF(ISNUMBER(J90), $B91 * K90, "")</f>
        <v>-10000</v>
      </c>
      <c r="M90" s="102"/>
      <c r="N90" s="25" t="str">
        <f t="shared" si="45"/>
        <v/>
      </c>
      <c r="O90" s="104" t="str">
        <f>IF(ISNUMBER(M90), $B91 * N90, "")</f>
        <v/>
      </c>
      <c r="Q90" s="166"/>
      <c r="R90" s="167"/>
      <c r="S90" s="168"/>
    </row>
    <row r="91" spans="1:19" ht="17.25" thickBot="1">
      <c r="A91" s="135" t="s">
        <v>301</v>
      </c>
      <c r="B91" s="227">
        <f>$B$37</f>
        <v>150000</v>
      </c>
      <c r="C91" s="228"/>
      <c r="D91" s="26" t="s">
        <v>302</v>
      </c>
      <c r="E91" s="27">
        <f>IF(COUNT(E71:E90), SUM(E71:E90) / COUNT(E71:E90), 0)</f>
        <v>-1.1326295617177452E-2</v>
      </c>
      <c r="F91" s="28">
        <f>SUM(F71:F90)</f>
        <v>-33978.886851532356</v>
      </c>
      <c r="G91" s="26" t="s">
        <v>302</v>
      </c>
      <c r="H91" s="27">
        <f>IF(COUNT(H71:H90), SUM(H71:H90) / COUNT(H71:H90), 0)</f>
        <v>-2.5181487641507132E-3</v>
      </c>
      <c r="I91" s="28">
        <f>SUM(I71:I90)</f>
        <v>-7554.4462924521331</v>
      </c>
      <c r="J91" s="26" t="s">
        <v>302</v>
      </c>
      <c r="K91" s="27">
        <f>IF(COUNT(K71:K90), SUM(K71:K90) / COUNT(K71:K90), 0)</f>
        <v>-1.0514053284673846E-2</v>
      </c>
      <c r="L91" s="28">
        <f>SUM(L71:L90)</f>
        <v>-31542.159854021535</v>
      </c>
      <c r="M91" s="26" t="s">
        <v>302</v>
      </c>
      <c r="N91" s="27">
        <f>IF(COUNT(N71:N90), SUM(N71:N90) / COUNT(N71:N90), 0)</f>
        <v>0</v>
      </c>
      <c r="O91" s="28">
        <f>SUM(O71:O90)</f>
        <v>0</v>
      </c>
      <c r="Q91" s="169"/>
      <c r="R91" s="170"/>
      <c r="S91" s="171"/>
    </row>
    <row r="93" spans="1:19" ht="17.25" thickBot="1"/>
    <row r="94" spans="1:19" ht="17.25" thickBot="1">
      <c r="A94" s="185" t="s">
        <v>46</v>
      </c>
      <c r="B94" s="186"/>
      <c r="C94" s="186"/>
      <c r="D94" s="186"/>
      <c r="E94" s="186"/>
      <c r="F94" s="186"/>
      <c r="G94" s="186"/>
      <c r="H94" s="186"/>
      <c r="I94" s="186"/>
      <c r="J94" s="186"/>
      <c r="K94" s="186"/>
      <c r="L94" s="186"/>
      <c r="M94" s="186"/>
      <c r="N94" s="186"/>
      <c r="O94" s="187"/>
      <c r="Q94" s="184"/>
      <c r="R94" s="184"/>
      <c r="S94" s="184"/>
    </row>
    <row r="95" spans="1:19" ht="17.25" thickBot="1">
      <c r="A95" s="153" t="s">
        <v>298</v>
      </c>
      <c r="B95" s="185" t="s">
        <v>49</v>
      </c>
      <c r="C95" s="187"/>
      <c r="D95" s="185" t="s">
        <v>58</v>
      </c>
      <c r="E95" s="186"/>
      <c r="F95" s="187"/>
      <c r="G95" s="188">
        <f>_xlfn.IFNA(VLOOKUP(B95, 현재가테이블!$B$2:$D$200, 2, FALSE), "-")</f>
        <v>67547000</v>
      </c>
      <c r="H95" s="189"/>
      <c r="I95" s="190"/>
      <c r="J95" s="185" t="s">
        <v>59</v>
      </c>
      <c r="K95" s="186"/>
      <c r="L95" s="187"/>
      <c r="M95" s="191">
        <f>_xlfn.IFNA(VLOOKUP(B95, 현재가테이블!$B$2:$D$200, 3, FALSE), "-")</f>
        <v>1.0743838800000001E-2</v>
      </c>
      <c r="N95" s="192"/>
      <c r="O95" s="193"/>
      <c r="Q95" s="184"/>
      <c r="R95" s="184"/>
      <c r="S95" s="184"/>
    </row>
    <row r="96" spans="1:19" ht="17.25" thickBot="1">
      <c r="A96" s="229" t="s">
        <v>55</v>
      </c>
      <c r="B96" s="225" t="str">
        <f>TEXT($G$1, "[$-ko-KR]yyyy-mm-dd(ddd) ") &amp; "오전 00:00"</f>
        <v>2021-05-05(수) 오전 00:00</v>
      </c>
      <c r="C96" s="226"/>
      <c r="D96" s="198" t="str">
        <f>TEXT($G$1, "[$-ko-KR]yyyy-mm-dd(ddd) ") &amp; "오후 14:00"</f>
        <v>2021-05-05(수) 오후 14:00</v>
      </c>
      <c r="E96" s="199"/>
      <c r="F96" s="200"/>
      <c r="G96" s="198" t="str">
        <f>TEXT($G$1, "[$-ko-KR]yyyy-mm-dd(ddd) ") &amp; "오후 19:00"</f>
        <v>2021-05-05(수) 오후 19:00</v>
      </c>
      <c r="H96" s="199"/>
      <c r="I96" s="200"/>
      <c r="J96" s="198" t="str">
        <f>TEXT($G$1, "[$-ko-KR]yyyy-mm-dd(ddd) ") &amp; "오후 21:00"</f>
        <v>2021-05-05(수) 오후 21:00</v>
      </c>
      <c r="K96" s="199"/>
      <c r="L96" s="200"/>
      <c r="M96" s="198" t="str">
        <f>TEXT($G$1+1, "[$-ko-KR]yyyy-mm-dd(ddd) ") &amp; "오전 00:00"</f>
        <v>2021-05-06(목) 오전 00:00</v>
      </c>
      <c r="N96" s="199"/>
      <c r="O96" s="200"/>
      <c r="Q96" s="184"/>
      <c r="R96" s="184"/>
      <c r="S96" s="184"/>
    </row>
    <row r="97" spans="1:19" ht="17.25" thickBot="1">
      <c r="A97" s="230"/>
      <c r="B97" s="124" t="s">
        <v>58</v>
      </c>
      <c r="C97" s="125" t="s">
        <v>59</v>
      </c>
      <c r="D97" s="2" t="s">
        <v>58</v>
      </c>
      <c r="E97" s="10" t="s">
        <v>299</v>
      </c>
      <c r="F97" s="11" t="s">
        <v>300</v>
      </c>
      <c r="G97" s="156" t="s">
        <v>58</v>
      </c>
      <c r="H97" s="157" t="s">
        <v>299</v>
      </c>
      <c r="I97" s="158" t="s">
        <v>300</v>
      </c>
      <c r="J97" s="10" t="s">
        <v>58</v>
      </c>
      <c r="K97" s="10" t="s">
        <v>299</v>
      </c>
      <c r="L97" s="115" t="s">
        <v>300</v>
      </c>
      <c r="M97" s="2" t="s">
        <v>58</v>
      </c>
      <c r="N97" s="10" t="s">
        <v>299</v>
      </c>
      <c r="O97" s="66" t="s">
        <v>300</v>
      </c>
      <c r="Q97" s="174"/>
      <c r="R97" s="174"/>
      <c r="S97" s="174"/>
    </row>
    <row r="98" spans="1:19" ht="17.25" thickBot="1">
      <c r="A98" s="126" t="s">
        <v>296</v>
      </c>
      <c r="B98" s="127">
        <v>664</v>
      </c>
      <c r="C98" s="76">
        <v>0.2319109462</v>
      </c>
      <c r="D98" s="13">
        <v>869</v>
      </c>
      <c r="E98" s="14">
        <f>IF(ISNUMBER(D98), (D98 - $B98) / $B98, "")</f>
        <v>0.30873493975903615</v>
      </c>
      <c r="F98" s="16">
        <f>IF(ISNUMBER(D98), $B118 * E98, "")</f>
        <v>46310.240963855424</v>
      </c>
      <c r="G98" s="29">
        <v>813</v>
      </c>
      <c r="H98" s="14">
        <f>IF(ISNUMBER(G98), (G98 - $B98) / $B98, "")</f>
        <v>0.22439759036144577</v>
      </c>
      <c r="I98" s="100">
        <f>IF(ISNUMBER(G98), $B118 * H98, "")</f>
        <v>33659.638554216865</v>
      </c>
      <c r="J98" s="13">
        <v>793</v>
      </c>
      <c r="K98" s="14">
        <f>IF(ISNUMBER(J98), (J98 - $B98) / $B98, "")</f>
        <v>0.19427710843373494</v>
      </c>
      <c r="L98" s="16">
        <f>IF(ISNUMBER(J98), $B118 * K98, "")</f>
        <v>29141.566265060243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4"/>
      <c r="R98" s="184"/>
      <c r="S98" s="184"/>
    </row>
    <row r="99" spans="1:19" ht="17.25" thickBot="1">
      <c r="A99" s="128" t="s">
        <v>102</v>
      </c>
      <c r="B99" s="129">
        <v>75100</v>
      </c>
      <c r="C99" s="77">
        <v>0.1789638932</v>
      </c>
      <c r="D99" s="15">
        <v>94550</v>
      </c>
      <c r="E99" s="32">
        <f t="shared" ref="E99:E102" si="46">IF(ISNUMBER(D99), (D99 - $B99) / $B99, "")</f>
        <v>0.25898801597869509</v>
      </c>
      <c r="F99" s="18">
        <f>IF(ISNUMBER(D99), $B118 * E99, "")</f>
        <v>38848.202396804263</v>
      </c>
      <c r="G99" s="31">
        <v>94090</v>
      </c>
      <c r="H99" s="32">
        <f t="shared" ref="H99:H102" si="47">IF(ISNUMBER(G99), (G99 - $B99) / $B99, "")</f>
        <v>0.25286284953395471</v>
      </c>
      <c r="I99" s="101">
        <f>IF(ISNUMBER(G99), $B118 * H99, "")</f>
        <v>37929.427430093208</v>
      </c>
      <c r="J99" s="15">
        <v>89100</v>
      </c>
      <c r="K99" s="32">
        <f t="shared" ref="K99:K102" si="48">IF(ISNUMBER(J99), (J99 - $B99) / $B99, "")</f>
        <v>0.18641810918774968</v>
      </c>
      <c r="L99" s="18">
        <f>IF(ISNUMBER(J99), $B118 * K99, "")</f>
        <v>27962.716378162451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4"/>
      <c r="R99" s="184"/>
      <c r="S99" s="184"/>
    </row>
    <row r="100" spans="1:19" ht="17.25" thickBot="1">
      <c r="A100" s="128" t="s">
        <v>164</v>
      </c>
      <c r="B100" s="129">
        <v>44090</v>
      </c>
      <c r="C100" s="77">
        <v>9.0796635299999998E-2</v>
      </c>
      <c r="D100" s="15">
        <v>44880</v>
      </c>
      <c r="E100" s="32">
        <f t="shared" si="46"/>
        <v>1.7917895214334317E-2</v>
      </c>
      <c r="F100" s="18">
        <f>IF(ISNUMBER(D100), $B118 * E100, "")</f>
        <v>2687.6842821501477</v>
      </c>
      <c r="G100" s="31">
        <v>44330</v>
      </c>
      <c r="H100" s="32">
        <f t="shared" si="47"/>
        <v>5.4434112043547289E-3</v>
      </c>
      <c r="I100" s="101">
        <f>IF(ISNUMBER(G100), $B118 * H100, "")</f>
        <v>816.51168065320928</v>
      </c>
      <c r="J100" s="15">
        <v>41950</v>
      </c>
      <c r="K100" s="32">
        <f t="shared" si="48"/>
        <v>-4.8537083238829666E-2</v>
      </c>
      <c r="L100" s="18">
        <f>IF(ISNUMBER(J100), $B118 * K100, "")</f>
        <v>-7280.5624858244501</v>
      </c>
      <c r="M100" s="31"/>
      <c r="N100" s="32" t="str">
        <f t="shared" si="49"/>
        <v/>
      </c>
      <c r="O100" s="18" t="str">
        <f>IF(ISNUMBER(M100), $B118 * N100, "")</f>
        <v/>
      </c>
      <c r="Q100" s="174"/>
      <c r="R100" s="174"/>
      <c r="S100" s="174"/>
    </row>
    <row r="101" spans="1:19" ht="17.25" thickBot="1">
      <c r="A101" s="128" t="s">
        <v>94</v>
      </c>
      <c r="B101" s="129">
        <v>127600</v>
      </c>
      <c r="C101" s="77">
        <v>8.3191850600000006E-2</v>
      </c>
      <c r="D101" s="15">
        <v>139600</v>
      </c>
      <c r="E101" s="32">
        <f t="shared" si="46"/>
        <v>9.4043887147335428E-2</v>
      </c>
      <c r="F101" s="18">
        <f>IF(ISNUMBER(D101), $B118 * E101, "")</f>
        <v>14106.583072100315</v>
      </c>
      <c r="G101" s="31">
        <v>133750</v>
      </c>
      <c r="H101" s="32">
        <f t="shared" si="47"/>
        <v>4.8197492163009406E-2</v>
      </c>
      <c r="I101" s="101">
        <f>IF(ISNUMBER(G101), $B118 * H101, "")</f>
        <v>7229.6238244514107</v>
      </c>
      <c r="J101" s="15">
        <v>140550</v>
      </c>
      <c r="K101" s="32">
        <f t="shared" si="48"/>
        <v>0.10148902821316615</v>
      </c>
      <c r="L101" s="18">
        <f>IF(ISNUMBER(J101), $B118 * K101, "")</f>
        <v>15223.354231974921</v>
      </c>
      <c r="M101" s="31"/>
      <c r="N101" s="32" t="str">
        <f t="shared" si="49"/>
        <v/>
      </c>
      <c r="O101" s="18" t="str">
        <f>IF(ISNUMBER(M101), $B118 * N101, "")</f>
        <v/>
      </c>
      <c r="Q101" s="174"/>
      <c r="R101" s="174"/>
      <c r="S101" s="174"/>
    </row>
    <row r="102" spans="1:19" ht="17.25" thickBot="1">
      <c r="A102" s="130" t="s">
        <v>206</v>
      </c>
      <c r="B102" s="131">
        <v>40910</v>
      </c>
      <c r="C102" s="78">
        <v>6.8146214100000005E-2</v>
      </c>
      <c r="D102" s="20">
        <v>39870</v>
      </c>
      <c r="E102" s="21">
        <f t="shared" si="46"/>
        <v>-2.5421657296504523E-2</v>
      </c>
      <c r="F102" s="22">
        <f>IF(ISNUMBER(D102), $B118 * E102, "")</f>
        <v>-3813.2485944756786</v>
      </c>
      <c r="G102" s="30">
        <v>40050</v>
      </c>
      <c r="H102" s="21">
        <f t="shared" si="47"/>
        <v>-2.1021755072109509E-2</v>
      </c>
      <c r="I102" s="105">
        <f>IF(ISNUMBER(G102), $B118 * H102, "")</f>
        <v>-3153.2632608164263</v>
      </c>
      <c r="J102" s="20">
        <v>39190</v>
      </c>
      <c r="K102" s="21">
        <f t="shared" si="48"/>
        <v>-4.2043510144219018E-2</v>
      </c>
      <c r="L102" s="22">
        <f>IF(ISNUMBER(J102), $B118 * K102, "")</f>
        <v>-6306.5265216328526</v>
      </c>
      <c r="M102" s="30"/>
      <c r="N102" s="21" t="str">
        <f t="shared" si="49"/>
        <v/>
      </c>
      <c r="O102" s="22" t="str">
        <f>IF(ISNUMBER(M102), $B118 * N102, "")</f>
        <v/>
      </c>
      <c r="Q102" s="174"/>
      <c r="R102" s="174"/>
      <c r="S102" s="174"/>
    </row>
    <row r="103" spans="1:19" ht="17.25" thickBot="1">
      <c r="A103" s="128" t="s">
        <v>130</v>
      </c>
      <c r="B103" s="132">
        <v>383950</v>
      </c>
      <c r="C103" s="80">
        <v>6.2984496099999995E-2</v>
      </c>
      <c r="D103" s="106">
        <v>414650</v>
      </c>
      <c r="E103" s="107">
        <f>IF(ISNUMBER(D103), (D103 - $B103) / $B103, "")</f>
        <v>7.9958327907279594E-2</v>
      </c>
      <c r="F103" s="108">
        <f>IF(ISNUMBER(D103), $B118 * E103, "")</f>
        <v>11993.74918609194</v>
      </c>
      <c r="G103" s="109">
        <v>408400</v>
      </c>
      <c r="H103" s="107">
        <f>IF(ISNUMBER(G103), (G103 - $B103) / $B103, "")</f>
        <v>6.3680166688370884E-2</v>
      </c>
      <c r="I103" s="110">
        <f>IF(ISNUMBER(G103), $B118 * H103, "")</f>
        <v>9552.0250032556323</v>
      </c>
      <c r="J103" s="106">
        <v>412800</v>
      </c>
      <c r="K103" s="107">
        <f>IF(ISNUMBER(J103), (J103 - $B103) / $B103, "")</f>
        <v>7.513999218648261E-2</v>
      </c>
      <c r="L103" s="108">
        <f>IF(ISNUMBER(J103), $B118 * K103, "")</f>
        <v>11270.998827972391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4"/>
      <c r="R103" s="174"/>
      <c r="S103" s="174"/>
    </row>
    <row r="104" spans="1:19" ht="17.25" thickBot="1">
      <c r="A104" s="128" t="s">
        <v>266</v>
      </c>
      <c r="B104" s="129">
        <v>104</v>
      </c>
      <c r="C104" s="77">
        <v>5.6910569100000002E-2</v>
      </c>
      <c r="D104" s="15">
        <v>101</v>
      </c>
      <c r="E104" s="32">
        <f t="shared" ref="E104:E107" si="50">IF(ISNUMBER(D104), (D104 - $B104) / $B104, "")</f>
        <v>-2.8846153846153848E-2</v>
      </c>
      <c r="F104" s="18">
        <f>IF(ISNUMBER(D104), $B118 * E104, "")</f>
        <v>-4326.9230769230771</v>
      </c>
      <c r="G104" s="31">
        <v>102</v>
      </c>
      <c r="H104" s="32">
        <f t="shared" ref="H104:H107" si="51">IF(ISNUMBER(G104), (G104 - $B104) / $B104, "")</f>
        <v>-1.9230769230769232E-2</v>
      </c>
      <c r="I104" s="101">
        <f>IF(ISNUMBER(G104), $B118 * H104, "")</f>
        <v>-2884.6153846153848</v>
      </c>
      <c r="J104" s="15">
        <v>102</v>
      </c>
      <c r="K104" s="32">
        <f t="shared" ref="K104:K107" si="52">IF(ISNUMBER(J104), (J104 - $B104) / $B104, "")</f>
        <v>-1.9230769230769232E-2</v>
      </c>
      <c r="L104" s="18">
        <f>IF(ISNUMBER(J104), $B118 * K104, "")</f>
        <v>-2884.6153846153848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4"/>
      <c r="R104" s="174"/>
      <c r="S104" s="174"/>
    </row>
    <row r="105" spans="1:19" ht="17.25" thickBot="1">
      <c r="A105" s="128" t="s">
        <v>76</v>
      </c>
      <c r="B105" s="129">
        <v>54200</v>
      </c>
      <c r="C105" s="77">
        <v>5.3245239E-2</v>
      </c>
      <c r="D105" s="15">
        <v>60910</v>
      </c>
      <c r="E105" s="32">
        <f t="shared" si="50"/>
        <v>0.12380073800738008</v>
      </c>
      <c r="F105" s="18">
        <f>IF(ISNUMBER(D105), $B118 * E105, "")</f>
        <v>18570.110701107013</v>
      </c>
      <c r="G105" s="31">
        <v>60030</v>
      </c>
      <c r="H105" s="32">
        <f t="shared" si="51"/>
        <v>0.10756457564575646</v>
      </c>
      <c r="I105" s="101">
        <f>IF(ISNUMBER(G105), $B118 * H105, "")</f>
        <v>16134.686346863469</v>
      </c>
      <c r="J105" s="15">
        <v>58390</v>
      </c>
      <c r="K105" s="32">
        <f t="shared" si="52"/>
        <v>7.7306273062730621E-2</v>
      </c>
      <c r="L105" s="18">
        <f>IF(ISNUMBER(J105), $B118 * K105, "")</f>
        <v>11595.940959409592</v>
      </c>
      <c r="M105" s="31"/>
      <c r="N105" s="32" t="str">
        <f t="shared" si="53"/>
        <v/>
      </c>
      <c r="O105" s="18" t="str">
        <f>IF(ISNUMBER(M105), $B118 * N105, "")</f>
        <v/>
      </c>
      <c r="Q105" s="174"/>
      <c r="R105" s="174"/>
      <c r="S105" s="174"/>
    </row>
    <row r="106" spans="1:19" ht="17.25" thickBot="1">
      <c r="A106" s="128" t="s">
        <v>108</v>
      </c>
      <c r="B106" s="129">
        <v>54400</v>
      </c>
      <c r="C106" s="77">
        <v>3.8167938899999997E-2</v>
      </c>
      <c r="D106" s="15">
        <v>56500</v>
      </c>
      <c r="E106" s="32">
        <f t="shared" si="50"/>
        <v>3.860294117647059E-2</v>
      </c>
      <c r="F106" s="18">
        <f>IF(ISNUMBER(D106), $B118 * E106, "")</f>
        <v>5790.4411764705883</v>
      </c>
      <c r="G106" s="31">
        <v>55920</v>
      </c>
      <c r="H106" s="32">
        <f t="shared" si="51"/>
        <v>2.7941176470588237E-2</v>
      </c>
      <c r="I106" s="101">
        <f>IF(ISNUMBER(G106), $B118 * H106, "")</f>
        <v>4191.1764705882351</v>
      </c>
      <c r="J106" s="15">
        <v>60960</v>
      </c>
      <c r="K106" s="32">
        <f t="shared" si="52"/>
        <v>0.12058823529411765</v>
      </c>
      <c r="L106" s="18">
        <f>IF(ISNUMBER(J106), $B118 * K106, "")</f>
        <v>18088.235294117647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3" t="s">
        <v>176</v>
      </c>
      <c r="B107" s="134">
        <v>2645</v>
      </c>
      <c r="C107" s="79">
        <v>3.7254901999999999E-2</v>
      </c>
      <c r="D107" s="24">
        <v>2495</v>
      </c>
      <c r="E107" s="25">
        <f t="shared" si="50"/>
        <v>-5.6710775047258979E-2</v>
      </c>
      <c r="F107" s="104">
        <f>IF(ISNUMBER(D107), $B118 * E107, "")</f>
        <v>-8506.6162570888464</v>
      </c>
      <c r="G107" s="102">
        <v>2525</v>
      </c>
      <c r="H107" s="25">
        <f t="shared" si="51"/>
        <v>-4.5368620037807186E-2</v>
      </c>
      <c r="I107" s="103">
        <f>IF(ISNUMBER(G107), $B118 * H107, "")</f>
        <v>-6805.2930056710784</v>
      </c>
      <c r="J107" s="24">
        <v>2500</v>
      </c>
      <c r="K107" s="25">
        <f t="shared" si="52"/>
        <v>-5.4820415879017016E-2</v>
      </c>
      <c r="L107" s="104">
        <f>IF(ISNUMBER(J107), $B118 * K107, "")</f>
        <v>-8223.0623818525528</v>
      </c>
      <c r="M107" s="102"/>
      <c r="N107" s="25" t="str">
        <f t="shared" si="53"/>
        <v/>
      </c>
      <c r="O107" s="104" t="str">
        <f>IF(ISNUMBER(M107), $B118 * N107, "")</f>
        <v/>
      </c>
      <c r="Q107" s="175"/>
      <c r="R107" s="176"/>
      <c r="S107" s="177"/>
    </row>
    <row r="108" spans="1:19">
      <c r="A108" s="126" t="s">
        <v>220</v>
      </c>
      <c r="B108" s="127">
        <v>23.5</v>
      </c>
      <c r="C108" s="76">
        <v>2.1739130400000001E-2</v>
      </c>
      <c r="D108" s="13">
        <v>21.4</v>
      </c>
      <c r="E108" s="14">
        <f>IF(ISNUMBER(D108), (D108 - $B108) / $B108, "")</f>
        <v>-8.9361702127659634E-2</v>
      </c>
      <c r="F108" s="16">
        <f>IF(ISNUMBER(D108), $B118 * E108, "")</f>
        <v>-13404.255319148946</v>
      </c>
      <c r="G108" s="29">
        <v>21.6</v>
      </c>
      <c r="H108" s="14">
        <f>IF(ISNUMBER(G108), (G108 - $B108) / $B108, "")</f>
        <v>-8.085106382978717E-2</v>
      </c>
      <c r="I108" s="100">
        <f>IF(ISNUMBER(G108), $B118 * H108, "")</f>
        <v>-12127.659574468076</v>
      </c>
      <c r="J108" s="13">
        <v>21.6</v>
      </c>
      <c r="K108" s="14">
        <f>IF(ISNUMBER(J108), (J108 - $B108) / $B108, "")</f>
        <v>-8.085106382978717E-2</v>
      </c>
      <c r="L108" s="16">
        <f>IF(ISNUMBER(J108), $B118 * K108, "")</f>
        <v>-12127.659574468076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8"/>
      <c r="R108" s="179"/>
      <c r="S108" s="180"/>
    </row>
    <row r="109" spans="1:19" ht="17.25" thickBot="1">
      <c r="A109" s="128" t="s">
        <v>276</v>
      </c>
      <c r="B109" s="129">
        <v>4535</v>
      </c>
      <c r="C109" s="77">
        <v>1.00222717E-2</v>
      </c>
      <c r="D109" s="15">
        <v>4500</v>
      </c>
      <c r="E109" s="32">
        <f t="shared" ref="E109:E112" si="54">IF(ISNUMBER(D109), (D109 - $B109) / $B109, "")</f>
        <v>-7.717750826901874E-3</v>
      </c>
      <c r="F109" s="18">
        <f>IF(ISNUMBER(D109), $B118 * E109, "")</f>
        <v>-1157.6626240352812</v>
      </c>
      <c r="G109" s="31">
        <v>4520</v>
      </c>
      <c r="H109" s="32">
        <f t="shared" ref="H109:H112" si="55">IF(ISNUMBER(G109), (G109 - $B109) / $B109, "")</f>
        <v>-3.3076074972436605E-3</v>
      </c>
      <c r="I109" s="101">
        <f>IF(ISNUMBER(G109), $B118 * H109, "")</f>
        <v>-496.1411245865491</v>
      </c>
      <c r="J109" s="15">
        <v>4470</v>
      </c>
      <c r="K109" s="32">
        <f t="shared" ref="K109:K112" si="56">IF(ISNUMBER(J109), (J109 - $B109) / $B109, "")</f>
        <v>-1.4332965821389196E-2</v>
      </c>
      <c r="L109" s="18">
        <f>IF(ISNUMBER(J109), $B118 * K109, "")</f>
        <v>-2149.9448732083792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81"/>
      <c r="R109" s="182"/>
      <c r="S109" s="183"/>
    </row>
    <row r="110" spans="1:19" ht="17.25" thickBot="1">
      <c r="A110" s="128" t="s">
        <v>144</v>
      </c>
      <c r="B110" s="129">
        <v>11590</v>
      </c>
      <c r="C110" s="77">
        <v>7.8260870000000007E-3</v>
      </c>
      <c r="D110" s="15">
        <v>11930</v>
      </c>
      <c r="E110" s="32">
        <f t="shared" si="54"/>
        <v>2.9335634167385678E-2</v>
      </c>
      <c r="F110" s="18">
        <f>IF(ISNUMBER(D110), $B118 * E110, "")</f>
        <v>4400.3451251078513</v>
      </c>
      <c r="G110" s="31">
        <v>11840</v>
      </c>
      <c r="H110" s="32">
        <f t="shared" si="55"/>
        <v>2.1570319240724764E-2</v>
      </c>
      <c r="I110" s="101">
        <f>IF(ISNUMBER(G110), $B118 * H110, "")</f>
        <v>3235.5478861087145</v>
      </c>
      <c r="J110" s="15">
        <v>11710</v>
      </c>
      <c r="K110" s="32">
        <f t="shared" si="56"/>
        <v>1.0353753235547885E-2</v>
      </c>
      <c r="L110" s="18">
        <f>IF(ISNUMBER(J110), $B118 * K110, "")</f>
        <v>1553.0629853321827</v>
      </c>
      <c r="M110" s="31"/>
      <c r="N110" s="32" t="str">
        <f t="shared" si="57"/>
        <v/>
      </c>
      <c r="O110" s="18" t="str">
        <f>IF(ISNUMBER(M110), $B118 * N110, "")</f>
        <v/>
      </c>
      <c r="Q110" s="174"/>
      <c r="R110" s="174"/>
      <c r="S110" s="174"/>
    </row>
    <row r="111" spans="1:19" ht="17.25" thickBot="1">
      <c r="A111" s="128" t="s">
        <v>90</v>
      </c>
      <c r="B111" s="129">
        <v>451000</v>
      </c>
      <c r="C111" s="77">
        <v>2.6678524000000002E-3</v>
      </c>
      <c r="D111" s="15">
        <v>450950</v>
      </c>
      <c r="E111" s="32">
        <f t="shared" si="54"/>
        <v>-1.1086474501108647E-4</v>
      </c>
      <c r="F111" s="18">
        <f>IF(ISNUMBER(D111), $B118 * E111, "")</f>
        <v>-16.62971175166297</v>
      </c>
      <c r="G111" s="31">
        <v>440000</v>
      </c>
      <c r="H111" s="32">
        <f t="shared" si="55"/>
        <v>-2.4390243902439025E-2</v>
      </c>
      <c r="I111" s="101">
        <f>IF(ISNUMBER(G111), $B118 * H111, "")</f>
        <v>-3658.5365853658536</v>
      </c>
      <c r="J111" s="15">
        <v>456450</v>
      </c>
      <c r="K111" s="32">
        <f t="shared" si="56"/>
        <v>1.2084257206208426E-2</v>
      </c>
      <c r="L111" s="18">
        <f>IF(ISNUMBER(J111), $B118 * K111, "")</f>
        <v>1812.638580931264</v>
      </c>
      <c r="M111" s="31"/>
      <c r="N111" s="32" t="str">
        <f t="shared" si="57"/>
        <v/>
      </c>
      <c r="O111" s="18" t="str">
        <f>IF(ISNUMBER(M111), $B118 * N111, "")</f>
        <v/>
      </c>
      <c r="Q111" s="184"/>
      <c r="R111" s="184"/>
      <c r="S111" s="184"/>
    </row>
    <row r="112" spans="1:19" ht="17.25" thickBot="1">
      <c r="A112" s="130" t="s">
        <v>86</v>
      </c>
      <c r="B112" s="131">
        <v>8340</v>
      </c>
      <c r="C112" s="78">
        <v>0</v>
      </c>
      <c r="D112" s="20">
        <v>9060</v>
      </c>
      <c r="E112" s="21">
        <f t="shared" si="54"/>
        <v>8.6330935251798566E-2</v>
      </c>
      <c r="F112" s="22">
        <f>IF(ISNUMBER(D112), $B118 * E112, "")</f>
        <v>12949.640287769786</v>
      </c>
      <c r="G112" s="30">
        <v>8870</v>
      </c>
      <c r="H112" s="21">
        <f t="shared" si="55"/>
        <v>6.3549160671462823E-2</v>
      </c>
      <c r="I112" s="105">
        <f>IF(ISNUMBER(G112), $B118 * H112, "")</f>
        <v>9532.374100719424</v>
      </c>
      <c r="J112" s="20">
        <v>9085</v>
      </c>
      <c r="K112" s="21">
        <f t="shared" si="56"/>
        <v>8.9328537170263789E-2</v>
      </c>
      <c r="L112" s="22">
        <f>IF(ISNUMBER(J112), $B118 * K112, "")</f>
        <v>13399.280575539568</v>
      </c>
      <c r="M112" s="30"/>
      <c r="N112" s="21" t="str">
        <f t="shared" si="57"/>
        <v/>
      </c>
      <c r="O112" s="22" t="str">
        <f>IF(ISNUMBER(M112), $B118 * N112, "")</f>
        <v/>
      </c>
      <c r="Q112" s="184"/>
      <c r="R112" s="184"/>
      <c r="S112" s="184"/>
    </row>
    <row r="113" spans="1:19" ht="17.25" thickBot="1">
      <c r="A113" s="128" t="s">
        <v>96</v>
      </c>
      <c r="B113" s="132">
        <v>4211000</v>
      </c>
      <c r="C113" s="80">
        <v>-3.5494557999999998E-3</v>
      </c>
      <c r="D113" s="106">
        <v>4142000</v>
      </c>
      <c r="E113" s="107">
        <f>IF(ISNUMBER(D113), (D113 - $B113) / $B113, "")</f>
        <v>-1.6385656613630967E-2</v>
      </c>
      <c r="F113" s="108">
        <f>IF(ISNUMBER(D113), $B118 * E113, "")</f>
        <v>-2457.8484920446449</v>
      </c>
      <c r="G113" s="109">
        <v>4163000</v>
      </c>
      <c r="H113" s="107">
        <f>IF(ISNUMBER(G113), (G113 - $B113) / $B113, "")</f>
        <v>-1.1398717644265021E-2</v>
      </c>
      <c r="I113" s="110">
        <f>IF(ISNUMBER(G113), $B118 * H113, "")</f>
        <v>-1709.8076466397531</v>
      </c>
      <c r="J113" s="106">
        <v>4095000</v>
      </c>
      <c r="K113" s="107">
        <f>IF(ISNUMBER(J113), (J113 - $B113) / $B113, "")</f>
        <v>-2.7546900973640466E-2</v>
      </c>
      <c r="L113" s="108">
        <f>IF(ISNUMBER(J113), $B118 * K113, "")</f>
        <v>-4132.0351460460697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4"/>
      <c r="R113" s="174"/>
      <c r="S113" s="174"/>
    </row>
    <row r="114" spans="1:19" ht="17.25" thickBot="1">
      <c r="A114" s="128" t="s">
        <v>78</v>
      </c>
      <c r="B114" s="129">
        <v>1241500</v>
      </c>
      <c r="C114" s="77">
        <v>-4.0112313999999998E-3</v>
      </c>
      <c r="D114" s="15">
        <v>1355000</v>
      </c>
      <c r="E114" s="32">
        <f t="shared" ref="E114:E117" si="58">IF(ISNUMBER(D114), (D114 - $B114) / $B114, "")</f>
        <v>9.1421667337897708E-2</v>
      </c>
      <c r="F114" s="18">
        <f>IF(ISNUMBER(D114), $B118 * E114, "")</f>
        <v>13713.250100684656</v>
      </c>
      <c r="G114" s="31">
        <v>1329500</v>
      </c>
      <c r="H114" s="32">
        <f t="shared" ref="H114:H117" si="59">IF(ISNUMBER(G114), (G114 - $B114) / $B114, "")</f>
        <v>7.0881997583568265E-2</v>
      </c>
      <c r="I114" s="101">
        <f>IF(ISNUMBER(G114), $B118 * H114, "")</f>
        <v>10632.29963753524</v>
      </c>
      <c r="J114" s="15">
        <v>1499000</v>
      </c>
      <c r="K114" s="32">
        <f t="shared" ref="K114:K117" si="60">IF(ISNUMBER(J114), (J114 - $B114) / $B114, "")</f>
        <v>0.20741039065646397</v>
      </c>
      <c r="L114" s="18">
        <f>IF(ISNUMBER(J114), $B118 * K114, "")</f>
        <v>31111.558598469594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4"/>
      <c r="R114" s="174"/>
      <c r="S114" s="174"/>
    </row>
    <row r="115" spans="1:19" ht="17.25" thickBot="1">
      <c r="A115" s="128" t="s">
        <v>74</v>
      </c>
      <c r="B115" s="129">
        <v>28010</v>
      </c>
      <c r="C115" s="77">
        <v>-4.2659083000000002E-3</v>
      </c>
      <c r="D115" s="15">
        <v>27680</v>
      </c>
      <c r="E115" s="32">
        <f t="shared" si="58"/>
        <v>-1.1781506604784006E-2</v>
      </c>
      <c r="F115" s="18">
        <f>IF(ISNUMBER(D115), $B118 * E115, "")</f>
        <v>-1767.225990717601</v>
      </c>
      <c r="G115" s="31">
        <v>28010</v>
      </c>
      <c r="H115" s="32">
        <f t="shared" si="59"/>
        <v>0</v>
      </c>
      <c r="I115" s="101">
        <f>IF(ISNUMBER(G115), $B118 * H115, "")</f>
        <v>0</v>
      </c>
      <c r="J115" s="15">
        <v>28330</v>
      </c>
      <c r="K115" s="32">
        <f t="shared" si="60"/>
        <v>1.1424491253123885E-2</v>
      </c>
      <c r="L115" s="18">
        <f>IF(ISNUMBER(J115), $B118 * K115, "")</f>
        <v>1713.6736879685827</v>
      </c>
      <c r="M115" s="31"/>
      <c r="N115" s="32" t="str">
        <f t="shared" si="61"/>
        <v/>
      </c>
      <c r="O115" s="18" t="str">
        <f>IF(ISNUMBER(M115), $B118 * N115, "")</f>
        <v/>
      </c>
      <c r="Q115" s="174"/>
      <c r="R115" s="174"/>
      <c r="S115" s="174"/>
    </row>
    <row r="116" spans="1:19">
      <c r="A116" s="128" t="s">
        <v>242</v>
      </c>
      <c r="B116" s="129">
        <v>7190</v>
      </c>
      <c r="C116" s="77">
        <v>-9.6418732999999993E-3</v>
      </c>
      <c r="D116" s="15">
        <v>6765</v>
      </c>
      <c r="E116" s="32">
        <f t="shared" si="58"/>
        <v>-5.9109874826147428E-2</v>
      </c>
      <c r="F116" s="18">
        <f>IF(ISNUMBER(D116), $B118 * E116, "")</f>
        <v>-8866.4812239221137</v>
      </c>
      <c r="G116" s="31">
        <v>6840</v>
      </c>
      <c r="H116" s="32">
        <f t="shared" si="59"/>
        <v>-4.8678720445062586E-2</v>
      </c>
      <c r="I116" s="101">
        <f>IF(ISNUMBER(G116), $B118 * H116, "")</f>
        <v>-7301.8080667593877</v>
      </c>
      <c r="J116" s="15">
        <v>6715</v>
      </c>
      <c r="K116" s="32">
        <f t="shared" si="60"/>
        <v>-6.6063977746870658E-2</v>
      </c>
      <c r="L116" s="18">
        <f>IF(ISNUMBER(J116), $B118 * K116, "")</f>
        <v>-9909.596662030599</v>
      </c>
      <c r="M116" s="31"/>
      <c r="N116" s="32" t="str">
        <f t="shared" si="61"/>
        <v/>
      </c>
      <c r="O116" s="18" t="str">
        <f>IF(ISNUMBER(M116), $B118 * N116, "")</f>
        <v/>
      </c>
      <c r="Q116" s="163"/>
      <c r="R116" s="164"/>
      <c r="S116" s="165"/>
    </row>
    <row r="117" spans="1:19" ht="17.25" thickBot="1">
      <c r="A117" s="133" t="s">
        <v>98</v>
      </c>
      <c r="B117" s="134">
        <v>7250</v>
      </c>
      <c r="C117" s="79">
        <v>-1.42760027E-2</v>
      </c>
      <c r="D117" s="24">
        <v>7475</v>
      </c>
      <c r="E117" s="25">
        <f t="shared" si="58"/>
        <v>3.1034482758620689E-2</v>
      </c>
      <c r="F117" s="104">
        <f>IF(ISNUMBER(D117), $B118 * E117, "")</f>
        <v>4655.1724137931033</v>
      </c>
      <c r="G117" s="102">
        <v>7705</v>
      </c>
      <c r="H117" s="25">
        <f t="shared" si="59"/>
        <v>6.2758620689655167E-2</v>
      </c>
      <c r="I117" s="103">
        <f>IF(ISNUMBER(G117), $B118 * H117, "")</f>
        <v>9413.7931034482754</v>
      </c>
      <c r="J117" s="24">
        <v>7790</v>
      </c>
      <c r="K117" s="25">
        <f t="shared" si="60"/>
        <v>7.4482758620689649E-2</v>
      </c>
      <c r="L117" s="104">
        <f>IF(ISNUMBER(J117), $B118 * K117, "")</f>
        <v>11172.413793103447</v>
      </c>
      <c r="M117" s="102"/>
      <c r="N117" s="25" t="str">
        <f t="shared" si="61"/>
        <v/>
      </c>
      <c r="O117" s="104" t="str">
        <f>IF(ISNUMBER(M117), $B118 * N117, "")</f>
        <v/>
      </c>
      <c r="Q117" s="166"/>
      <c r="R117" s="167"/>
      <c r="S117" s="168"/>
    </row>
    <row r="118" spans="1:19" ht="17.25" thickBot="1">
      <c r="A118" s="135" t="s">
        <v>301</v>
      </c>
      <c r="B118" s="227">
        <f>$B$37</f>
        <v>150000</v>
      </c>
      <c r="C118" s="228"/>
      <c r="D118" s="26" t="s">
        <v>302</v>
      </c>
      <c r="E118" s="27">
        <f>IF(COUNT(E98:E117), SUM(E98:E117) / COUNT(E98:E117), 0)</f>
        <v>4.3236176138609084E-2</v>
      </c>
      <c r="F118" s="28">
        <f>SUM(F98:F117)</f>
        <v>129708.52841582726</v>
      </c>
      <c r="G118" s="26" t="s">
        <v>302</v>
      </c>
      <c r="H118" s="27">
        <f>IF(COUNT(H98:H117), SUM(H98:H117) / COUNT(H98:H117), 0)</f>
        <v>3.4729993129670386E-2</v>
      </c>
      <c r="I118" s="28">
        <f>SUM(I98:I117)</f>
        <v>104189.97938901116</v>
      </c>
      <c r="J118" s="26" t="s">
        <v>302</v>
      </c>
      <c r="K118" s="27">
        <f>IF(COUNT(K98:K117), SUM(K98:K117) / COUNT(K98:K117), 0)</f>
        <v>4.0343812382787843E-2</v>
      </c>
      <c r="L118" s="28">
        <f>SUM(L98:L117)</f>
        <v>121031.43714836352</v>
      </c>
      <c r="M118" s="26" t="s">
        <v>302</v>
      </c>
      <c r="N118" s="27">
        <f>IF(COUNT(N98:N117), SUM(N98:N117) / COUNT(N98:N117), 0)</f>
        <v>0</v>
      </c>
      <c r="O118" s="28">
        <f>SUM(O98:O117)</f>
        <v>0</v>
      </c>
      <c r="Q118" s="169"/>
      <c r="R118" s="170"/>
      <c r="S118" s="171"/>
    </row>
    <row r="120" spans="1:19" ht="17.25" thickBot="1"/>
    <row r="121" spans="1:19" ht="17.25" thickBot="1">
      <c r="A121" s="185" t="s">
        <v>288</v>
      </c>
      <c r="B121" s="186"/>
      <c r="C121" s="186"/>
      <c r="D121" s="186"/>
      <c r="E121" s="186"/>
      <c r="F121" s="186"/>
      <c r="G121" s="186"/>
      <c r="H121" s="186"/>
      <c r="I121" s="186"/>
      <c r="J121" s="186"/>
      <c r="K121" s="186"/>
      <c r="L121" s="186"/>
      <c r="M121" s="186"/>
      <c r="N121" s="186"/>
      <c r="O121" s="187"/>
      <c r="Q121" s="184"/>
      <c r="R121" s="184"/>
      <c r="S121" s="184"/>
    </row>
    <row r="122" spans="1:19" ht="17.25" thickBot="1">
      <c r="A122" s="153" t="s">
        <v>298</v>
      </c>
      <c r="B122" s="185" t="s">
        <v>49</v>
      </c>
      <c r="C122" s="187"/>
      <c r="D122" s="185" t="s">
        <v>58</v>
      </c>
      <c r="E122" s="186"/>
      <c r="F122" s="187"/>
      <c r="G122" s="188">
        <f>_xlfn.IFNA(VLOOKUP(B122, 현재가테이블!$B$2:$D$200, 2, FALSE), "-")</f>
        <v>67547000</v>
      </c>
      <c r="H122" s="189"/>
      <c r="I122" s="190"/>
      <c r="J122" s="185" t="s">
        <v>59</v>
      </c>
      <c r="K122" s="186"/>
      <c r="L122" s="187"/>
      <c r="M122" s="191">
        <f>_xlfn.IFNA(VLOOKUP(B122, 현재가테이블!$B$2:$D$200, 3, FALSE), "-")</f>
        <v>1.0743838800000001E-2</v>
      </c>
      <c r="N122" s="192"/>
      <c r="O122" s="193"/>
      <c r="Q122" s="184"/>
      <c r="R122" s="184"/>
      <c r="S122" s="184"/>
    </row>
    <row r="123" spans="1:19" ht="17.25" thickBot="1">
      <c r="A123" s="229" t="s">
        <v>55</v>
      </c>
      <c r="B123" s="225" t="str">
        <f>TEXT($G$1, "[$-ko-KR]yyyy-mm-dd(ddd) ") &amp; "오전 00:00"</f>
        <v>2021-05-05(수) 오전 00:00</v>
      </c>
      <c r="C123" s="226"/>
      <c r="D123" s="198" t="str">
        <f>TEXT($G$1, "[$-ko-KR]yyyy-mm-dd(ddd) ") &amp; "오후 14:00"</f>
        <v>2021-05-05(수) 오후 14:00</v>
      </c>
      <c r="E123" s="199"/>
      <c r="F123" s="200"/>
      <c r="G123" s="198" t="str">
        <f>TEXT($G$1, "[$-ko-KR]yyyy-mm-dd(ddd) ") &amp; "오후 19:00"</f>
        <v>2021-05-05(수) 오후 19:00</v>
      </c>
      <c r="H123" s="199"/>
      <c r="I123" s="200"/>
      <c r="J123" s="198" t="str">
        <f>TEXT($G$1, "[$-ko-KR]yyyy-mm-dd(ddd) ") &amp; "오후 21:00"</f>
        <v>2021-05-05(수) 오후 21:00</v>
      </c>
      <c r="K123" s="199"/>
      <c r="L123" s="200"/>
      <c r="M123" s="198" t="str">
        <f>TEXT($G$1+1, "[$-ko-KR]yyyy-mm-dd(ddd) ") &amp; "오전 00:00"</f>
        <v>2021-05-06(목) 오전 00:00</v>
      </c>
      <c r="N123" s="199"/>
      <c r="O123" s="200"/>
      <c r="Q123" s="184"/>
      <c r="R123" s="184"/>
      <c r="S123" s="184"/>
    </row>
    <row r="124" spans="1:19" ht="17.25" thickBot="1">
      <c r="A124" s="230"/>
      <c r="B124" s="124" t="s">
        <v>58</v>
      </c>
      <c r="C124" s="125" t="s">
        <v>59</v>
      </c>
      <c r="D124" s="2" t="s">
        <v>58</v>
      </c>
      <c r="E124" s="10" t="s">
        <v>299</v>
      </c>
      <c r="F124" s="11" t="s">
        <v>300</v>
      </c>
      <c r="G124" s="156" t="s">
        <v>58</v>
      </c>
      <c r="H124" s="157" t="s">
        <v>299</v>
      </c>
      <c r="I124" s="158" t="s">
        <v>300</v>
      </c>
      <c r="J124" s="10" t="s">
        <v>58</v>
      </c>
      <c r="K124" s="10" t="s">
        <v>299</v>
      </c>
      <c r="L124" s="115" t="s">
        <v>300</v>
      </c>
      <c r="M124" s="2" t="s">
        <v>58</v>
      </c>
      <c r="N124" s="10" t="s">
        <v>299</v>
      </c>
      <c r="O124" s="66" t="s">
        <v>300</v>
      </c>
      <c r="Q124" s="174"/>
      <c r="R124" s="174"/>
      <c r="S124" s="174"/>
    </row>
    <row r="125" spans="1:19" ht="17.25" thickBot="1">
      <c r="A125" s="126" t="s">
        <v>220</v>
      </c>
      <c r="B125" s="127">
        <v>23.5</v>
      </c>
      <c r="C125" s="76">
        <v>2.1739130400000001E-2</v>
      </c>
      <c r="D125" s="13">
        <v>21.4</v>
      </c>
      <c r="E125" s="14">
        <f>IF(ISNUMBER(D125), (D125 - $B125) / $B125, "")</f>
        <v>-8.9361702127659634E-2</v>
      </c>
      <c r="F125" s="16">
        <f>IF(ISNUMBER(D125), $B145 * E125, "")</f>
        <v>-13404.255319148946</v>
      </c>
      <c r="G125" s="29">
        <v>21.6</v>
      </c>
      <c r="H125" s="14">
        <f>IF(ISNUMBER(G125), (G125 - $B125) / $B125, "")</f>
        <v>-8.085106382978717E-2</v>
      </c>
      <c r="I125" s="100">
        <f>IF(ISNUMBER(G125), $B145 * H125, "")</f>
        <v>-12127.659574468076</v>
      </c>
      <c r="J125" s="13">
        <v>21.6</v>
      </c>
      <c r="K125" s="14">
        <f>IF(ISNUMBER(J125), (J125 - $B125) / $B125, "")</f>
        <v>-8.085106382978717E-2</v>
      </c>
      <c r="L125" s="16">
        <f>IF(ISNUMBER(J125), $B145 * K125, "")</f>
        <v>-12127.659574468076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4"/>
      <c r="R125" s="184"/>
      <c r="S125" s="184"/>
    </row>
    <row r="126" spans="1:19" ht="17.25" thickBot="1">
      <c r="A126" s="128" t="s">
        <v>154</v>
      </c>
      <c r="B126" s="129">
        <v>22.9</v>
      </c>
      <c r="C126" s="77">
        <v>-4.5833333300000001E-2</v>
      </c>
      <c r="D126" s="15">
        <v>20.9</v>
      </c>
      <c r="E126" s="32">
        <f t="shared" ref="E126:E129" si="62">IF(ISNUMBER(D126), (D126 - $B126) / $B126, "")</f>
        <v>-8.7336244541484725E-2</v>
      </c>
      <c r="F126" s="18">
        <f>IF(ISNUMBER(D126), $B145 * E126, "")</f>
        <v>-13100.436681222709</v>
      </c>
      <c r="G126" s="31">
        <v>21.6</v>
      </c>
      <c r="H126" s="32">
        <f t="shared" ref="H126:H129" si="63">IF(ISNUMBER(G126), (G126 - $B126) / $B126, "")</f>
        <v>-5.6768558951964948E-2</v>
      </c>
      <c r="I126" s="101">
        <f>IF(ISNUMBER(G126), $B145 * H126, "")</f>
        <v>-8515.2838427947427</v>
      </c>
      <c r="J126" s="15">
        <v>21.1</v>
      </c>
      <c r="K126" s="32">
        <f t="shared" ref="K126:K129" si="64">IF(ISNUMBER(J126), (J126 - $B126) / $B126, "")</f>
        <v>-7.8602620087336122E-2</v>
      </c>
      <c r="L126" s="18">
        <f>IF(ISNUMBER(J126), $B145 * K126, "")</f>
        <v>-11790.393013100418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4"/>
      <c r="R126" s="184"/>
      <c r="S126" s="184"/>
    </row>
    <row r="127" spans="1:19" ht="17.25" thickBot="1">
      <c r="A127" s="128" t="s">
        <v>100</v>
      </c>
      <c r="B127" s="129">
        <v>8.08</v>
      </c>
      <c r="C127" s="77">
        <v>-5.05287897E-2</v>
      </c>
      <c r="D127" s="15">
        <v>8.0399999999999991</v>
      </c>
      <c r="E127" s="32">
        <f t="shared" si="62"/>
        <v>-4.950495049505065E-3</v>
      </c>
      <c r="F127" s="18">
        <f>IF(ISNUMBER(D127), $B145 * E127, "")</f>
        <v>-742.57425742575981</v>
      </c>
      <c r="G127" s="31">
        <v>9.01</v>
      </c>
      <c r="H127" s="32">
        <f t="shared" si="63"/>
        <v>0.11509900990099006</v>
      </c>
      <c r="I127" s="101">
        <f>IF(ISNUMBER(G127), $B145 * H127, "")</f>
        <v>17264.851485148509</v>
      </c>
      <c r="J127" s="15">
        <v>8.4600000000000009</v>
      </c>
      <c r="K127" s="32">
        <f t="shared" si="64"/>
        <v>4.7029702970297127E-2</v>
      </c>
      <c r="L127" s="18">
        <f>IF(ISNUMBER(J127), $B145 * K127, "")</f>
        <v>7054.4554455445686</v>
      </c>
      <c r="M127" s="31"/>
      <c r="N127" s="32" t="str">
        <f t="shared" si="65"/>
        <v/>
      </c>
      <c r="O127" s="18" t="str">
        <f>IF(ISNUMBER(M127), $B145 * N127, "")</f>
        <v/>
      </c>
      <c r="Q127" s="174"/>
      <c r="R127" s="174"/>
      <c r="S127" s="174"/>
    </row>
    <row r="128" spans="1:19" ht="17.25" thickBot="1">
      <c r="A128" s="128" t="s">
        <v>196</v>
      </c>
      <c r="B128" s="129">
        <v>21.1</v>
      </c>
      <c r="C128" s="77">
        <v>-7.0484581500000004E-2</v>
      </c>
      <c r="D128" s="15">
        <v>20.3</v>
      </c>
      <c r="E128" s="32">
        <f t="shared" si="62"/>
        <v>-3.7914691943127993E-2</v>
      </c>
      <c r="F128" s="18">
        <f>IF(ISNUMBER(D128), $B145 * E128, "")</f>
        <v>-5687.2037914691991</v>
      </c>
      <c r="G128" s="31">
        <v>20.5</v>
      </c>
      <c r="H128" s="32">
        <f t="shared" si="63"/>
        <v>-2.8436018957346036E-2</v>
      </c>
      <c r="I128" s="101">
        <f>IF(ISNUMBER(G128), $B145 * H128, "")</f>
        <v>-4265.4028436019053</v>
      </c>
      <c r="J128" s="15">
        <v>20.399999999999999</v>
      </c>
      <c r="K128" s="32">
        <f t="shared" si="64"/>
        <v>-3.3175355450237101E-2</v>
      </c>
      <c r="L128" s="18">
        <f>IF(ISNUMBER(J128), $B145 * K128, "")</f>
        <v>-4976.3033175355649</v>
      </c>
      <c r="M128" s="31"/>
      <c r="N128" s="32" t="str">
        <f t="shared" si="65"/>
        <v/>
      </c>
      <c r="O128" s="18" t="str">
        <f>IF(ISNUMBER(M128), $B145 * N128, "")</f>
        <v/>
      </c>
      <c r="Q128" s="174"/>
      <c r="R128" s="174"/>
      <c r="S128" s="174"/>
    </row>
    <row r="129" spans="1:19" ht="17.25" thickBot="1">
      <c r="A129" s="130" t="s">
        <v>65</v>
      </c>
      <c r="B129" s="131">
        <v>73.400000000000006</v>
      </c>
      <c r="C129" s="78">
        <v>-7.0886075899999998E-2</v>
      </c>
      <c r="D129" s="20">
        <v>72.599999999999994</v>
      </c>
      <c r="E129" s="21">
        <f t="shared" si="62"/>
        <v>-1.0899182561308056E-2</v>
      </c>
      <c r="F129" s="22">
        <f>IF(ISNUMBER(D129), $B145 * E129, "")</f>
        <v>-1634.8773841962084</v>
      </c>
      <c r="G129" s="30">
        <v>73.900000000000006</v>
      </c>
      <c r="H129" s="21">
        <f t="shared" si="63"/>
        <v>6.8119891008174378E-3</v>
      </c>
      <c r="I129" s="105">
        <f>IF(ISNUMBER(G129), $B145 * H129, "")</f>
        <v>1021.7983651226157</v>
      </c>
      <c r="J129" s="20">
        <v>72.099999999999994</v>
      </c>
      <c r="K129" s="21">
        <f t="shared" si="64"/>
        <v>-1.7711171662125495E-2</v>
      </c>
      <c r="L129" s="22">
        <f>IF(ISNUMBER(J129), $B145 * K129, "")</f>
        <v>-2656.6757493188243</v>
      </c>
      <c r="M129" s="30"/>
      <c r="N129" s="21" t="str">
        <f t="shared" si="65"/>
        <v/>
      </c>
      <c r="O129" s="22" t="str">
        <f>IF(ISNUMBER(M129), $B145 * N129, "")</f>
        <v/>
      </c>
      <c r="Q129" s="174"/>
      <c r="R129" s="174"/>
      <c r="S129" s="174"/>
    </row>
    <row r="130" spans="1:19" ht="17.25" thickBot="1">
      <c r="A130" s="128" t="s">
        <v>254</v>
      </c>
      <c r="B130" s="132">
        <v>92.9</v>
      </c>
      <c r="C130" s="80">
        <v>-7.0999999999999994E-2</v>
      </c>
      <c r="D130" s="106">
        <v>86</v>
      </c>
      <c r="E130" s="107">
        <f>IF(ISNUMBER(D130), (D130 - $B130) / $B130, "")</f>
        <v>-7.427341227125947E-2</v>
      </c>
      <c r="F130" s="108">
        <f>IF(ISNUMBER(D130), $B145 * E130, "")</f>
        <v>-11141.011840688921</v>
      </c>
      <c r="G130" s="109">
        <v>88.1</v>
      </c>
      <c r="H130" s="107">
        <f>IF(ISNUMBER(G130), (G130 - $B130) / $B130, "")</f>
        <v>-5.1668460710441455E-2</v>
      </c>
      <c r="I130" s="110">
        <f>IF(ISNUMBER(G130), $B145 * H130, "")</f>
        <v>-7750.2691065662184</v>
      </c>
      <c r="J130" s="106">
        <v>86.5</v>
      </c>
      <c r="K130" s="107">
        <f>IF(ISNUMBER(J130), (J130 - $B130) / $B130, "")</f>
        <v>-6.8891280947255176E-2</v>
      </c>
      <c r="L130" s="108">
        <f>IF(ISNUMBER(J130), $B145 * K130, "")</f>
        <v>-10333.692142088277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4"/>
      <c r="R130" s="174"/>
      <c r="S130" s="174"/>
    </row>
    <row r="131" spans="1:19" ht="17.25" thickBot="1">
      <c r="A131" s="128" t="s">
        <v>72</v>
      </c>
      <c r="B131" s="129">
        <v>35.6</v>
      </c>
      <c r="C131" s="77">
        <v>-7.2916666699999994E-2</v>
      </c>
      <c r="D131" s="15">
        <v>34.6</v>
      </c>
      <c r="E131" s="32">
        <f t="shared" ref="E131:E134" si="66">IF(ISNUMBER(D131), (D131 - $B131) / $B131, "")</f>
        <v>-2.8089887640449437E-2</v>
      </c>
      <c r="F131" s="18">
        <f>IF(ISNUMBER(D131), $B145 * E131, "")</f>
        <v>-4213.4831460674159</v>
      </c>
      <c r="G131" s="31">
        <v>35.9</v>
      </c>
      <c r="H131" s="32">
        <f t="shared" ref="H131:H134" si="67">IF(ISNUMBER(G131), (G131 - $B131) / $B131, "")</f>
        <v>8.4269662921347514E-3</v>
      </c>
      <c r="I131" s="101">
        <f>IF(ISNUMBER(G131), $B145 * H131, "")</f>
        <v>1264.0449438202127</v>
      </c>
      <c r="J131" s="15">
        <v>35.1</v>
      </c>
      <c r="K131" s="32">
        <f t="shared" ref="K131:K134" si="68">IF(ISNUMBER(J131), (J131 - $B131) / $B131, "")</f>
        <v>-1.4044943820224719E-2</v>
      </c>
      <c r="L131" s="18">
        <f>IF(ISNUMBER(J131), $B145 * K131, "")</f>
        <v>-2106.7415730337079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4"/>
      <c r="R131" s="174"/>
      <c r="S131" s="174"/>
    </row>
    <row r="132" spans="1:19" ht="17.25" thickBot="1">
      <c r="A132" s="128" t="s">
        <v>214</v>
      </c>
      <c r="B132" s="129">
        <v>23.5</v>
      </c>
      <c r="C132" s="77">
        <v>-7.8431372499999999E-2</v>
      </c>
      <c r="D132" s="15">
        <v>21.6</v>
      </c>
      <c r="E132" s="32">
        <f t="shared" si="66"/>
        <v>-8.085106382978717E-2</v>
      </c>
      <c r="F132" s="18">
        <f>IF(ISNUMBER(D132), $B145 * E132, "")</f>
        <v>-12127.659574468076</v>
      </c>
      <c r="G132" s="31">
        <v>22.3</v>
      </c>
      <c r="H132" s="32">
        <f t="shared" si="67"/>
        <v>-5.1063829787234012E-2</v>
      </c>
      <c r="I132" s="101">
        <f>IF(ISNUMBER(G132), $B145 * H132, "")</f>
        <v>-7659.5744680851021</v>
      </c>
      <c r="J132" s="15">
        <v>21.9</v>
      </c>
      <c r="K132" s="32">
        <f t="shared" si="68"/>
        <v>-6.808510638297878E-2</v>
      </c>
      <c r="L132" s="18">
        <f>IF(ISNUMBER(J132), $B145 * K132, "")</f>
        <v>-10212.765957446816</v>
      </c>
      <c r="M132" s="31"/>
      <c r="N132" s="32" t="str">
        <f t="shared" si="69"/>
        <v/>
      </c>
      <c r="O132" s="18" t="str">
        <f>IF(ISNUMBER(M132), $B145 * N132, "")</f>
        <v/>
      </c>
      <c r="Q132" s="174"/>
      <c r="R132" s="174"/>
      <c r="S132" s="174"/>
    </row>
    <row r="133" spans="1:19" ht="17.25" thickBot="1">
      <c r="A133" s="128" t="s">
        <v>172</v>
      </c>
      <c r="B133" s="129">
        <v>26.5</v>
      </c>
      <c r="C133" s="77">
        <v>-7.9861111100000007E-2</v>
      </c>
      <c r="D133" s="15">
        <v>25.1</v>
      </c>
      <c r="E133" s="32">
        <f t="shared" si="66"/>
        <v>-5.283018867924523E-2</v>
      </c>
      <c r="F133" s="18">
        <f>IF(ISNUMBER(D133), $B145 * E133, "")</f>
        <v>-7924.5283018867849</v>
      </c>
      <c r="G133" s="31">
        <v>25.3</v>
      </c>
      <c r="H133" s="32">
        <f t="shared" si="67"/>
        <v>-4.5283018867924504E-2</v>
      </c>
      <c r="I133" s="101">
        <f>IF(ISNUMBER(G133), $B145 * H133, "")</f>
        <v>-6792.4528301886758</v>
      </c>
      <c r="J133" s="15">
        <v>25.3</v>
      </c>
      <c r="K133" s="32">
        <f t="shared" si="68"/>
        <v>-4.5283018867924504E-2</v>
      </c>
      <c r="L133" s="18">
        <f>IF(ISNUMBER(J133), $B145 * K133, "")</f>
        <v>-6792.4528301886758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3" t="s">
        <v>228</v>
      </c>
      <c r="B134" s="134">
        <v>19.5</v>
      </c>
      <c r="C134" s="79">
        <v>-8.0188679200000001E-2</v>
      </c>
      <c r="D134" s="24">
        <v>18</v>
      </c>
      <c r="E134" s="25">
        <f t="shared" si="66"/>
        <v>-7.6923076923076927E-2</v>
      </c>
      <c r="F134" s="104">
        <f>IF(ISNUMBER(D134), $B145 * E134, "")</f>
        <v>-11538.461538461539</v>
      </c>
      <c r="G134" s="102">
        <v>18.600000000000001</v>
      </c>
      <c r="H134" s="25">
        <f t="shared" si="67"/>
        <v>-4.615384615384608E-2</v>
      </c>
      <c r="I134" s="103">
        <f>IF(ISNUMBER(G134), $B145 * H134, "")</f>
        <v>-6923.076923076912</v>
      </c>
      <c r="J134" s="24">
        <v>18.3</v>
      </c>
      <c r="K134" s="25">
        <f t="shared" si="68"/>
        <v>-6.15384615384615E-2</v>
      </c>
      <c r="L134" s="104">
        <f>IF(ISNUMBER(J134), $B145 * K134, "")</f>
        <v>-9230.769230769225</v>
      </c>
      <c r="M134" s="102"/>
      <c r="N134" s="25" t="str">
        <f t="shared" si="69"/>
        <v/>
      </c>
      <c r="O134" s="104" t="str">
        <f>IF(ISNUMBER(M134), $B145 * N134, "")</f>
        <v/>
      </c>
      <c r="Q134" s="175"/>
      <c r="R134" s="176"/>
      <c r="S134" s="177"/>
    </row>
    <row r="135" spans="1:19">
      <c r="A135" s="126" t="s">
        <v>222</v>
      </c>
      <c r="B135" s="127">
        <v>19.3</v>
      </c>
      <c r="C135" s="76">
        <v>-8.0952381000000004E-2</v>
      </c>
      <c r="D135" s="13">
        <v>18</v>
      </c>
      <c r="E135" s="14">
        <f>IF(ISNUMBER(D135), (D135 - $B135) / $B135, "")</f>
        <v>-6.7357512953367907E-2</v>
      </c>
      <c r="F135" s="16">
        <f>IF(ISNUMBER(D135), $B145 * E135, "")</f>
        <v>-10103.626943005185</v>
      </c>
      <c r="G135" s="29">
        <v>18.7</v>
      </c>
      <c r="H135" s="14">
        <f>IF(ISNUMBER(G135), (G135 - $B135) / $B135, "")</f>
        <v>-3.1088082901554476E-2</v>
      </c>
      <c r="I135" s="100">
        <f>IF(ISNUMBER(G135), $B145 * H135, "")</f>
        <v>-4663.2124352331712</v>
      </c>
      <c r="J135" s="13">
        <v>18.2</v>
      </c>
      <c r="K135" s="14">
        <f>IF(ISNUMBER(J135), (J135 - $B135) / $B135, "")</f>
        <v>-5.6994818652849812E-2</v>
      </c>
      <c r="L135" s="16">
        <f>IF(ISNUMBER(J135), $B145 * K135, "")</f>
        <v>-8549.2227979274721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8"/>
      <c r="R135" s="179"/>
      <c r="S135" s="180"/>
    </row>
    <row r="136" spans="1:19" ht="17.25" thickBot="1">
      <c r="A136" s="128" t="s">
        <v>236</v>
      </c>
      <c r="B136" s="129">
        <v>72.2</v>
      </c>
      <c r="C136" s="77">
        <v>-8.7231352700000001E-2</v>
      </c>
      <c r="D136" s="15">
        <v>67.7</v>
      </c>
      <c r="E136" s="32">
        <f t="shared" ref="E136:E139" si="70">IF(ISNUMBER(D136), (D136 - $B136) / $B136, "")</f>
        <v>-6.2326869806094178E-2</v>
      </c>
      <c r="F136" s="18">
        <f>IF(ISNUMBER(D136), $B145 * E136, "")</f>
        <v>-9349.0304709141274</v>
      </c>
      <c r="G136" s="31">
        <v>68.900000000000006</v>
      </c>
      <c r="H136" s="32">
        <f t="shared" ref="H136:H139" si="71">IF(ISNUMBER(G136), (G136 - $B136) / $B136, "")</f>
        <v>-4.5706371191135693E-2</v>
      </c>
      <c r="I136" s="101">
        <f>IF(ISNUMBER(G136), $B145 * H136, "")</f>
        <v>-6855.9556786703542</v>
      </c>
      <c r="J136" s="15">
        <v>68</v>
      </c>
      <c r="K136" s="32">
        <f t="shared" ref="K136:K139" si="72">IF(ISNUMBER(J136), (J136 - $B136) / $B136, "")</f>
        <v>-5.8171745152354605E-2</v>
      </c>
      <c r="L136" s="18">
        <f>IF(ISNUMBER(J136), $B145 * K136, "")</f>
        <v>-8725.7617728531914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81"/>
      <c r="R136" s="182"/>
      <c r="S136" s="183"/>
    </row>
    <row r="137" spans="1:19" ht="17.25" thickBot="1">
      <c r="A137" s="128" t="s">
        <v>218</v>
      </c>
      <c r="B137" s="129">
        <v>30.3</v>
      </c>
      <c r="C137" s="77">
        <v>-8.7349397600000003E-2</v>
      </c>
      <c r="D137" s="15">
        <v>28.1</v>
      </c>
      <c r="E137" s="32">
        <f t="shared" si="70"/>
        <v>-7.2607260726072584E-2</v>
      </c>
      <c r="F137" s="18">
        <f>IF(ISNUMBER(D137), $B145 * E137, "")</f>
        <v>-10891.089108910888</v>
      </c>
      <c r="G137" s="31">
        <v>28.7</v>
      </c>
      <c r="H137" s="32">
        <f t="shared" si="71"/>
        <v>-5.2805280528052848E-2</v>
      </c>
      <c r="I137" s="101">
        <f>IF(ISNUMBER(G137), $B145 * H137, "")</f>
        <v>-7920.7920792079267</v>
      </c>
      <c r="J137" s="15">
        <v>28.4</v>
      </c>
      <c r="K137" s="32">
        <f t="shared" si="72"/>
        <v>-6.2706270627062771E-2</v>
      </c>
      <c r="L137" s="18">
        <f>IF(ISNUMBER(J137), $B145 * K137, "")</f>
        <v>-9405.9405940594152</v>
      </c>
      <c r="M137" s="31"/>
      <c r="N137" s="32" t="str">
        <f t="shared" si="73"/>
        <v/>
      </c>
      <c r="O137" s="18" t="str">
        <f>IF(ISNUMBER(M137), $B145 * N137, "")</f>
        <v/>
      </c>
      <c r="Q137" s="174"/>
      <c r="R137" s="174"/>
      <c r="S137" s="174"/>
    </row>
    <row r="138" spans="1:19" ht="17.25" thickBot="1">
      <c r="A138" s="128" t="s">
        <v>186</v>
      </c>
      <c r="B138" s="129">
        <v>27.1</v>
      </c>
      <c r="C138" s="77">
        <v>-8.7542087500000004E-2</v>
      </c>
      <c r="D138" s="15">
        <v>25.5</v>
      </c>
      <c r="E138" s="32">
        <f t="shared" si="70"/>
        <v>-5.9040590405904106E-2</v>
      </c>
      <c r="F138" s="18">
        <f>IF(ISNUMBER(D138), $B145 * E138, "")</f>
        <v>-8856.0885608856152</v>
      </c>
      <c r="G138" s="31">
        <v>25.7</v>
      </c>
      <c r="H138" s="32">
        <f t="shared" si="71"/>
        <v>-5.1660516605166129E-2</v>
      </c>
      <c r="I138" s="101">
        <f>IF(ISNUMBER(G138), $B145 * H138, "")</f>
        <v>-7749.0774907749192</v>
      </c>
      <c r="J138" s="15">
        <v>25.2</v>
      </c>
      <c r="K138" s="32">
        <f t="shared" si="72"/>
        <v>-7.0110701107011147E-2</v>
      </c>
      <c r="L138" s="18">
        <f>IF(ISNUMBER(J138), $B145 * K138, "")</f>
        <v>-10516.605166051671</v>
      </c>
      <c r="M138" s="31"/>
      <c r="N138" s="32" t="str">
        <f t="shared" si="73"/>
        <v/>
      </c>
      <c r="O138" s="18" t="str">
        <f>IF(ISNUMBER(M138), $B145 * N138, "")</f>
        <v/>
      </c>
      <c r="Q138" s="184"/>
      <c r="R138" s="184"/>
      <c r="S138" s="184"/>
    </row>
    <row r="139" spans="1:19" ht="17.25" thickBot="1">
      <c r="A139" s="130" t="s">
        <v>198</v>
      </c>
      <c r="B139" s="131">
        <v>29.9</v>
      </c>
      <c r="C139" s="78">
        <v>-8.84146341E-2</v>
      </c>
      <c r="D139" s="20">
        <v>28.2</v>
      </c>
      <c r="E139" s="21">
        <f t="shared" si="70"/>
        <v>-5.6856187290969876E-2</v>
      </c>
      <c r="F139" s="22">
        <f>IF(ISNUMBER(D139), $B145 * E139, "")</f>
        <v>-8528.4280936454816</v>
      </c>
      <c r="G139" s="30">
        <v>28.5</v>
      </c>
      <c r="H139" s="21">
        <f t="shared" si="71"/>
        <v>-4.6822742474916343E-2</v>
      </c>
      <c r="I139" s="105">
        <f>IF(ISNUMBER(G139), $B145 * H139, "")</f>
        <v>-7023.411371237451</v>
      </c>
      <c r="J139" s="20">
        <v>28.2</v>
      </c>
      <c r="K139" s="21">
        <f t="shared" si="72"/>
        <v>-5.6856187290969876E-2</v>
      </c>
      <c r="L139" s="22">
        <f>IF(ISNUMBER(J139), $B145 * K139, "")</f>
        <v>-8528.4280936454816</v>
      </c>
      <c r="M139" s="30"/>
      <c r="N139" s="21" t="str">
        <f t="shared" si="73"/>
        <v/>
      </c>
      <c r="O139" s="22" t="str">
        <f>IF(ISNUMBER(M139), $B145 * N139, "")</f>
        <v/>
      </c>
      <c r="Q139" s="184"/>
      <c r="R139" s="184"/>
      <c r="S139" s="184"/>
    </row>
    <row r="140" spans="1:19" ht="17.25" thickBot="1">
      <c r="A140" s="128" t="s">
        <v>152</v>
      </c>
      <c r="B140" s="132">
        <v>45.6</v>
      </c>
      <c r="C140" s="80">
        <v>-8.9820359299999999E-2</v>
      </c>
      <c r="D140" s="106">
        <v>45.8</v>
      </c>
      <c r="E140" s="107">
        <f>IF(ISNUMBER(D140), (D140 - $B140) / $B140, "")</f>
        <v>4.3859649122806078E-3</v>
      </c>
      <c r="F140" s="108">
        <f>IF(ISNUMBER(D140), $B145 * E140, "")</f>
        <v>657.89473684209122</v>
      </c>
      <c r="G140" s="109">
        <v>47.6</v>
      </c>
      <c r="H140" s="107">
        <f>IF(ISNUMBER(G140), (G140 - $B140) / $B140, "")</f>
        <v>4.3859649122807015E-2</v>
      </c>
      <c r="I140" s="110">
        <f>IF(ISNUMBER(G140), $B145 * H140, "")</f>
        <v>6578.9473684210525</v>
      </c>
      <c r="J140" s="106">
        <v>48.1</v>
      </c>
      <c r="K140" s="107">
        <f>IF(ISNUMBER(J140), (J140 - $B140) / $B140, "")</f>
        <v>5.4824561403508769E-2</v>
      </c>
      <c r="L140" s="108">
        <f>IF(ISNUMBER(J140), $B145 * K140, "")</f>
        <v>8223.6842105263149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4"/>
      <c r="R140" s="174"/>
      <c r="S140" s="174"/>
    </row>
    <row r="141" spans="1:19" ht="17.25" thickBot="1">
      <c r="A141" s="128" t="s">
        <v>126</v>
      </c>
      <c r="B141" s="129">
        <v>63.1</v>
      </c>
      <c r="C141" s="77">
        <v>-9.5988538700000001E-2</v>
      </c>
      <c r="D141" s="15">
        <v>60.1</v>
      </c>
      <c r="E141" s="32">
        <f t="shared" ref="E141:E144" si="74">IF(ISNUMBER(D141), (D141 - $B141) / $B141, "")</f>
        <v>-4.7543581616481777E-2</v>
      </c>
      <c r="F141" s="18">
        <f>IF(ISNUMBER(D141), $B145 * E141, "")</f>
        <v>-7131.5372424722664</v>
      </c>
      <c r="G141" s="31">
        <v>62.1</v>
      </c>
      <c r="H141" s="32">
        <f t="shared" ref="H141:H144" si="75">IF(ISNUMBER(G141), (G141 - $B141) / $B141, "")</f>
        <v>-1.5847860538827259E-2</v>
      </c>
      <c r="I141" s="101">
        <f>IF(ISNUMBER(G141), $B145 * H141, "")</f>
        <v>-2377.1790808240889</v>
      </c>
      <c r="J141" s="15">
        <v>63.8</v>
      </c>
      <c r="K141" s="32">
        <f t="shared" ref="K141:K144" si="76">IF(ISNUMBER(J141), (J141 - $B141) / $B141, "")</f>
        <v>1.1093502377179014E-2</v>
      </c>
      <c r="L141" s="18">
        <f>IF(ISNUMBER(J141), $B145 * K141, "")</f>
        <v>1664.0253565768521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4"/>
      <c r="R141" s="174"/>
      <c r="S141" s="174"/>
    </row>
    <row r="142" spans="1:19" ht="17.25" thickBot="1">
      <c r="A142" s="128"/>
      <c r="B142" s="129"/>
      <c r="C142" s="77"/>
      <c r="D142" s="15" t="s">
        <v>297</v>
      </c>
      <c r="E142" s="32" t="str">
        <f t="shared" si="74"/>
        <v/>
      </c>
      <c r="F142" s="18" t="str">
        <f>IF(ISNUMBER(D142), $B145 * E142, "")</f>
        <v/>
      </c>
      <c r="G142" s="31" t="s">
        <v>297</v>
      </c>
      <c r="H142" s="32" t="str">
        <f t="shared" si="75"/>
        <v/>
      </c>
      <c r="I142" s="101" t="str">
        <f>IF(ISNUMBER(G142), $B145 * H142, "")</f>
        <v/>
      </c>
      <c r="J142" s="15" t="s">
        <v>297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4"/>
      <c r="R142" s="174"/>
      <c r="S142" s="174"/>
    </row>
    <row r="143" spans="1:19">
      <c r="A143" s="128"/>
      <c r="B143" s="129"/>
      <c r="C143" s="77"/>
      <c r="D143" s="15" t="s">
        <v>297</v>
      </c>
      <c r="E143" s="32" t="str">
        <f t="shared" si="74"/>
        <v/>
      </c>
      <c r="F143" s="18" t="str">
        <f>IF(ISNUMBER(D143), $B145 * E143, "")</f>
        <v/>
      </c>
      <c r="G143" s="31" t="s">
        <v>297</v>
      </c>
      <c r="H143" s="32" t="str">
        <f t="shared" si="75"/>
        <v/>
      </c>
      <c r="I143" s="101" t="str">
        <f>IF(ISNUMBER(G143), $B145 * H143, "")</f>
        <v/>
      </c>
      <c r="J143" s="15" t="s">
        <v>297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3"/>
      <c r="R143" s="164"/>
      <c r="S143" s="165"/>
    </row>
    <row r="144" spans="1:19" ht="17.25" thickBot="1">
      <c r="A144" s="133"/>
      <c r="B144" s="134"/>
      <c r="C144" s="79"/>
      <c r="D144" s="24" t="s">
        <v>297</v>
      </c>
      <c r="E144" s="25" t="str">
        <f t="shared" si="74"/>
        <v/>
      </c>
      <c r="F144" s="104" t="str">
        <f>IF(ISNUMBER(D144), $B145 * E144, "")</f>
        <v/>
      </c>
      <c r="G144" s="102" t="s">
        <v>297</v>
      </c>
      <c r="H144" s="25" t="str">
        <f t="shared" si="75"/>
        <v/>
      </c>
      <c r="I144" s="103" t="str">
        <f>IF(ISNUMBER(G144), $B145 * H144, "")</f>
        <v/>
      </c>
      <c r="J144" s="24" t="s">
        <v>297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6"/>
      <c r="R144" s="167"/>
      <c r="S144" s="168"/>
    </row>
    <row r="145" spans="1:19" ht="17.25" thickBot="1">
      <c r="A145" s="135" t="s">
        <v>301</v>
      </c>
      <c r="B145" s="227">
        <f>$B$37</f>
        <v>150000</v>
      </c>
      <c r="C145" s="228"/>
      <c r="D145" s="26" t="s">
        <v>302</v>
      </c>
      <c r="E145" s="27">
        <f>IF(COUNT(E125:E144), SUM(E125:E144) / COUNT(E125:E144), 0)</f>
        <v>-5.3222116673736088E-2</v>
      </c>
      <c r="F145" s="28">
        <f>SUM(F125:F144)</f>
        <v>-135716.39751802705</v>
      </c>
      <c r="G145" s="26" t="s">
        <v>302</v>
      </c>
      <c r="H145" s="27">
        <f>IF(COUNT(H125:H144), SUM(H125:H144) / COUNT(H125:H144), 0)</f>
        <v>-2.5291649240085156E-2</v>
      </c>
      <c r="I145" s="28">
        <f>SUM(I125:I144)</f>
        <v>-64493.705562217161</v>
      </c>
      <c r="J145" s="26" t="s">
        <v>302</v>
      </c>
      <c r="K145" s="27">
        <f>IF(COUNT(K125:K144), SUM(K125:K144) / COUNT(K125:K144), 0)</f>
        <v>-3.8827939921505517E-2</v>
      </c>
      <c r="L145" s="28">
        <f>SUM(L125:L144)</f>
        <v>-99011.246799839064</v>
      </c>
      <c r="M145" s="26" t="s">
        <v>302</v>
      </c>
      <c r="N145" s="27">
        <f>IF(COUNT(N125:N144), SUM(N125:N144) / COUNT(N125:N144), 0)</f>
        <v>0</v>
      </c>
      <c r="O145" s="28">
        <f>SUM(O125:O144)</f>
        <v>0</v>
      </c>
      <c r="Q145" s="169"/>
      <c r="R145" s="170"/>
      <c r="S145" s="171"/>
    </row>
    <row r="147" spans="1:19" ht="17.25" thickBot="1"/>
    <row r="148" spans="1:19" ht="17.25" thickBot="1">
      <c r="A148" s="185" t="s">
        <v>289</v>
      </c>
      <c r="B148" s="186"/>
      <c r="C148" s="186"/>
      <c r="D148" s="186"/>
      <c r="E148" s="186"/>
      <c r="F148" s="186"/>
      <c r="G148" s="186"/>
      <c r="H148" s="186"/>
      <c r="I148" s="186"/>
      <c r="J148" s="186"/>
      <c r="K148" s="186"/>
      <c r="L148" s="186"/>
      <c r="M148" s="186"/>
      <c r="N148" s="186"/>
      <c r="O148" s="187"/>
      <c r="Q148" s="184"/>
      <c r="R148" s="184"/>
      <c r="S148" s="184"/>
    </row>
    <row r="149" spans="1:19" ht="17.25" thickBot="1">
      <c r="A149" s="153" t="s">
        <v>298</v>
      </c>
      <c r="B149" s="185" t="s">
        <v>49</v>
      </c>
      <c r="C149" s="187"/>
      <c r="D149" s="185" t="s">
        <v>58</v>
      </c>
      <c r="E149" s="186"/>
      <c r="F149" s="187"/>
      <c r="G149" s="188">
        <f>_xlfn.IFNA(VLOOKUP(B149, 현재가테이블!$B$2:$D$200, 2, FALSE), "-")</f>
        <v>67547000</v>
      </c>
      <c r="H149" s="189"/>
      <c r="I149" s="190"/>
      <c r="J149" s="185" t="s">
        <v>59</v>
      </c>
      <c r="K149" s="186"/>
      <c r="L149" s="187"/>
      <c r="M149" s="191">
        <f>_xlfn.IFNA(VLOOKUP(B149, 현재가테이블!$B$2:$D$200, 3, FALSE), "-")</f>
        <v>1.0743838800000001E-2</v>
      </c>
      <c r="N149" s="192"/>
      <c r="O149" s="193"/>
      <c r="Q149" s="184"/>
      <c r="R149" s="184"/>
      <c r="S149" s="184"/>
    </row>
    <row r="150" spans="1:19" ht="17.25" thickBot="1">
      <c r="A150" s="229" t="s">
        <v>55</v>
      </c>
      <c r="B150" s="225" t="str">
        <f>TEXT($G$1, "[$-ko-KR]yyyy-mm-dd(ddd) ") &amp; "오전 00:00"</f>
        <v>2021-05-05(수) 오전 00:00</v>
      </c>
      <c r="C150" s="226"/>
      <c r="D150" s="198" t="str">
        <f>TEXT($G$1, "[$-ko-KR]yyyy-mm-dd(ddd) ") &amp; "오후 14:00"</f>
        <v>2021-05-05(수) 오후 14:00</v>
      </c>
      <c r="E150" s="199"/>
      <c r="F150" s="200"/>
      <c r="G150" s="198" t="str">
        <f>TEXT($G$1, "[$-ko-KR]yyyy-mm-dd(ddd) ") &amp; "오후 19:00"</f>
        <v>2021-05-05(수) 오후 19:00</v>
      </c>
      <c r="H150" s="199"/>
      <c r="I150" s="200"/>
      <c r="J150" s="198" t="str">
        <f>TEXT($G$1, "[$-ko-KR]yyyy-mm-dd(ddd) ") &amp; "오후 21:00"</f>
        <v>2021-05-05(수) 오후 21:00</v>
      </c>
      <c r="K150" s="199"/>
      <c r="L150" s="200"/>
      <c r="M150" s="198" t="str">
        <f>TEXT($G$1+1, "[$-ko-KR]yyyy-mm-dd(ddd) ") &amp; "오전 00:00"</f>
        <v>2021-05-06(목) 오전 00:00</v>
      </c>
      <c r="N150" s="199"/>
      <c r="O150" s="200"/>
      <c r="Q150" s="184"/>
      <c r="R150" s="184"/>
      <c r="S150" s="184"/>
    </row>
    <row r="151" spans="1:19" ht="17.25" thickBot="1">
      <c r="A151" s="230"/>
      <c r="B151" s="124" t="s">
        <v>58</v>
      </c>
      <c r="C151" s="125" t="s">
        <v>59</v>
      </c>
      <c r="D151" s="2" t="s">
        <v>58</v>
      </c>
      <c r="E151" s="10" t="s">
        <v>299</v>
      </c>
      <c r="F151" s="11" t="s">
        <v>300</v>
      </c>
      <c r="G151" s="156" t="s">
        <v>58</v>
      </c>
      <c r="H151" s="157" t="s">
        <v>299</v>
      </c>
      <c r="I151" s="158" t="s">
        <v>300</v>
      </c>
      <c r="J151" s="10" t="s">
        <v>58</v>
      </c>
      <c r="K151" s="10" t="s">
        <v>299</v>
      </c>
      <c r="L151" s="115" t="s">
        <v>300</v>
      </c>
      <c r="M151" s="2" t="s">
        <v>58</v>
      </c>
      <c r="N151" s="10" t="s">
        <v>299</v>
      </c>
      <c r="O151" s="66" t="s">
        <v>300</v>
      </c>
      <c r="Q151" s="174"/>
      <c r="R151" s="174"/>
      <c r="S151" s="174"/>
    </row>
    <row r="152" spans="1:19" ht="17.25" thickBot="1">
      <c r="A152" s="126" t="s">
        <v>182</v>
      </c>
      <c r="B152" s="127">
        <v>469</v>
      </c>
      <c r="C152" s="76">
        <v>-8.0392156899999997E-2</v>
      </c>
      <c r="D152" s="13">
        <v>461</v>
      </c>
      <c r="E152" s="14">
        <f>IF(ISNUMBER(D152), (D152 - $B152) / $B152, "")</f>
        <v>-1.7057569296375266E-2</v>
      </c>
      <c r="F152" s="16">
        <f>IF(ISNUMBER(D152), $B172 * E152, "")</f>
        <v>-2558.6353944562898</v>
      </c>
      <c r="G152" s="29">
        <v>463</v>
      </c>
      <c r="H152" s="14">
        <f>IF(ISNUMBER(G152), (G152 - $B152) / $B152, "")</f>
        <v>-1.279317697228145E-2</v>
      </c>
      <c r="I152" s="100">
        <f>IF(ISNUMBER(G152), $B172 * H152, "")</f>
        <v>-1918.9765458422175</v>
      </c>
      <c r="J152" s="13">
        <v>461</v>
      </c>
      <c r="K152" s="14">
        <f>IF(ISNUMBER(J152), (J152 - $B152) / $B152, "")</f>
        <v>-1.7057569296375266E-2</v>
      </c>
      <c r="L152" s="16">
        <f>IF(ISNUMBER(J152), $B172 * K152, "")</f>
        <v>-2558.6353944562898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4"/>
      <c r="R152" s="184"/>
      <c r="S152" s="184"/>
    </row>
    <row r="153" spans="1:19" ht="17.25" thickBot="1">
      <c r="A153" s="128" t="s">
        <v>174</v>
      </c>
      <c r="B153" s="129">
        <v>284</v>
      </c>
      <c r="C153" s="77">
        <v>-8.0906148900000002E-2</v>
      </c>
      <c r="D153" s="15">
        <v>272</v>
      </c>
      <c r="E153" s="32">
        <f t="shared" ref="E153:E156" si="78">IF(ISNUMBER(D153), (D153 - $B153) / $B153, "")</f>
        <v>-4.2253521126760563E-2</v>
      </c>
      <c r="F153" s="18">
        <f>IF(ISNUMBER(D153), $B172 * E153, "")</f>
        <v>-6338.0281690140846</v>
      </c>
      <c r="G153" s="31">
        <v>276</v>
      </c>
      <c r="H153" s="32">
        <f t="shared" ref="H153:H156" si="79">IF(ISNUMBER(G153), (G153 - $B153) / $B153, "")</f>
        <v>-2.8169014084507043E-2</v>
      </c>
      <c r="I153" s="101">
        <f>IF(ISNUMBER(G153), $B172 * H153, "")</f>
        <v>-4225.3521126760561</v>
      </c>
      <c r="J153" s="15">
        <v>272</v>
      </c>
      <c r="K153" s="32">
        <f t="shared" ref="K153:K156" si="80">IF(ISNUMBER(J153), (J153 - $B153) / $B153, "")</f>
        <v>-4.2253521126760563E-2</v>
      </c>
      <c r="L153" s="18">
        <f>IF(ISNUMBER(J153), $B172 * K153, "")</f>
        <v>-6338.0281690140846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4"/>
      <c r="R153" s="184"/>
      <c r="S153" s="184"/>
    </row>
    <row r="154" spans="1:19" ht="17.25" thickBot="1">
      <c r="A154" s="128" t="s">
        <v>168</v>
      </c>
      <c r="B154" s="129">
        <v>204</v>
      </c>
      <c r="C154" s="77">
        <v>-8.1081081099999994E-2</v>
      </c>
      <c r="D154" s="15">
        <v>204</v>
      </c>
      <c r="E154" s="32">
        <f t="shared" si="78"/>
        <v>0</v>
      </c>
      <c r="F154" s="18">
        <f>IF(ISNUMBER(D154), $B172 * E154, "")</f>
        <v>0</v>
      </c>
      <c r="G154" s="31">
        <v>205</v>
      </c>
      <c r="H154" s="32">
        <f t="shared" si="79"/>
        <v>4.9019607843137254E-3</v>
      </c>
      <c r="I154" s="101">
        <f>IF(ISNUMBER(G154), $B172 * H154, "")</f>
        <v>735.29411764705878</v>
      </c>
      <c r="J154" s="15">
        <v>208</v>
      </c>
      <c r="K154" s="32">
        <f t="shared" si="80"/>
        <v>1.9607843137254902E-2</v>
      </c>
      <c r="L154" s="18">
        <f>IF(ISNUMBER(J154), $B172 * K154, "")</f>
        <v>2941.1764705882351</v>
      </c>
      <c r="M154" s="31"/>
      <c r="N154" s="32" t="str">
        <f t="shared" si="81"/>
        <v/>
      </c>
      <c r="O154" s="18" t="str">
        <f>IF(ISNUMBER(M154), $B172 * N154, "")</f>
        <v/>
      </c>
      <c r="Q154" s="174"/>
      <c r="R154" s="174"/>
      <c r="S154" s="174"/>
    </row>
    <row r="155" spans="1:19" ht="17.25" thickBot="1">
      <c r="A155" s="128" t="s">
        <v>122</v>
      </c>
      <c r="B155" s="129">
        <v>124</v>
      </c>
      <c r="C155" s="77">
        <v>-8.1481481499999994E-2</v>
      </c>
      <c r="D155" s="15">
        <v>114</v>
      </c>
      <c r="E155" s="32">
        <f t="shared" si="78"/>
        <v>-8.0645161290322578E-2</v>
      </c>
      <c r="F155" s="18">
        <f>IF(ISNUMBER(D155), $B172 * E155, "")</f>
        <v>-12096.774193548386</v>
      </c>
      <c r="G155" s="31">
        <v>116</v>
      </c>
      <c r="H155" s="32">
        <f t="shared" si="79"/>
        <v>-6.4516129032258063E-2</v>
      </c>
      <c r="I155" s="101">
        <f>IF(ISNUMBER(G155), $B172 * H155, "")</f>
        <v>-9677.4193548387102</v>
      </c>
      <c r="J155" s="15">
        <v>114</v>
      </c>
      <c r="K155" s="32">
        <f t="shared" si="80"/>
        <v>-8.0645161290322578E-2</v>
      </c>
      <c r="L155" s="18">
        <f>IF(ISNUMBER(J155), $B172 * K155, "")</f>
        <v>-12096.774193548386</v>
      </c>
      <c r="M155" s="31"/>
      <c r="N155" s="32" t="str">
        <f t="shared" si="81"/>
        <v/>
      </c>
      <c r="O155" s="18" t="str">
        <f>IF(ISNUMBER(M155), $B172 * N155, "")</f>
        <v/>
      </c>
      <c r="Q155" s="174"/>
      <c r="R155" s="174"/>
      <c r="S155" s="174"/>
    </row>
    <row r="156" spans="1:19" ht="17.25" thickBot="1">
      <c r="A156" s="130" t="s">
        <v>258</v>
      </c>
      <c r="B156" s="131">
        <v>747</v>
      </c>
      <c r="C156" s="78">
        <v>-8.2309582300000003E-2</v>
      </c>
      <c r="D156" s="20">
        <v>716</v>
      </c>
      <c r="E156" s="21">
        <f t="shared" si="78"/>
        <v>-4.1499330655957165E-2</v>
      </c>
      <c r="F156" s="22">
        <f>IF(ISNUMBER(D156), $B172 * E156, "")</f>
        <v>-6224.8995983935747</v>
      </c>
      <c r="G156" s="30">
        <v>718</v>
      </c>
      <c r="H156" s="21">
        <f t="shared" si="79"/>
        <v>-3.8821954484605084E-2</v>
      </c>
      <c r="I156" s="105">
        <f>IF(ISNUMBER(G156), $B172 * H156, "")</f>
        <v>-5823.2931726907627</v>
      </c>
      <c r="J156" s="20">
        <v>715</v>
      </c>
      <c r="K156" s="21">
        <f t="shared" si="80"/>
        <v>-4.2838018741633198E-2</v>
      </c>
      <c r="L156" s="22">
        <f>IF(ISNUMBER(J156), $B172 * K156, "")</f>
        <v>-6425.7028112449798</v>
      </c>
      <c r="M156" s="30"/>
      <c r="N156" s="21" t="str">
        <f t="shared" si="81"/>
        <v/>
      </c>
      <c r="O156" s="22" t="str">
        <f>IF(ISNUMBER(M156), $B172 * N156, "")</f>
        <v/>
      </c>
      <c r="Q156" s="174"/>
      <c r="R156" s="174"/>
      <c r="S156" s="174"/>
    </row>
    <row r="157" spans="1:19" ht="17.25" thickBot="1">
      <c r="A157" s="128" t="s">
        <v>170</v>
      </c>
      <c r="B157" s="132">
        <v>519</v>
      </c>
      <c r="C157" s="80">
        <v>-8.3038869299999998E-2</v>
      </c>
      <c r="D157" s="106">
        <v>503</v>
      </c>
      <c r="E157" s="107">
        <f>IF(ISNUMBER(D157), (D157 - $B157) / $B157, "")</f>
        <v>-3.0828516377649325E-2</v>
      </c>
      <c r="F157" s="108">
        <f>IF(ISNUMBER(D157), $B172 * E157, "")</f>
        <v>-4624.277456647399</v>
      </c>
      <c r="G157" s="109">
        <v>507</v>
      </c>
      <c r="H157" s="107">
        <f>IF(ISNUMBER(G157), (G157 - $B157) / $B157, "")</f>
        <v>-2.3121387283236993E-2</v>
      </c>
      <c r="I157" s="110">
        <f>IF(ISNUMBER(G157), $B172 * H157, "")</f>
        <v>-3468.2080924855491</v>
      </c>
      <c r="J157" s="106">
        <v>500</v>
      </c>
      <c r="K157" s="107">
        <f>IF(ISNUMBER(J157), (J157 - $B157) / $B157, "")</f>
        <v>-3.6608863198458574E-2</v>
      </c>
      <c r="L157" s="108">
        <f>IF(ISNUMBER(J157), $B172 * K157, "")</f>
        <v>-5491.3294797687859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4"/>
      <c r="R157" s="174"/>
      <c r="S157" s="174"/>
    </row>
    <row r="158" spans="1:19" ht="17.25" thickBot="1">
      <c r="A158" s="128" t="s">
        <v>232</v>
      </c>
      <c r="B158" s="129">
        <v>185</v>
      </c>
      <c r="C158" s="77">
        <v>-8.4158415799999997E-2</v>
      </c>
      <c r="D158" s="15">
        <v>172</v>
      </c>
      <c r="E158" s="32">
        <f t="shared" ref="E158:E161" si="82">IF(ISNUMBER(D158), (D158 - $B158) / $B158, "")</f>
        <v>-7.0270270270270274E-2</v>
      </c>
      <c r="F158" s="18">
        <f>IF(ISNUMBER(D158), $B172 * E158, "")</f>
        <v>-10540.540540540542</v>
      </c>
      <c r="G158" s="31">
        <v>174</v>
      </c>
      <c r="H158" s="32">
        <f t="shared" ref="H158:H161" si="83">IF(ISNUMBER(G158), (G158 - $B158) / $B158, "")</f>
        <v>-5.9459459459459463E-2</v>
      </c>
      <c r="I158" s="101">
        <f>IF(ISNUMBER(G158), $B172 * H158, "")</f>
        <v>-8918.9189189189201</v>
      </c>
      <c r="J158" s="15">
        <v>171</v>
      </c>
      <c r="K158" s="32">
        <f t="shared" ref="K158:K161" si="84">IF(ISNUMBER(J158), (J158 - $B158) / $B158, "")</f>
        <v>-7.567567567567568E-2</v>
      </c>
      <c r="L158" s="18">
        <f>IF(ISNUMBER(J158), $B172 * K158, "")</f>
        <v>-11351.351351351352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4"/>
      <c r="R158" s="174"/>
      <c r="S158" s="174"/>
    </row>
    <row r="159" spans="1:19" ht="17.25" thickBot="1">
      <c r="A159" s="128" t="s">
        <v>216</v>
      </c>
      <c r="B159" s="129">
        <v>457</v>
      </c>
      <c r="C159" s="77">
        <v>-8.4168336699999999E-2</v>
      </c>
      <c r="D159" s="15">
        <v>440</v>
      </c>
      <c r="E159" s="32">
        <f t="shared" si="82"/>
        <v>-3.7199124726477024E-2</v>
      </c>
      <c r="F159" s="18">
        <f>IF(ISNUMBER(D159), $B172 * E159, "")</f>
        <v>-5579.868708971554</v>
      </c>
      <c r="G159" s="31">
        <v>445</v>
      </c>
      <c r="H159" s="32">
        <f t="shared" si="83"/>
        <v>-2.6258205689277898E-2</v>
      </c>
      <c r="I159" s="101">
        <f>IF(ISNUMBER(G159), $B172 * H159, "")</f>
        <v>-3938.7308533916848</v>
      </c>
      <c r="J159" s="15">
        <v>437</v>
      </c>
      <c r="K159" s="32">
        <f t="shared" si="84"/>
        <v>-4.3763676148796497E-2</v>
      </c>
      <c r="L159" s="18">
        <f>IF(ISNUMBER(J159), $B172 * K159, "")</f>
        <v>-6564.551422319475</v>
      </c>
      <c r="M159" s="31"/>
      <c r="N159" s="32" t="str">
        <f t="shared" si="85"/>
        <v/>
      </c>
      <c r="O159" s="18" t="str">
        <f>IF(ISNUMBER(M159), $B172 * N159, "")</f>
        <v/>
      </c>
      <c r="Q159" s="174"/>
      <c r="R159" s="174"/>
      <c r="S159" s="174"/>
    </row>
    <row r="160" spans="1:19" ht="17.25" thickBot="1">
      <c r="A160" s="128" t="s">
        <v>208</v>
      </c>
      <c r="B160" s="129">
        <v>511</v>
      </c>
      <c r="C160" s="77">
        <v>-8.4229390700000004E-2</v>
      </c>
      <c r="D160" s="15">
        <v>487</v>
      </c>
      <c r="E160" s="32">
        <f t="shared" si="82"/>
        <v>-4.6966731898238745E-2</v>
      </c>
      <c r="F160" s="18">
        <f>IF(ISNUMBER(D160), $B172 * E160, "")</f>
        <v>-7045.009784735812</v>
      </c>
      <c r="G160" s="31">
        <v>500</v>
      </c>
      <c r="H160" s="32">
        <f t="shared" si="83"/>
        <v>-2.1526418786692758E-2</v>
      </c>
      <c r="I160" s="101">
        <f>IF(ISNUMBER(G160), $B172 * H160, "")</f>
        <v>-3228.9628180039135</v>
      </c>
      <c r="J160" s="15">
        <v>491</v>
      </c>
      <c r="K160" s="32">
        <f t="shared" si="84"/>
        <v>-3.9138943248532287E-2</v>
      </c>
      <c r="L160" s="18">
        <f>IF(ISNUMBER(J160), $B172 * K160, "")</f>
        <v>-5870.841487279843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3" t="s">
        <v>226</v>
      </c>
      <c r="B161" s="134">
        <v>521</v>
      </c>
      <c r="C161" s="79">
        <v>-8.4358523699999993E-2</v>
      </c>
      <c r="D161" s="24">
        <v>503</v>
      </c>
      <c r="E161" s="25">
        <f t="shared" si="82"/>
        <v>-3.4548944337811902E-2</v>
      </c>
      <c r="F161" s="104">
        <f>IF(ISNUMBER(D161), $B172 * E161, "")</f>
        <v>-5182.3416506717849</v>
      </c>
      <c r="G161" s="102">
        <v>504</v>
      </c>
      <c r="H161" s="25">
        <f t="shared" si="83"/>
        <v>-3.2629558541266791E-2</v>
      </c>
      <c r="I161" s="103">
        <f>IF(ISNUMBER(G161), $B172 * H161, "")</f>
        <v>-4894.4337811900186</v>
      </c>
      <c r="J161" s="24">
        <v>500</v>
      </c>
      <c r="K161" s="25">
        <f t="shared" si="84"/>
        <v>-4.0307101727447218E-2</v>
      </c>
      <c r="L161" s="104">
        <f>IF(ISNUMBER(J161), $B172 * K161, "")</f>
        <v>-6046.0652591170829</v>
      </c>
      <c r="M161" s="102"/>
      <c r="N161" s="25" t="str">
        <f t="shared" si="85"/>
        <v/>
      </c>
      <c r="O161" s="104" t="str">
        <f>IF(ISNUMBER(M161), $B172 * N161, "")</f>
        <v/>
      </c>
      <c r="Q161" s="175"/>
      <c r="R161" s="176"/>
      <c r="S161" s="177"/>
    </row>
    <row r="162" spans="1:19">
      <c r="A162" s="126" t="s">
        <v>260</v>
      </c>
      <c r="B162" s="127">
        <v>129</v>
      </c>
      <c r="C162" s="76">
        <v>-8.5106382999999994E-2</v>
      </c>
      <c r="D162" s="13">
        <v>120</v>
      </c>
      <c r="E162" s="14">
        <f>IF(ISNUMBER(D162), (D162 - $B162) / $B162, "")</f>
        <v>-6.9767441860465115E-2</v>
      </c>
      <c r="F162" s="16">
        <f>IF(ISNUMBER(D162), $B172 * E162, "")</f>
        <v>-10465.116279069767</v>
      </c>
      <c r="G162" s="29">
        <v>122</v>
      </c>
      <c r="H162" s="14">
        <f>IF(ISNUMBER(G162), (G162 - $B162) / $B162, "")</f>
        <v>-5.4263565891472867E-2</v>
      </c>
      <c r="I162" s="100">
        <f>IF(ISNUMBER(G162), $B172 * H162, "")</f>
        <v>-8139.5348837209303</v>
      </c>
      <c r="J162" s="13">
        <v>119</v>
      </c>
      <c r="K162" s="14">
        <f>IF(ISNUMBER(J162), (J162 - $B162) / $B162, "")</f>
        <v>-7.7519379844961239E-2</v>
      </c>
      <c r="L162" s="16">
        <f>IF(ISNUMBER(J162), $B172 * K162, "")</f>
        <v>-11627.906976744185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8"/>
      <c r="R162" s="179"/>
      <c r="S162" s="180"/>
    </row>
    <row r="163" spans="1:19" ht="17.25" thickBot="1">
      <c r="A163" s="128" t="s">
        <v>250</v>
      </c>
      <c r="B163" s="129">
        <v>224</v>
      </c>
      <c r="C163" s="77">
        <v>-8.5714285700000004E-2</v>
      </c>
      <c r="D163" s="15">
        <v>210</v>
      </c>
      <c r="E163" s="32">
        <f t="shared" ref="E163:E166" si="86">IF(ISNUMBER(D163), (D163 - $B163) / $B163, "")</f>
        <v>-6.25E-2</v>
      </c>
      <c r="F163" s="18">
        <f>IF(ISNUMBER(D163), $B172 * E163, "")</f>
        <v>-9375</v>
      </c>
      <c r="G163" s="31">
        <v>216</v>
      </c>
      <c r="H163" s="32">
        <f t="shared" ref="H163:H166" si="87">IF(ISNUMBER(G163), (G163 - $B163) / $B163, "")</f>
        <v>-3.5714285714285712E-2</v>
      </c>
      <c r="I163" s="101">
        <f>IF(ISNUMBER(G163), $B172 * H163, "")</f>
        <v>-5357.1428571428569</v>
      </c>
      <c r="J163" s="15">
        <v>212</v>
      </c>
      <c r="K163" s="32">
        <f t="shared" ref="K163:K166" si="88">IF(ISNUMBER(J163), (J163 - $B163) / $B163, "")</f>
        <v>-5.3571428571428568E-2</v>
      </c>
      <c r="L163" s="18">
        <f>IF(ISNUMBER(J163), $B172 * K163, "")</f>
        <v>-8035.7142857142853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81"/>
      <c r="R163" s="182"/>
      <c r="S163" s="183"/>
    </row>
    <row r="164" spans="1:19" ht="17.25" thickBot="1">
      <c r="A164" s="128" t="s">
        <v>264</v>
      </c>
      <c r="B164" s="129">
        <v>179</v>
      </c>
      <c r="C164" s="77">
        <v>-8.6734693900000007E-2</v>
      </c>
      <c r="D164" s="15">
        <v>171</v>
      </c>
      <c r="E164" s="32">
        <f t="shared" si="86"/>
        <v>-4.4692737430167599E-2</v>
      </c>
      <c r="F164" s="18">
        <f>IF(ISNUMBER(D164), $B172 * E164, "")</f>
        <v>-6703.9106145251399</v>
      </c>
      <c r="G164" s="31">
        <v>174</v>
      </c>
      <c r="H164" s="32">
        <f t="shared" si="87"/>
        <v>-2.7932960893854747E-2</v>
      </c>
      <c r="I164" s="101">
        <f>IF(ISNUMBER(G164), $B172 * H164, "")</f>
        <v>-4189.9441340782123</v>
      </c>
      <c r="J164" s="15">
        <v>171</v>
      </c>
      <c r="K164" s="32">
        <f t="shared" si="88"/>
        <v>-4.4692737430167599E-2</v>
      </c>
      <c r="L164" s="18">
        <f>IF(ISNUMBER(J164), $B172 * K164, "")</f>
        <v>-6703.9106145251399</v>
      </c>
      <c r="M164" s="31"/>
      <c r="N164" s="32" t="str">
        <f t="shared" si="89"/>
        <v/>
      </c>
      <c r="O164" s="18" t="str">
        <f>IF(ISNUMBER(M164), $B172 * N164, "")</f>
        <v/>
      </c>
      <c r="Q164" s="174"/>
      <c r="R164" s="174"/>
      <c r="S164" s="174"/>
    </row>
    <row r="165" spans="1:19" ht="17.25" thickBot="1">
      <c r="A165" s="128" t="s">
        <v>240</v>
      </c>
      <c r="B165" s="129">
        <v>196</v>
      </c>
      <c r="C165" s="77">
        <v>-8.8372092999999999E-2</v>
      </c>
      <c r="D165" s="15">
        <v>184</v>
      </c>
      <c r="E165" s="32">
        <f t="shared" si="86"/>
        <v>-6.1224489795918366E-2</v>
      </c>
      <c r="F165" s="18">
        <f>IF(ISNUMBER(D165), $B172 * E165, "")</f>
        <v>-9183.6734693877552</v>
      </c>
      <c r="G165" s="31">
        <v>190</v>
      </c>
      <c r="H165" s="32">
        <f t="shared" si="87"/>
        <v>-3.0612244897959183E-2</v>
      </c>
      <c r="I165" s="101">
        <f>IF(ISNUMBER(G165), $B172 * H165, "")</f>
        <v>-4591.8367346938776</v>
      </c>
      <c r="J165" s="15">
        <v>183</v>
      </c>
      <c r="K165" s="32">
        <f t="shared" si="88"/>
        <v>-6.6326530612244902E-2</v>
      </c>
      <c r="L165" s="18">
        <f>IF(ISNUMBER(J165), $B172 * K165, "")</f>
        <v>-9948.9795918367345</v>
      </c>
      <c r="M165" s="31"/>
      <c r="N165" s="32" t="str">
        <f t="shared" si="89"/>
        <v/>
      </c>
      <c r="O165" s="18" t="str">
        <f>IF(ISNUMBER(M165), $B172 * N165, "")</f>
        <v/>
      </c>
      <c r="Q165" s="184"/>
      <c r="R165" s="184"/>
      <c r="S165" s="184"/>
    </row>
    <row r="166" spans="1:19" ht="17.25" thickBot="1">
      <c r="A166" s="130" t="s">
        <v>112</v>
      </c>
      <c r="B166" s="131">
        <v>264</v>
      </c>
      <c r="C166" s="78">
        <v>-8.9655172399999997E-2</v>
      </c>
      <c r="D166" s="20">
        <v>252</v>
      </c>
      <c r="E166" s="21">
        <f t="shared" si="86"/>
        <v>-4.5454545454545456E-2</v>
      </c>
      <c r="F166" s="22">
        <f>IF(ISNUMBER(D166), $B172 * E166, "")</f>
        <v>-6818.181818181818</v>
      </c>
      <c r="G166" s="30">
        <v>256</v>
      </c>
      <c r="H166" s="21">
        <f t="shared" si="87"/>
        <v>-3.0303030303030304E-2</v>
      </c>
      <c r="I166" s="105">
        <f>IF(ISNUMBER(G166), $B172 * H166, "")</f>
        <v>-4545.454545454546</v>
      </c>
      <c r="J166" s="20">
        <v>252</v>
      </c>
      <c r="K166" s="21">
        <f t="shared" si="88"/>
        <v>-4.5454545454545456E-2</v>
      </c>
      <c r="L166" s="22">
        <f>IF(ISNUMBER(J166), $B172 * K166, "")</f>
        <v>-6818.181818181818</v>
      </c>
      <c r="M166" s="30"/>
      <c r="N166" s="21" t="str">
        <f t="shared" si="89"/>
        <v/>
      </c>
      <c r="O166" s="22" t="str">
        <f>IF(ISNUMBER(M166), $B172 * N166, "")</f>
        <v/>
      </c>
      <c r="Q166" s="184"/>
      <c r="R166" s="184"/>
      <c r="S166" s="184"/>
    </row>
    <row r="167" spans="1:19" ht="17.25" thickBot="1">
      <c r="A167" s="128" t="s">
        <v>54</v>
      </c>
      <c r="B167" s="132">
        <v>364</v>
      </c>
      <c r="C167" s="80">
        <v>-0.09</v>
      </c>
      <c r="D167" s="106">
        <v>360</v>
      </c>
      <c r="E167" s="107">
        <f>IF(ISNUMBER(D167), (D167 - $B167) / $B167, "")</f>
        <v>-1.098901098901099E-2</v>
      </c>
      <c r="F167" s="108">
        <f>IF(ISNUMBER(D167), $B172 * E167, "")</f>
        <v>-1648.3516483516485</v>
      </c>
      <c r="G167" s="109">
        <v>364</v>
      </c>
      <c r="H167" s="107">
        <f>IF(ISNUMBER(G167), (G167 - $B167) / $B167, "")</f>
        <v>0</v>
      </c>
      <c r="I167" s="110">
        <f>IF(ISNUMBER(G167), $B172 * H167, "")</f>
        <v>0</v>
      </c>
      <c r="J167" s="106">
        <v>363</v>
      </c>
      <c r="K167" s="107">
        <f>IF(ISNUMBER(J167), (J167 - $B167) / $B167, "")</f>
        <v>-2.7472527472527475E-3</v>
      </c>
      <c r="L167" s="108">
        <f>IF(ISNUMBER(J167), $B172 * K167, "")</f>
        <v>-412.08791208791212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4"/>
      <c r="R167" s="174"/>
      <c r="S167" s="174"/>
    </row>
    <row r="168" spans="1:19" ht="17.25" thickBot="1">
      <c r="A168" s="128" t="s">
        <v>202</v>
      </c>
      <c r="B168" s="129">
        <v>226</v>
      </c>
      <c r="C168" s="77">
        <v>-9.2369477899999997E-2</v>
      </c>
      <c r="D168" s="15">
        <v>213</v>
      </c>
      <c r="E168" s="32">
        <f t="shared" ref="E168:E171" si="90">IF(ISNUMBER(D168), (D168 - $B168) / $B168, "")</f>
        <v>-5.7522123893805309E-2</v>
      </c>
      <c r="F168" s="18">
        <f>IF(ISNUMBER(D168), $B172 * E168, "")</f>
        <v>-8628.3185840707956</v>
      </c>
      <c r="G168" s="31">
        <v>214</v>
      </c>
      <c r="H168" s="32">
        <f t="shared" ref="H168:H171" si="91">IF(ISNUMBER(G168), (G168 - $B168) / $B168, "")</f>
        <v>-5.3097345132743362E-2</v>
      </c>
      <c r="I168" s="101">
        <f>IF(ISNUMBER(G168), $B172 * H168, "")</f>
        <v>-7964.6017699115046</v>
      </c>
      <c r="J168" s="15">
        <v>209</v>
      </c>
      <c r="K168" s="32">
        <f t="shared" ref="K168:K171" si="92">IF(ISNUMBER(J168), (J168 - $B168) / $B168, "")</f>
        <v>-7.5221238938053103E-2</v>
      </c>
      <c r="L168" s="18">
        <f>IF(ISNUMBER(J168), $B172 * K168, "")</f>
        <v>-11283.185840707965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4"/>
      <c r="R168" s="174"/>
      <c r="S168" s="174"/>
    </row>
    <row r="169" spans="1:19" ht="17.25" thickBot="1">
      <c r="A169" s="128" t="s">
        <v>230</v>
      </c>
      <c r="B169" s="129">
        <v>185</v>
      </c>
      <c r="C169" s="77">
        <v>-9.3137254899999994E-2</v>
      </c>
      <c r="D169" s="15">
        <v>173</v>
      </c>
      <c r="E169" s="32">
        <f t="shared" si="90"/>
        <v>-6.4864864864864868E-2</v>
      </c>
      <c r="F169" s="18">
        <f>IF(ISNUMBER(D169), $B172 * E169, "")</f>
        <v>-9729.72972972973</v>
      </c>
      <c r="G169" s="31">
        <v>176</v>
      </c>
      <c r="H169" s="32">
        <f t="shared" si="91"/>
        <v>-4.8648648648648651E-2</v>
      </c>
      <c r="I169" s="101">
        <f>IF(ISNUMBER(G169), $B172 * H169, "")</f>
        <v>-7297.2972972972975</v>
      </c>
      <c r="J169" s="15">
        <v>174</v>
      </c>
      <c r="K169" s="32">
        <f t="shared" si="92"/>
        <v>-5.9459459459459463E-2</v>
      </c>
      <c r="L169" s="18">
        <f>IF(ISNUMBER(J169), $B172 * K169, "")</f>
        <v>-8918.9189189189201</v>
      </c>
      <c r="M169" s="31"/>
      <c r="N169" s="32" t="str">
        <f t="shared" si="93"/>
        <v/>
      </c>
      <c r="O169" s="18" t="str">
        <f>IF(ISNUMBER(M169), $B172 * N169, "")</f>
        <v/>
      </c>
      <c r="Q169" s="174"/>
      <c r="R169" s="174"/>
      <c r="S169" s="174"/>
    </row>
    <row r="170" spans="1:19">
      <c r="A170" s="128" t="s">
        <v>210</v>
      </c>
      <c r="B170" s="129">
        <v>203</v>
      </c>
      <c r="C170" s="77">
        <v>-9.375E-2</v>
      </c>
      <c r="D170" s="15">
        <v>190</v>
      </c>
      <c r="E170" s="32">
        <f t="shared" si="90"/>
        <v>-6.4039408866995079E-2</v>
      </c>
      <c r="F170" s="18">
        <f>IF(ISNUMBER(D170), $B172 * E170, "")</f>
        <v>-9605.9113300492627</v>
      </c>
      <c r="G170" s="31">
        <v>197</v>
      </c>
      <c r="H170" s="32">
        <f t="shared" si="91"/>
        <v>-2.9556650246305417E-2</v>
      </c>
      <c r="I170" s="101">
        <f>IF(ISNUMBER(G170), $B172 * H170, "")</f>
        <v>-4433.4975369458125</v>
      </c>
      <c r="J170" s="15">
        <v>192</v>
      </c>
      <c r="K170" s="32">
        <f t="shared" si="92"/>
        <v>-5.4187192118226604E-2</v>
      </c>
      <c r="L170" s="18">
        <f>IF(ISNUMBER(J170), $B172 * K170, "")</f>
        <v>-8128.0788177339909</v>
      </c>
      <c r="M170" s="31"/>
      <c r="N170" s="32" t="str">
        <f t="shared" si="93"/>
        <v/>
      </c>
      <c r="O170" s="18" t="str">
        <f>IF(ISNUMBER(M170), $B172 * N170, "")</f>
        <v/>
      </c>
      <c r="Q170" s="163"/>
      <c r="R170" s="164"/>
      <c r="S170" s="165"/>
    </row>
    <row r="171" spans="1:19" ht="17.25" thickBot="1">
      <c r="A171" s="133" t="s">
        <v>212</v>
      </c>
      <c r="B171" s="134">
        <v>160</v>
      </c>
      <c r="C171" s="79">
        <v>-9.6045197700000001E-2</v>
      </c>
      <c r="D171" s="24">
        <v>151</v>
      </c>
      <c r="E171" s="25">
        <f t="shared" si="90"/>
        <v>-5.6250000000000001E-2</v>
      </c>
      <c r="F171" s="104">
        <f>IF(ISNUMBER(D171), $B172 * E171, "")</f>
        <v>-8437.5</v>
      </c>
      <c r="G171" s="102">
        <v>155</v>
      </c>
      <c r="H171" s="25">
        <f t="shared" si="91"/>
        <v>-3.125E-2</v>
      </c>
      <c r="I171" s="103">
        <f>IF(ISNUMBER(G171), $B172 * H171, "")</f>
        <v>-4687.5</v>
      </c>
      <c r="J171" s="24">
        <v>151</v>
      </c>
      <c r="K171" s="25">
        <f t="shared" si="92"/>
        <v>-5.6250000000000001E-2</v>
      </c>
      <c r="L171" s="104">
        <f>IF(ISNUMBER(J171), $B172 * K171, "")</f>
        <v>-8437.5</v>
      </c>
      <c r="M171" s="102"/>
      <c r="N171" s="25" t="str">
        <f t="shared" si="93"/>
        <v/>
      </c>
      <c r="O171" s="104" t="str">
        <f>IF(ISNUMBER(M171), $B172 * N171, "")</f>
        <v/>
      </c>
      <c r="Q171" s="166"/>
      <c r="R171" s="167"/>
      <c r="S171" s="168"/>
    </row>
    <row r="172" spans="1:19" ht="17.25" thickBot="1">
      <c r="A172" s="135" t="s">
        <v>301</v>
      </c>
      <c r="B172" s="227">
        <f>$B$37</f>
        <v>150000</v>
      </c>
      <c r="C172" s="228"/>
      <c r="D172" s="26" t="s">
        <v>302</v>
      </c>
      <c r="E172" s="27">
        <f>IF(COUNT(E152:E171), SUM(E152:E171) / COUNT(E152:E171), 0)</f>
        <v>-4.6928689656781777E-2</v>
      </c>
      <c r="F172" s="28">
        <f>SUM(F152:F171)</f>
        <v>-140786.06897034537</v>
      </c>
      <c r="G172" s="26" t="s">
        <v>302</v>
      </c>
      <c r="H172" s="27">
        <f>IF(COUNT(H152:H171), SUM(H152:H171) / COUNT(H152:H171), 0)</f>
        <v>-3.2188603763878595E-2</v>
      </c>
      <c r="I172" s="28">
        <f>SUM(I152:I171)</f>
        <v>-96565.811291635808</v>
      </c>
      <c r="J172" s="26" t="s">
        <v>302</v>
      </c>
      <c r="K172" s="27">
        <f>IF(COUNT(K152:K171), SUM(K152:K171) / COUNT(K152:K171), 0)</f>
        <v>-4.6705522624654335E-2</v>
      </c>
      <c r="L172" s="28">
        <f>SUM(L152:L171)</f>
        <v>-140116.56787396301</v>
      </c>
      <c r="M172" s="26" t="s">
        <v>302</v>
      </c>
      <c r="N172" s="27">
        <f>IF(COUNT(N152:N171), SUM(N152:N171) / COUNT(N152:N171), 0)</f>
        <v>0</v>
      </c>
      <c r="O172" s="28">
        <f>SUM(O152:O171)</f>
        <v>0</v>
      </c>
      <c r="Q172" s="169"/>
      <c r="R172" s="170"/>
      <c r="S172" s="171"/>
    </row>
    <row r="174" spans="1:19" ht="17.25" thickBot="1"/>
    <row r="175" spans="1:19" ht="17.25" thickBot="1">
      <c r="A175" s="185" t="s">
        <v>285</v>
      </c>
      <c r="B175" s="186"/>
      <c r="C175" s="186"/>
      <c r="D175" s="186"/>
      <c r="E175" s="186"/>
      <c r="F175" s="186"/>
      <c r="G175" s="186"/>
      <c r="H175" s="186"/>
      <c r="I175" s="186"/>
      <c r="J175" s="186"/>
      <c r="K175" s="186"/>
      <c r="L175" s="186"/>
      <c r="M175" s="186"/>
      <c r="N175" s="186"/>
      <c r="O175" s="187"/>
      <c r="Q175" s="184"/>
      <c r="R175" s="184"/>
      <c r="S175" s="184"/>
    </row>
    <row r="176" spans="1:19" ht="17.25" thickBot="1">
      <c r="A176" s="153" t="s">
        <v>298</v>
      </c>
      <c r="B176" s="185" t="s">
        <v>49</v>
      </c>
      <c r="C176" s="187"/>
      <c r="D176" s="185" t="s">
        <v>58</v>
      </c>
      <c r="E176" s="186"/>
      <c r="F176" s="187"/>
      <c r="G176" s="188">
        <f>_xlfn.IFNA(VLOOKUP(B176, 현재가테이블!$B$2:$D$200, 2, FALSE), "-")</f>
        <v>67547000</v>
      </c>
      <c r="H176" s="189"/>
      <c r="I176" s="190"/>
      <c r="J176" s="185" t="s">
        <v>59</v>
      </c>
      <c r="K176" s="186"/>
      <c r="L176" s="187"/>
      <c r="M176" s="191">
        <f>_xlfn.IFNA(VLOOKUP(B176, 현재가테이블!$B$2:$D$200, 3, FALSE), "-")</f>
        <v>1.0743838800000001E-2</v>
      </c>
      <c r="N176" s="192"/>
      <c r="O176" s="193"/>
      <c r="Q176" s="184"/>
      <c r="R176" s="184"/>
      <c r="S176" s="184"/>
    </row>
    <row r="177" spans="1:19" ht="17.25" thickBot="1">
      <c r="A177" s="229" t="s">
        <v>55</v>
      </c>
      <c r="B177" s="225" t="str">
        <f>TEXT($G$1, "[$-ko-KR]yyyy-mm-dd(ddd) ") &amp; "오전 00:00"</f>
        <v>2021-05-05(수) 오전 00:00</v>
      </c>
      <c r="C177" s="226"/>
      <c r="D177" s="198" t="str">
        <f>TEXT($G$1, "[$-ko-KR]yyyy-mm-dd(ddd) ") &amp; "오후 14:00"</f>
        <v>2021-05-05(수) 오후 14:00</v>
      </c>
      <c r="E177" s="199"/>
      <c r="F177" s="200"/>
      <c r="G177" s="198" t="str">
        <f>TEXT($G$1, "[$-ko-KR]yyyy-mm-dd(ddd) ") &amp; "오후 19:00"</f>
        <v>2021-05-05(수) 오후 19:00</v>
      </c>
      <c r="H177" s="199"/>
      <c r="I177" s="200"/>
      <c r="J177" s="198" t="str">
        <f>TEXT($G$1, "[$-ko-KR]yyyy-mm-dd(ddd) ") &amp; "오후 21:00"</f>
        <v>2021-05-05(수) 오후 21:00</v>
      </c>
      <c r="K177" s="199"/>
      <c r="L177" s="200"/>
      <c r="M177" s="198" t="str">
        <f>TEXT($G$1+1, "[$-ko-KR]yyyy-mm-dd(ddd) ") &amp; "오전 00:00"</f>
        <v>2021-05-06(목) 오전 00:00</v>
      </c>
      <c r="N177" s="199"/>
      <c r="O177" s="200"/>
      <c r="Q177" s="184"/>
      <c r="R177" s="184"/>
      <c r="S177" s="184"/>
    </row>
    <row r="178" spans="1:19" ht="17.25" thickBot="1">
      <c r="A178" s="230"/>
      <c r="B178" s="124" t="s">
        <v>58</v>
      </c>
      <c r="C178" s="125" t="s">
        <v>59</v>
      </c>
      <c r="D178" s="2" t="s">
        <v>58</v>
      </c>
      <c r="E178" s="10" t="s">
        <v>299</v>
      </c>
      <c r="F178" s="11" t="s">
        <v>300</v>
      </c>
      <c r="G178" s="156" t="s">
        <v>58</v>
      </c>
      <c r="H178" s="157" t="s">
        <v>299</v>
      </c>
      <c r="I178" s="158" t="s">
        <v>300</v>
      </c>
      <c r="J178" s="10" t="s">
        <v>58</v>
      </c>
      <c r="K178" s="10" t="s">
        <v>299</v>
      </c>
      <c r="L178" s="115" t="s">
        <v>300</v>
      </c>
      <c r="M178" s="2" t="s">
        <v>58</v>
      </c>
      <c r="N178" s="10" t="s">
        <v>299</v>
      </c>
      <c r="O178" s="66" t="s">
        <v>300</v>
      </c>
      <c r="Q178" s="174"/>
      <c r="R178" s="174"/>
      <c r="S178" s="174"/>
    </row>
    <row r="179" spans="1:19" ht="17.25" thickBot="1">
      <c r="A179" s="126" t="s">
        <v>260</v>
      </c>
      <c r="B179" s="127">
        <v>129</v>
      </c>
      <c r="C179" s="76">
        <v>-8.5106382999999994E-2</v>
      </c>
      <c r="D179" s="13">
        <v>120</v>
      </c>
      <c r="E179" s="14">
        <f>IF(ISNUMBER(D179), (D179 - $B179) / $B179, "")</f>
        <v>-6.9767441860465115E-2</v>
      </c>
      <c r="F179" s="16">
        <f>IF(ISNUMBER(D179), $B199 * E179, "")</f>
        <v>-10465.116279069767</v>
      </c>
      <c r="G179" s="29">
        <v>122</v>
      </c>
      <c r="H179" s="14">
        <f>IF(ISNUMBER(G179), (G179 - $B179) / $B179, "")</f>
        <v>-5.4263565891472867E-2</v>
      </c>
      <c r="I179" s="100">
        <f>IF(ISNUMBER(G179), $B199 * H179, "")</f>
        <v>-8139.5348837209303</v>
      </c>
      <c r="J179" s="13">
        <v>119</v>
      </c>
      <c r="K179" s="14">
        <f>IF(ISNUMBER(J179), (J179 - $B179) / $B179, "")</f>
        <v>-7.7519379844961239E-2</v>
      </c>
      <c r="L179" s="16">
        <f>IF(ISNUMBER(J179), $B199 * K179, "")</f>
        <v>-11627.906976744185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4"/>
      <c r="R179" s="184"/>
      <c r="S179" s="184"/>
    </row>
    <row r="180" spans="1:19" ht="17.25" thickBot="1">
      <c r="A180" s="128" t="s">
        <v>146</v>
      </c>
      <c r="B180" s="129">
        <v>18340</v>
      </c>
      <c r="C180" s="77">
        <v>-8.5286783000000005E-2</v>
      </c>
      <c r="D180" s="15">
        <v>18240</v>
      </c>
      <c r="E180" s="32">
        <f t="shared" ref="E180:E183" si="94">IF(ISNUMBER(D180), (D180 - $B180) / $B180, "")</f>
        <v>-5.4525627044711015E-3</v>
      </c>
      <c r="F180" s="18">
        <f>IF(ISNUMBER(D180), $B199 * E180, "")</f>
        <v>-817.88440567066527</v>
      </c>
      <c r="G180" s="31">
        <v>18200</v>
      </c>
      <c r="H180" s="32">
        <f t="shared" ref="H180:H183" si="95">IF(ISNUMBER(G180), (G180 - $B180) / $B180, "")</f>
        <v>-7.6335877862595417E-3</v>
      </c>
      <c r="I180" s="101">
        <f>IF(ISNUMBER(G180), $B199 * H180, "")</f>
        <v>-1145.0381679389313</v>
      </c>
      <c r="J180" s="15">
        <v>18590</v>
      </c>
      <c r="K180" s="32">
        <f t="shared" ref="K180:K183" si="96">IF(ISNUMBER(J180), (J180 - $B180) / $B180, "")</f>
        <v>1.3631406761177753E-2</v>
      </c>
      <c r="L180" s="18">
        <f>IF(ISNUMBER(J180), $B199 * K180, "")</f>
        <v>2044.711014176663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4"/>
      <c r="R180" s="184"/>
      <c r="S180" s="184"/>
    </row>
    <row r="181" spans="1:19" ht="17.25" thickBot="1">
      <c r="A181" s="128" t="s">
        <v>192</v>
      </c>
      <c r="B181" s="129">
        <v>1125</v>
      </c>
      <c r="C181" s="77">
        <v>-8.5365853699999994E-2</v>
      </c>
      <c r="D181" s="15">
        <v>1105</v>
      </c>
      <c r="E181" s="32">
        <f t="shared" si="94"/>
        <v>-1.7777777777777778E-2</v>
      </c>
      <c r="F181" s="18">
        <f>IF(ISNUMBER(D181), $B199 * E181, "")</f>
        <v>-2666.6666666666665</v>
      </c>
      <c r="G181" s="31">
        <v>1110</v>
      </c>
      <c r="H181" s="32">
        <f t="shared" si="95"/>
        <v>-1.3333333333333334E-2</v>
      </c>
      <c r="I181" s="101">
        <f>IF(ISNUMBER(G181), $B199 * H181, "")</f>
        <v>-2000.0000000000002</v>
      </c>
      <c r="J181" s="15">
        <v>1115</v>
      </c>
      <c r="K181" s="32">
        <f t="shared" si="96"/>
        <v>-8.8888888888888889E-3</v>
      </c>
      <c r="L181" s="18">
        <f>IF(ISNUMBER(J181), $B199 * K181, "")</f>
        <v>-1333.3333333333333</v>
      </c>
      <c r="M181" s="31"/>
      <c r="N181" s="32" t="str">
        <f t="shared" si="97"/>
        <v/>
      </c>
      <c r="O181" s="18" t="str">
        <f>IF(ISNUMBER(M181), $B199 * N181, "")</f>
        <v/>
      </c>
      <c r="Q181" s="174"/>
      <c r="R181" s="174"/>
      <c r="S181" s="174"/>
    </row>
    <row r="182" spans="1:19" ht="17.25" thickBot="1">
      <c r="A182" s="128" t="s">
        <v>250</v>
      </c>
      <c r="B182" s="129">
        <v>224</v>
      </c>
      <c r="C182" s="77">
        <v>-8.5714285700000004E-2</v>
      </c>
      <c r="D182" s="15">
        <v>210</v>
      </c>
      <c r="E182" s="32">
        <f t="shared" si="94"/>
        <v>-6.25E-2</v>
      </c>
      <c r="F182" s="18">
        <f>IF(ISNUMBER(D182), $B199 * E182, "")</f>
        <v>-9375</v>
      </c>
      <c r="G182" s="31">
        <v>216</v>
      </c>
      <c r="H182" s="32">
        <f t="shared" si="95"/>
        <v>-3.5714285714285712E-2</v>
      </c>
      <c r="I182" s="101">
        <f>IF(ISNUMBER(G182), $B199 * H182, "")</f>
        <v>-5357.1428571428569</v>
      </c>
      <c r="J182" s="15">
        <v>212</v>
      </c>
      <c r="K182" s="32">
        <f t="shared" si="96"/>
        <v>-5.3571428571428568E-2</v>
      </c>
      <c r="L182" s="18">
        <f>IF(ISNUMBER(J182), $B199 * K182, "")</f>
        <v>-8035.7142857142853</v>
      </c>
      <c r="M182" s="31"/>
      <c r="N182" s="32" t="str">
        <f t="shared" si="97"/>
        <v/>
      </c>
      <c r="O182" s="18" t="str">
        <f>IF(ISNUMBER(M182), $B199 * N182, "")</f>
        <v/>
      </c>
      <c r="Q182" s="174"/>
      <c r="R182" s="174"/>
      <c r="S182" s="174"/>
    </row>
    <row r="183" spans="1:19" ht="17.25" thickBot="1">
      <c r="A183" s="130" t="s">
        <v>264</v>
      </c>
      <c r="B183" s="131">
        <v>179</v>
      </c>
      <c r="C183" s="78">
        <v>-8.6734693900000007E-2</v>
      </c>
      <c r="D183" s="20">
        <v>171</v>
      </c>
      <c r="E183" s="21">
        <f t="shared" si="94"/>
        <v>-4.4692737430167599E-2</v>
      </c>
      <c r="F183" s="22">
        <f>IF(ISNUMBER(D183), $B199 * E183, "")</f>
        <v>-6703.9106145251399</v>
      </c>
      <c r="G183" s="30">
        <v>174</v>
      </c>
      <c r="H183" s="21">
        <f t="shared" si="95"/>
        <v>-2.7932960893854747E-2</v>
      </c>
      <c r="I183" s="105">
        <f>IF(ISNUMBER(G183), $B199 * H183, "")</f>
        <v>-4189.9441340782123</v>
      </c>
      <c r="J183" s="20">
        <v>171</v>
      </c>
      <c r="K183" s="21">
        <f t="shared" si="96"/>
        <v>-4.4692737430167599E-2</v>
      </c>
      <c r="L183" s="22">
        <f>IF(ISNUMBER(J183), $B199 * K183, "")</f>
        <v>-6703.9106145251399</v>
      </c>
      <c r="M183" s="30"/>
      <c r="N183" s="21" t="str">
        <f t="shared" si="97"/>
        <v/>
      </c>
      <c r="O183" s="22" t="str">
        <f>IF(ISNUMBER(M183), $B199 * N183, "")</f>
        <v/>
      </c>
      <c r="Q183" s="174"/>
      <c r="R183" s="174"/>
      <c r="S183" s="174"/>
    </row>
    <row r="184" spans="1:19" ht="17.25" thickBot="1">
      <c r="A184" s="128" t="s">
        <v>236</v>
      </c>
      <c r="B184" s="132">
        <v>72.2</v>
      </c>
      <c r="C184" s="80">
        <v>-8.7231352700000001E-2</v>
      </c>
      <c r="D184" s="106">
        <v>67.7</v>
      </c>
      <c r="E184" s="107">
        <f>IF(ISNUMBER(D184), (D184 - $B184) / $B184, "")</f>
        <v>-6.2326869806094178E-2</v>
      </c>
      <c r="F184" s="108">
        <f>IF(ISNUMBER(D184), $B199 * E184, "")</f>
        <v>-9349.0304709141274</v>
      </c>
      <c r="G184" s="109">
        <v>68.900000000000006</v>
      </c>
      <c r="H184" s="107">
        <f>IF(ISNUMBER(G184), (G184 - $B184) / $B184, "")</f>
        <v>-4.5706371191135693E-2</v>
      </c>
      <c r="I184" s="110">
        <f>IF(ISNUMBER(G184), $B199 * H184, "")</f>
        <v>-6855.9556786703542</v>
      </c>
      <c r="J184" s="106">
        <v>68</v>
      </c>
      <c r="K184" s="107">
        <f>IF(ISNUMBER(J184), (J184 - $B184) / $B184, "")</f>
        <v>-5.8171745152354605E-2</v>
      </c>
      <c r="L184" s="108">
        <f>IF(ISNUMBER(J184), $B199 * K184, "")</f>
        <v>-8725.7617728531914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4"/>
      <c r="R184" s="174"/>
      <c r="S184" s="174"/>
    </row>
    <row r="185" spans="1:19" ht="17.25" thickBot="1">
      <c r="A185" s="128" t="s">
        <v>218</v>
      </c>
      <c r="B185" s="129">
        <v>30.3</v>
      </c>
      <c r="C185" s="77">
        <v>-8.7349397600000003E-2</v>
      </c>
      <c r="D185" s="15">
        <v>28.1</v>
      </c>
      <c r="E185" s="32">
        <f t="shared" ref="E185:E188" si="98">IF(ISNUMBER(D185), (D185 - $B185) / $B185, "")</f>
        <v>-7.2607260726072584E-2</v>
      </c>
      <c r="F185" s="18">
        <f>IF(ISNUMBER(D185), $B199 * E185, "")</f>
        <v>-10891.089108910888</v>
      </c>
      <c r="G185" s="31">
        <v>28.7</v>
      </c>
      <c r="H185" s="32">
        <f t="shared" ref="H185:H188" si="99">IF(ISNUMBER(G185), (G185 - $B185) / $B185, "")</f>
        <v>-5.2805280528052848E-2</v>
      </c>
      <c r="I185" s="101">
        <f>IF(ISNUMBER(G185), $B199 * H185, "")</f>
        <v>-7920.7920792079267</v>
      </c>
      <c r="J185" s="15">
        <v>28.4</v>
      </c>
      <c r="K185" s="32">
        <f t="shared" ref="K185:K188" si="100">IF(ISNUMBER(J185), (J185 - $B185) / $B185, "")</f>
        <v>-6.2706270627062771E-2</v>
      </c>
      <c r="L185" s="18">
        <f>IF(ISNUMBER(J185), $B199 * K185, "")</f>
        <v>-9405.9405940594152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4"/>
      <c r="R185" s="174"/>
      <c r="S185" s="174"/>
    </row>
    <row r="186" spans="1:19" ht="17.25" thickBot="1">
      <c r="A186" s="128" t="s">
        <v>186</v>
      </c>
      <c r="B186" s="129">
        <v>27.1</v>
      </c>
      <c r="C186" s="77">
        <v>-8.7542087500000004E-2</v>
      </c>
      <c r="D186" s="15">
        <v>25.5</v>
      </c>
      <c r="E186" s="32">
        <f t="shared" si="98"/>
        <v>-5.9040590405904106E-2</v>
      </c>
      <c r="F186" s="18">
        <f>IF(ISNUMBER(D186), $B199 * E186, "")</f>
        <v>-8856.0885608856152</v>
      </c>
      <c r="G186" s="31">
        <v>25.7</v>
      </c>
      <c r="H186" s="32">
        <f t="shared" si="99"/>
        <v>-5.1660516605166129E-2</v>
      </c>
      <c r="I186" s="101">
        <f>IF(ISNUMBER(G186), $B199 * H186, "")</f>
        <v>-7749.0774907749192</v>
      </c>
      <c r="J186" s="15">
        <v>25.2</v>
      </c>
      <c r="K186" s="32">
        <f t="shared" si="100"/>
        <v>-7.0110701107011147E-2</v>
      </c>
      <c r="L186" s="18">
        <f>IF(ISNUMBER(J186), $B199 * K186, "")</f>
        <v>-10516.605166051671</v>
      </c>
      <c r="M186" s="31"/>
      <c r="N186" s="32" t="str">
        <f t="shared" si="101"/>
        <v/>
      </c>
      <c r="O186" s="18" t="str">
        <f>IF(ISNUMBER(M186), $B199 * N186, "")</f>
        <v/>
      </c>
      <c r="Q186" s="174"/>
      <c r="R186" s="174"/>
      <c r="S186" s="174"/>
    </row>
    <row r="187" spans="1:19" ht="17.25" thickBot="1">
      <c r="A187" s="128" t="s">
        <v>240</v>
      </c>
      <c r="B187" s="129">
        <v>196</v>
      </c>
      <c r="C187" s="77">
        <v>-8.8372092999999999E-2</v>
      </c>
      <c r="D187" s="15">
        <v>184</v>
      </c>
      <c r="E187" s="32">
        <f t="shared" si="98"/>
        <v>-6.1224489795918366E-2</v>
      </c>
      <c r="F187" s="18">
        <f>IF(ISNUMBER(D187), $B199 * E187, "")</f>
        <v>-9183.6734693877552</v>
      </c>
      <c r="G187" s="31">
        <v>190</v>
      </c>
      <c r="H187" s="32">
        <f t="shared" si="99"/>
        <v>-3.0612244897959183E-2</v>
      </c>
      <c r="I187" s="101">
        <f>IF(ISNUMBER(G187), $B199 * H187, "")</f>
        <v>-4591.8367346938776</v>
      </c>
      <c r="J187" s="15">
        <v>183</v>
      </c>
      <c r="K187" s="32">
        <f t="shared" si="100"/>
        <v>-6.6326530612244902E-2</v>
      </c>
      <c r="L187" s="18">
        <f>IF(ISNUMBER(J187), $B199 * K187, "")</f>
        <v>-9948.9795918367345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3" t="s">
        <v>198</v>
      </c>
      <c r="B188" s="134">
        <v>29.9</v>
      </c>
      <c r="C188" s="79">
        <v>-8.84146341E-2</v>
      </c>
      <c r="D188" s="24">
        <v>28.2</v>
      </c>
      <c r="E188" s="25">
        <f t="shared" si="98"/>
        <v>-5.6856187290969876E-2</v>
      </c>
      <c r="F188" s="104">
        <f>IF(ISNUMBER(D188), $B199 * E188, "")</f>
        <v>-8528.4280936454816</v>
      </c>
      <c r="G188" s="102">
        <v>28.5</v>
      </c>
      <c r="H188" s="25">
        <f t="shared" si="99"/>
        <v>-4.6822742474916343E-2</v>
      </c>
      <c r="I188" s="103">
        <f>IF(ISNUMBER(G188), $B199 * H188, "")</f>
        <v>-7023.411371237451</v>
      </c>
      <c r="J188" s="24">
        <v>28.2</v>
      </c>
      <c r="K188" s="25">
        <f t="shared" si="100"/>
        <v>-5.6856187290969876E-2</v>
      </c>
      <c r="L188" s="104">
        <f>IF(ISNUMBER(J188), $B199 * K188, "")</f>
        <v>-8528.4280936454816</v>
      </c>
      <c r="M188" s="102"/>
      <c r="N188" s="25" t="str">
        <f t="shared" si="101"/>
        <v/>
      </c>
      <c r="O188" s="104" t="str">
        <f>IF(ISNUMBER(M188), $B199 * N188, "")</f>
        <v/>
      </c>
      <c r="Q188" s="175"/>
      <c r="R188" s="176"/>
      <c r="S188" s="177"/>
    </row>
    <row r="189" spans="1:19">
      <c r="A189" s="126" t="s">
        <v>112</v>
      </c>
      <c r="B189" s="127">
        <v>264</v>
      </c>
      <c r="C189" s="76">
        <v>-8.9655172399999997E-2</v>
      </c>
      <c r="D189" s="13">
        <v>252</v>
      </c>
      <c r="E189" s="14">
        <f>IF(ISNUMBER(D189), (D189 - $B189) / $B189, "")</f>
        <v>-4.5454545454545456E-2</v>
      </c>
      <c r="F189" s="16">
        <f>IF(ISNUMBER(D189), $B199 * E189, "")</f>
        <v>-6818.181818181818</v>
      </c>
      <c r="G189" s="29">
        <v>256</v>
      </c>
      <c r="H189" s="14">
        <f>IF(ISNUMBER(G189), (G189 - $B189) / $B189, "")</f>
        <v>-3.0303030303030304E-2</v>
      </c>
      <c r="I189" s="100">
        <f>IF(ISNUMBER(G189), $B199 * H189, "")</f>
        <v>-4545.454545454546</v>
      </c>
      <c r="J189" s="13">
        <v>252</v>
      </c>
      <c r="K189" s="14">
        <f>IF(ISNUMBER(J189), (J189 - $B189) / $B189, "")</f>
        <v>-4.5454545454545456E-2</v>
      </c>
      <c r="L189" s="16">
        <f>IF(ISNUMBER(J189), $B199 * K189, "")</f>
        <v>-6818.181818181818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8"/>
      <c r="R189" s="179"/>
      <c r="S189" s="180"/>
    </row>
    <row r="190" spans="1:19" ht="17.25" thickBot="1">
      <c r="A190" s="128" t="s">
        <v>152</v>
      </c>
      <c r="B190" s="129">
        <v>45.6</v>
      </c>
      <c r="C190" s="77">
        <v>-8.9820359299999999E-2</v>
      </c>
      <c r="D190" s="15">
        <v>45.8</v>
      </c>
      <c r="E190" s="32">
        <f t="shared" ref="E190:E193" si="102">IF(ISNUMBER(D190), (D190 - $B190) / $B190, "")</f>
        <v>4.3859649122806078E-3</v>
      </c>
      <c r="F190" s="18">
        <f>IF(ISNUMBER(D190), $B199 * E190, "")</f>
        <v>657.89473684209122</v>
      </c>
      <c r="G190" s="31">
        <v>47.6</v>
      </c>
      <c r="H190" s="32">
        <f t="shared" ref="H190:H193" si="103">IF(ISNUMBER(G190), (G190 - $B190) / $B190, "")</f>
        <v>4.3859649122807015E-2</v>
      </c>
      <c r="I190" s="101">
        <f>IF(ISNUMBER(G190), $B199 * H190, "")</f>
        <v>6578.9473684210525</v>
      </c>
      <c r="J190" s="15">
        <v>48.1</v>
      </c>
      <c r="K190" s="32">
        <f t="shared" ref="K190:K193" si="104">IF(ISNUMBER(J190), (J190 - $B190) / $B190, "")</f>
        <v>5.4824561403508769E-2</v>
      </c>
      <c r="L190" s="18">
        <f>IF(ISNUMBER(J190), $B199 * K190, "")</f>
        <v>8223.6842105263149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81"/>
      <c r="R190" s="182"/>
      <c r="S190" s="183"/>
    </row>
    <row r="191" spans="1:19" ht="17.25" thickBot="1">
      <c r="A191" s="128" t="s">
        <v>54</v>
      </c>
      <c r="B191" s="129">
        <v>364</v>
      </c>
      <c r="C191" s="77">
        <v>-0.09</v>
      </c>
      <c r="D191" s="15">
        <v>360</v>
      </c>
      <c r="E191" s="32">
        <f t="shared" si="102"/>
        <v>-1.098901098901099E-2</v>
      </c>
      <c r="F191" s="18">
        <f>IF(ISNUMBER(D191), $B199 * E191, "")</f>
        <v>-1648.3516483516485</v>
      </c>
      <c r="G191" s="31">
        <v>364</v>
      </c>
      <c r="H191" s="32">
        <f t="shared" si="103"/>
        <v>0</v>
      </c>
      <c r="I191" s="101">
        <f>IF(ISNUMBER(G191), $B199 * H191, "")</f>
        <v>0</v>
      </c>
      <c r="J191" s="15">
        <v>363</v>
      </c>
      <c r="K191" s="32">
        <f t="shared" si="104"/>
        <v>-2.7472527472527475E-3</v>
      </c>
      <c r="L191" s="18">
        <f>IF(ISNUMBER(J191), $B199 * K191, "")</f>
        <v>-412.08791208791212</v>
      </c>
      <c r="M191" s="31"/>
      <c r="N191" s="32" t="str">
        <f t="shared" si="105"/>
        <v/>
      </c>
      <c r="O191" s="18" t="str">
        <f>IF(ISNUMBER(M191), $B199 * N191, "")</f>
        <v/>
      </c>
      <c r="Q191" s="174"/>
      <c r="R191" s="174"/>
      <c r="S191" s="174"/>
    </row>
    <row r="192" spans="1:19" ht="17.25" thickBot="1">
      <c r="A192" s="128" t="s">
        <v>124</v>
      </c>
      <c r="B192" s="129">
        <v>7235</v>
      </c>
      <c r="C192" s="77">
        <v>-9.1080402000000005E-2</v>
      </c>
      <c r="D192" s="15">
        <v>6810</v>
      </c>
      <c r="E192" s="32">
        <f t="shared" si="102"/>
        <v>-5.8742225293711127E-2</v>
      </c>
      <c r="F192" s="18">
        <f>IF(ISNUMBER(D192), $B199 * E192, "")</f>
        <v>-8811.3337940566689</v>
      </c>
      <c r="G192" s="31">
        <v>6965</v>
      </c>
      <c r="H192" s="32">
        <f t="shared" si="103"/>
        <v>-3.7318590186592948E-2</v>
      </c>
      <c r="I192" s="101">
        <f>IF(ISNUMBER(G192), $B199 * H192, "")</f>
        <v>-5597.7885279889424</v>
      </c>
      <c r="J192" s="15">
        <v>6865</v>
      </c>
      <c r="K192" s="32">
        <f t="shared" si="104"/>
        <v>-5.1140290255701451E-2</v>
      </c>
      <c r="L192" s="18">
        <f>IF(ISNUMBER(J192), $B199 * K192, "")</f>
        <v>-7671.0435383552176</v>
      </c>
      <c r="M192" s="31"/>
      <c r="N192" s="32" t="str">
        <f t="shared" si="105"/>
        <v/>
      </c>
      <c r="O192" s="18" t="str">
        <f>IF(ISNUMBER(M192), $B199 * N192, "")</f>
        <v/>
      </c>
      <c r="Q192" s="184"/>
      <c r="R192" s="184"/>
      <c r="S192" s="184"/>
    </row>
    <row r="193" spans="1:19" ht="17.25" thickBot="1">
      <c r="A193" s="130" t="s">
        <v>244</v>
      </c>
      <c r="B193" s="131">
        <v>3760</v>
      </c>
      <c r="C193" s="78">
        <v>-9.1787439600000006E-2</v>
      </c>
      <c r="D193" s="20">
        <v>3630</v>
      </c>
      <c r="E193" s="21">
        <f t="shared" si="102"/>
        <v>-3.4574468085106384E-2</v>
      </c>
      <c r="F193" s="22">
        <f>IF(ISNUMBER(D193), $B199 * E193, "")</f>
        <v>-5186.1702127659573</v>
      </c>
      <c r="G193" s="30">
        <v>3755</v>
      </c>
      <c r="H193" s="21">
        <f t="shared" si="103"/>
        <v>-1.3297872340425532E-3</v>
      </c>
      <c r="I193" s="105">
        <f>IF(ISNUMBER(G193), $B199 * H193, "")</f>
        <v>-199.46808510638297</v>
      </c>
      <c r="J193" s="20">
        <v>3655</v>
      </c>
      <c r="K193" s="21">
        <f t="shared" si="104"/>
        <v>-2.7925531914893616E-2</v>
      </c>
      <c r="L193" s="22">
        <f>IF(ISNUMBER(J193), $B199 * K193, "")</f>
        <v>-4188.8297872340427</v>
      </c>
      <c r="M193" s="30"/>
      <c r="N193" s="21" t="str">
        <f t="shared" si="105"/>
        <v/>
      </c>
      <c r="O193" s="22" t="str">
        <f>IF(ISNUMBER(M193), $B199 * N193, "")</f>
        <v/>
      </c>
      <c r="Q193" s="184"/>
      <c r="R193" s="184"/>
      <c r="S193" s="184"/>
    </row>
    <row r="194" spans="1:19" ht="17.25" thickBot="1">
      <c r="A194" s="128" t="s">
        <v>202</v>
      </c>
      <c r="B194" s="132">
        <v>226</v>
      </c>
      <c r="C194" s="80">
        <v>-9.2369477899999997E-2</v>
      </c>
      <c r="D194" s="106">
        <v>213</v>
      </c>
      <c r="E194" s="107">
        <f>IF(ISNUMBER(D194), (D194 - $B194) / $B194, "")</f>
        <v>-5.7522123893805309E-2</v>
      </c>
      <c r="F194" s="108">
        <f>IF(ISNUMBER(D194), $B199 * E194, "")</f>
        <v>-8628.3185840707956</v>
      </c>
      <c r="G194" s="109">
        <v>214</v>
      </c>
      <c r="H194" s="107">
        <f>IF(ISNUMBER(G194), (G194 - $B194) / $B194, "")</f>
        <v>-5.3097345132743362E-2</v>
      </c>
      <c r="I194" s="110">
        <f>IF(ISNUMBER(G194), $B199 * H194, "")</f>
        <v>-7964.6017699115046</v>
      </c>
      <c r="J194" s="106">
        <v>209</v>
      </c>
      <c r="K194" s="107">
        <f>IF(ISNUMBER(J194), (J194 - $B194) / $B194, "")</f>
        <v>-7.5221238938053103E-2</v>
      </c>
      <c r="L194" s="108">
        <f>IF(ISNUMBER(J194), $B199 * K194, "")</f>
        <v>-11283.185840707965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4"/>
      <c r="R194" s="174"/>
      <c r="S194" s="174"/>
    </row>
    <row r="195" spans="1:19" ht="17.25" thickBot="1">
      <c r="A195" s="128" t="s">
        <v>230</v>
      </c>
      <c r="B195" s="129">
        <v>185</v>
      </c>
      <c r="C195" s="77">
        <v>-9.3137254899999994E-2</v>
      </c>
      <c r="D195" s="15">
        <v>173</v>
      </c>
      <c r="E195" s="32">
        <f t="shared" ref="E195:E198" si="106">IF(ISNUMBER(D195), (D195 - $B195) / $B195, "")</f>
        <v>-6.4864864864864868E-2</v>
      </c>
      <c r="F195" s="18">
        <f>IF(ISNUMBER(D195), $B199 * E195, "")</f>
        <v>-9729.72972972973</v>
      </c>
      <c r="G195" s="31">
        <v>176</v>
      </c>
      <c r="H195" s="32">
        <f t="shared" ref="H195:H198" si="107">IF(ISNUMBER(G195), (G195 - $B195) / $B195, "")</f>
        <v>-4.8648648648648651E-2</v>
      </c>
      <c r="I195" s="101">
        <f>IF(ISNUMBER(G195), $B199 * H195, "")</f>
        <v>-7297.2972972972975</v>
      </c>
      <c r="J195" s="15">
        <v>174</v>
      </c>
      <c r="K195" s="32">
        <f t="shared" ref="K195:K198" si="108">IF(ISNUMBER(J195), (J195 - $B195) / $B195, "")</f>
        <v>-5.9459459459459463E-2</v>
      </c>
      <c r="L195" s="18">
        <f>IF(ISNUMBER(J195), $B199 * K195, "")</f>
        <v>-8918.9189189189201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4"/>
      <c r="R195" s="174"/>
      <c r="S195" s="174"/>
    </row>
    <row r="196" spans="1:19" ht="17.25" thickBot="1">
      <c r="A196" s="128" t="s">
        <v>210</v>
      </c>
      <c r="B196" s="129">
        <v>203</v>
      </c>
      <c r="C196" s="77">
        <v>-9.375E-2</v>
      </c>
      <c r="D196" s="15">
        <v>190</v>
      </c>
      <c r="E196" s="32">
        <f t="shared" si="106"/>
        <v>-6.4039408866995079E-2</v>
      </c>
      <c r="F196" s="18">
        <f>IF(ISNUMBER(D196), $B199 * E196, "")</f>
        <v>-9605.9113300492627</v>
      </c>
      <c r="G196" s="31">
        <v>197</v>
      </c>
      <c r="H196" s="32">
        <f t="shared" si="107"/>
        <v>-2.9556650246305417E-2</v>
      </c>
      <c r="I196" s="101">
        <f>IF(ISNUMBER(G196), $B199 * H196, "")</f>
        <v>-4433.4975369458125</v>
      </c>
      <c r="J196" s="15">
        <v>192</v>
      </c>
      <c r="K196" s="32">
        <f t="shared" si="108"/>
        <v>-5.4187192118226604E-2</v>
      </c>
      <c r="L196" s="18">
        <f>IF(ISNUMBER(J196), $B199 * K196, "")</f>
        <v>-8128.0788177339909</v>
      </c>
      <c r="M196" s="31"/>
      <c r="N196" s="32" t="str">
        <f t="shared" si="109"/>
        <v/>
      </c>
      <c r="O196" s="18" t="str">
        <f>IF(ISNUMBER(M196), $B199 * N196, "")</f>
        <v/>
      </c>
      <c r="Q196" s="174"/>
      <c r="R196" s="174"/>
      <c r="S196" s="174"/>
    </row>
    <row r="197" spans="1:19">
      <c r="A197" s="128" t="s">
        <v>126</v>
      </c>
      <c r="B197" s="129">
        <v>63.1</v>
      </c>
      <c r="C197" s="77">
        <v>-9.5988538700000001E-2</v>
      </c>
      <c r="D197" s="15">
        <v>60.1</v>
      </c>
      <c r="E197" s="32">
        <f t="shared" si="106"/>
        <v>-4.7543581616481777E-2</v>
      </c>
      <c r="F197" s="18">
        <f>IF(ISNUMBER(D197), $B199 * E197, "")</f>
        <v>-7131.5372424722664</v>
      </c>
      <c r="G197" s="31">
        <v>62.1</v>
      </c>
      <c r="H197" s="32">
        <f t="shared" si="107"/>
        <v>-1.5847860538827259E-2</v>
      </c>
      <c r="I197" s="101">
        <f>IF(ISNUMBER(G197), $B199 * H197, "")</f>
        <v>-2377.1790808240889</v>
      </c>
      <c r="J197" s="15">
        <v>63.8</v>
      </c>
      <c r="K197" s="32">
        <f t="shared" si="108"/>
        <v>1.1093502377179014E-2</v>
      </c>
      <c r="L197" s="18">
        <f>IF(ISNUMBER(J197), $B199 * K197, "")</f>
        <v>1664.0253565768521</v>
      </c>
      <c r="M197" s="31"/>
      <c r="N197" s="32" t="str">
        <f t="shared" si="109"/>
        <v/>
      </c>
      <c r="O197" s="18" t="str">
        <f>IF(ISNUMBER(M197), $B199 * N197, "")</f>
        <v/>
      </c>
      <c r="Q197" s="163"/>
      <c r="R197" s="164"/>
      <c r="S197" s="165"/>
    </row>
    <row r="198" spans="1:19" ht="17.25" thickBot="1">
      <c r="A198" s="133" t="s">
        <v>212</v>
      </c>
      <c r="B198" s="134">
        <v>160</v>
      </c>
      <c r="C198" s="79">
        <v>-9.6045197700000001E-2</v>
      </c>
      <c r="D198" s="24">
        <v>151</v>
      </c>
      <c r="E198" s="25">
        <f t="shared" si="106"/>
        <v>-5.6250000000000001E-2</v>
      </c>
      <c r="F198" s="104">
        <f>IF(ISNUMBER(D198), $B199 * E198, "")</f>
        <v>-8437.5</v>
      </c>
      <c r="G198" s="102">
        <v>155</v>
      </c>
      <c r="H198" s="25">
        <f t="shared" si="107"/>
        <v>-3.125E-2</v>
      </c>
      <c r="I198" s="103">
        <f>IF(ISNUMBER(G198), $B199 * H198, "")</f>
        <v>-4687.5</v>
      </c>
      <c r="J198" s="24">
        <v>151</v>
      </c>
      <c r="K198" s="25">
        <f t="shared" si="108"/>
        <v>-5.6250000000000001E-2</v>
      </c>
      <c r="L198" s="104">
        <f>IF(ISNUMBER(J198), $B199 * K198, "")</f>
        <v>-8437.5</v>
      </c>
      <c r="M198" s="102"/>
      <c r="N198" s="25" t="str">
        <f t="shared" si="109"/>
        <v/>
      </c>
      <c r="O198" s="104" t="str">
        <f>IF(ISNUMBER(M198), $B199 * N198, "")</f>
        <v/>
      </c>
      <c r="Q198" s="166"/>
      <c r="R198" s="167"/>
      <c r="S198" s="168"/>
    </row>
    <row r="199" spans="1:19" ht="17.25" thickBot="1">
      <c r="A199" s="135" t="s">
        <v>301</v>
      </c>
      <c r="B199" s="227">
        <f>$B$37</f>
        <v>150000</v>
      </c>
      <c r="C199" s="228"/>
      <c r="D199" s="26" t="s">
        <v>302</v>
      </c>
      <c r="E199" s="27">
        <f>IF(COUNT(E179:E198), SUM(E179:E198) / COUNT(E179:E198), 0)</f>
        <v>-4.7392009097504052E-2</v>
      </c>
      <c r="F199" s="28">
        <f>SUM(F179:F198)</f>
        <v>-142176.02729251215</v>
      </c>
      <c r="G199" s="26" t="s">
        <v>302</v>
      </c>
      <c r="H199" s="27">
        <f>IF(COUNT(H179:H198), SUM(H179:H198) / COUNT(H179:H198), 0)</f>
        <v>-2.8498857624190993E-2</v>
      </c>
      <c r="I199" s="28">
        <f>SUM(I179:I198)</f>
        <v>-85496.572872572986</v>
      </c>
      <c r="J199" s="26" t="s">
        <v>302</v>
      </c>
      <c r="K199" s="27">
        <f>IF(COUNT(K179:K198), SUM(K179:K198) / COUNT(K179:K198), 0)</f>
        <v>-3.9583995493567829E-2</v>
      </c>
      <c r="L199" s="28">
        <f>SUM(L179:L198)</f>
        <v>-118751.98648070348</v>
      </c>
      <c r="M199" s="26" t="s">
        <v>302</v>
      </c>
      <c r="N199" s="27">
        <f>IF(COUNT(N179:N198), SUM(N179:N198) / COUNT(N179:N198), 0)</f>
        <v>0</v>
      </c>
      <c r="O199" s="28">
        <f>SUM(O179:O198)</f>
        <v>0</v>
      </c>
      <c r="Q199" s="169"/>
      <c r="R199" s="170"/>
      <c r="S199" s="17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6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7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8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9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0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1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2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3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4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95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투자전략(조건부서식초기화)</vt:lpstr>
      <vt:lpstr>투자전략</vt:lpstr>
      <vt:lpstr>현재가테이블</vt:lpstr>
      <vt:lpstr>종목선정</vt:lpstr>
      <vt:lpstr>월말결산</vt:lpstr>
      <vt:lpstr>2021.05.01</vt:lpstr>
      <vt:lpstr>2021.05.02</vt:lpstr>
      <vt:lpstr>2021.05.03</vt:lpstr>
      <vt:lpstr>2021.05.04</vt:lpstr>
      <vt:lpstr>2021.05.05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2021-05-05T13:02:35Z</dcterms:modified>
</cp:coreProperties>
</file>