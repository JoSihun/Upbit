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3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drawings/drawing4.xml" ContentType="application/vnd.openxmlformats-officedocument.drawing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5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임시\Upbit\"/>
    </mc:Choice>
  </mc:AlternateContent>
  <xr:revisionPtr revIDLastSave="0" documentId="13_ncr:1_{DF19E969-7C93-4229-B61E-1438A7F7EFE7}" xr6:coauthVersionLast="46" xr6:coauthVersionMax="46" xr10:uidLastSave="{00000000-0000-0000-0000-000000000000}"/>
  <bookViews>
    <workbookView xWindow="-120" yWindow="-120" windowWidth="29040" windowHeight="15840" activeTab="5" xr2:uid="{6DFA4163-58A4-446A-8567-281C8DD649E3}"/>
  </bookViews>
  <sheets>
    <sheet name="투자전략" sheetId="6" r:id="rId1"/>
    <sheet name="월말정산" sheetId="9" r:id="rId2"/>
    <sheet name="현재가테이블" sheetId="3" r:id="rId3"/>
    <sheet name="종목선정" sheetId="5" r:id="rId4"/>
    <sheet name="2021.05.01" sheetId="12" r:id="rId5"/>
    <sheet name="2021.05.02" sheetId="13" r:id="rId6"/>
  </sheets>
  <definedNames>
    <definedName name="_xlnm._FilterDatabase" localSheetId="4" hidden="1">'2021.05.01'!#REF!</definedName>
    <definedName name="_xlnm._FilterDatabase" localSheetId="5" hidden="1">'2021.05.02'!#REF!</definedName>
    <definedName name="_xlnm._FilterDatabase" localSheetId="3" hidden="1">종목선정!$A$1:$D$117</definedName>
    <definedName name="_xlnm._FilterDatabase" localSheetId="0" hidden="1">투자전략!#REF!</definedName>
    <definedName name="_xlnm._FilterDatabase" localSheetId="2" hidden="1">현재가테이블!$A$1:$D$1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98" i="13" l="1"/>
  <c r="O197" i="13"/>
  <c r="O196" i="13"/>
  <c r="O195" i="13"/>
  <c r="O194" i="13"/>
  <c r="O193" i="13"/>
  <c r="O192" i="13"/>
  <c r="O191" i="13"/>
  <c r="O190" i="13"/>
  <c r="O189" i="13"/>
  <c r="L198" i="13"/>
  <c r="L197" i="13"/>
  <c r="L196" i="13"/>
  <c r="L195" i="13"/>
  <c r="L194" i="13"/>
  <c r="L193" i="13"/>
  <c r="L192" i="13"/>
  <c r="L191" i="13"/>
  <c r="L190" i="13"/>
  <c r="L189" i="13"/>
  <c r="I198" i="13"/>
  <c r="I197" i="13"/>
  <c r="I196" i="13"/>
  <c r="I195" i="13"/>
  <c r="I194" i="13"/>
  <c r="I193" i="13"/>
  <c r="I192" i="13"/>
  <c r="I191" i="13"/>
  <c r="I190" i="13"/>
  <c r="I189" i="13"/>
  <c r="F198" i="13"/>
  <c r="F197" i="13"/>
  <c r="O198" i="6"/>
  <c r="O197" i="6"/>
  <c r="O196" i="6"/>
  <c r="O195" i="6"/>
  <c r="O194" i="6"/>
  <c r="O193" i="6"/>
  <c r="O192" i="6"/>
  <c r="O191" i="6"/>
  <c r="O190" i="6"/>
  <c r="O189" i="6"/>
  <c r="L198" i="6"/>
  <c r="L197" i="6"/>
  <c r="L196" i="6"/>
  <c r="L195" i="6"/>
  <c r="L194" i="6"/>
  <c r="L193" i="6"/>
  <c r="L192" i="6"/>
  <c r="L191" i="6"/>
  <c r="L190" i="6"/>
  <c r="L189" i="6"/>
  <c r="I198" i="6"/>
  <c r="I197" i="6"/>
  <c r="I196" i="6"/>
  <c r="I195" i="6"/>
  <c r="I194" i="6"/>
  <c r="I193" i="6"/>
  <c r="I192" i="6"/>
  <c r="I191" i="6"/>
  <c r="I190" i="6"/>
  <c r="I189" i="6"/>
  <c r="F198" i="6"/>
  <c r="F197" i="6"/>
  <c r="F196" i="6"/>
  <c r="F195" i="6"/>
  <c r="F194" i="6"/>
  <c r="F193" i="6"/>
  <c r="F192" i="6"/>
  <c r="F191" i="6"/>
  <c r="F190" i="6"/>
  <c r="F189" i="6"/>
  <c r="O17" i="12"/>
  <c r="B199" i="13"/>
  <c r="N198" i="13"/>
  <c r="K198" i="13"/>
  <c r="H198" i="13"/>
  <c r="E198" i="13"/>
  <c r="N197" i="13"/>
  <c r="K197" i="13"/>
  <c r="H197" i="13"/>
  <c r="E197" i="13"/>
  <c r="N196" i="13"/>
  <c r="K196" i="13"/>
  <c r="H196" i="13"/>
  <c r="E196" i="13"/>
  <c r="F196" i="13" s="1"/>
  <c r="N195" i="13"/>
  <c r="K195" i="13"/>
  <c r="H195" i="13"/>
  <c r="E195" i="13"/>
  <c r="F195" i="13" s="1"/>
  <c r="N194" i="13"/>
  <c r="K194" i="13"/>
  <c r="H194" i="13"/>
  <c r="E194" i="13"/>
  <c r="F194" i="13" s="1"/>
  <c r="N193" i="13"/>
  <c r="K193" i="13"/>
  <c r="H193" i="13"/>
  <c r="E193" i="13"/>
  <c r="F193" i="13" s="1"/>
  <c r="N192" i="13"/>
  <c r="K192" i="13"/>
  <c r="H192" i="13"/>
  <c r="E192" i="13"/>
  <c r="F192" i="13" s="1"/>
  <c r="N191" i="13"/>
  <c r="K191" i="13"/>
  <c r="H191" i="13"/>
  <c r="E191" i="13"/>
  <c r="F191" i="13" s="1"/>
  <c r="N190" i="13"/>
  <c r="K190" i="13"/>
  <c r="H190" i="13"/>
  <c r="E190" i="13"/>
  <c r="F190" i="13" s="1"/>
  <c r="N189" i="13"/>
  <c r="K189" i="13"/>
  <c r="H189" i="13"/>
  <c r="E189" i="13"/>
  <c r="F189" i="13" s="1"/>
  <c r="N188" i="13"/>
  <c r="O188" i="13" s="1"/>
  <c r="L188" i="13"/>
  <c r="K188" i="13"/>
  <c r="I188" i="13"/>
  <c r="H188" i="13"/>
  <c r="E188" i="13"/>
  <c r="F188" i="13" s="1"/>
  <c r="N187" i="13"/>
  <c r="O187" i="13" s="1"/>
  <c r="L187" i="13"/>
  <c r="K187" i="13"/>
  <c r="I187" i="13"/>
  <c r="H187" i="13"/>
  <c r="E187" i="13"/>
  <c r="F187" i="13" s="1"/>
  <c r="N186" i="13"/>
  <c r="O186" i="13" s="1"/>
  <c r="L186" i="13"/>
  <c r="K186" i="13"/>
  <c r="I186" i="13"/>
  <c r="H186" i="13"/>
  <c r="E186" i="13"/>
  <c r="F186" i="13" s="1"/>
  <c r="N185" i="13"/>
  <c r="O185" i="13" s="1"/>
  <c r="L185" i="13"/>
  <c r="K185" i="13"/>
  <c r="I185" i="13"/>
  <c r="H185" i="13"/>
  <c r="E185" i="13"/>
  <c r="F185" i="13" s="1"/>
  <c r="N184" i="13"/>
  <c r="O184" i="13" s="1"/>
  <c r="L184" i="13"/>
  <c r="K184" i="13"/>
  <c r="I184" i="13"/>
  <c r="H184" i="13"/>
  <c r="E184" i="13"/>
  <c r="F184" i="13" s="1"/>
  <c r="N183" i="13"/>
  <c r="O183" i="13" s="1"/>
  <c r="L183" i="13"/>
  <c r="K183" i="13"/>
  <c r="I183" i="13"/>
  <c r="H183" i="13"/>
  <c r="E183" i="13"/>
  <c r="F183" i="13" s="1"/>
  <c r="N182" i="13"/>
  <c r="O182" i="13" s="1"/>
  <c r="L182" i="13"/>
  <c r="K182" i="13"/>
  <c r="I182" i="13"/>
  <c r="H182" i="13"/>
  <c r="E182" i="13"/>
  <c r="F182" i="13" s="1"/>
  <c r="N181" i="13"/>
  <c r="O181" i="13" s="1"/>
  <c r="L181" i="13"/>
  <c r="K181" i="13"/>
  <c r="I181" i="13"/>
  <c r="H181" i="13"/>
  <c r="E181" i="13"/>
  <c r="F181" i="13" s="1"/>
  <c r="N180" i="13"/>
  <c r="O180" i="13" s="1"/>
  <c r="L180" i="13"/>
  <c r="K180" i="13"/>
  <c r="I180" i="13"/>
  <c r="H180" i="13"/>
  <c r="E180" i="13"/>
  <c r="N179" i="13"/>
  <c r="O179" i="13" s="1"/>
  <c r="L179" i="13"/>
  <c r="K179" i="13"/>
  <c r="K199" i="13" s="1"/>
  <c r="I179" i="13"/>
  <c r="H179" i="13"/>
  <c r="H199" i="13" s="1"/>
  <c r="E179" i="13"/>
  <c r="F179" i="13" s="1"/>
  <c r="M177" i="13"/>
  <c r="J177" i="13"/>
  <c r="G177" i="13"/>
  <c r="D177" i="13"/>
  <c r="B177" i="13"/>
  <c r="M176" i="13"/>
  <c r="G176" i="13"/>
  <c r="B172" i="13"/>
  <c r="N171" i="13"/>
  <c r="O171" i="13" s="1"/>
  <c r="L171" i="13"/>
  <c r="K171" i="13"/>
  <c r="I171" i="13"/>
  <c r="H171" i="13"/>
  <c r="E171" i="13"/>
  <c r="F171" i="13" s="1"/>
  <c r="N170" i="13"/>
  <c r="O170" i="13" s="1"/>
  <c r="L170" i="13"/>
  <c r="K170" i="13"/>
  <c r="I170" i="13"/>
  <c r="H170" i="13"/>
  <c r="E170" i="13"/>
  <c r="F170" i="13" s="1"/>
  <c r="N169" i="13"/>
  <c r="O169" i="13" s="1"/>
  <c r="L169" i="13"/>
  <c r="K169" i="13"/>
  <c r="I169" i="13"/>
  <c r="H169" i="13"/>
  <c r="E169" i="13"/>
  <c r="F169" i="13" s="1"/>
  <c r="N168" i="13"/>
  <c r="O168" i="13" s="1"/>
  <c r="L168" i="13"/>
  <c r="K168" i="13"/>
  <c r="I168" i="13"/>
  <c r="H168" i="13"/>
  <c r="E168" i="13"/>
  <c r="F168" i="13" s="1"/>
  <c r="N167" i="13"/>
  <c r="O167" i="13" s="1"/>
  <c r="L167" i="13"/>
  <c r="K167" i="13"/>
  <c r="I167" i="13"/>
  <c r="H167" i="13"/>
  <c r="E167" i="13"/>
  <c r="F167" i="13" s="1"/>
  <c r="N166" i="13"/>
  <c r="O166" i="13" s="1"/>
  <c r="L166" i="13"/>
  <c r="K166" i="13"/>
  <c r="I166" i="13"/>
  <c r="H166" i="13"/>
  <c r="E166" i="13"/>
  <c r="F166" i="13" s="1"/>
  <c r="N165" i="13"/>
  <c r="O165" i="13" s="1"/>
  <c r="L165" i="13"/>
  <c r="K165" i="13"/>
  <c r="I165" i="13"/>
  <c r="H165" i="13"/>
  <c r="E165" i="13"/>
  <c r="F165" i="13" s="1"/>
  <c r="N164" i="13"/>
  <c r="O164" i="13" s="1"/>
  <c r="L164" i="13"/>
  <c r="K164" i="13"/>
  <c r="I164" i="13"/>
  <c r="H164" i="13"/>
  <c r="E164" i="13"/>
  <c r="F164" i="13" s="1"/>
  <c r="N163" i="13"/>
  <c r="O163" i="13" s="1"/>
  <c r="L163" i="13"/>
  <c r="K163" i="13"/>
  <c r="I163" i="13"/>
  <c r="H163" i="13"/>
  <c r="E163" i="13"/>
  <c r="F163" i="13" s="1"/>
  <c r="N162" i="13"/>
  <c r="O162" i="13" s="1"/>
  <c r="L162" i="13"/>
  <c r="K162" i="13"/>
  <c r="I162" i="13"/>
  <c r="H162" i="13"/>
  <c r="E162" i="13"/>
  <c r="F162" i="13" s="1"/>
  <c r="N161" i="13"/>
  <c r="O161" i="13" s="1"/>
  <c r="L161" i="13"/>
  <c r="K161" i="13"/>
  <c r="I161" i="13"/>
  <c r="H161" i="13"/>
  <c r="E161" i="13"/>
  <c r="F161" i="13" s="1"/>
  <c r="N160" i="13"/>
  <c r="O160" i="13" s="1"/>
  <c r="L160" i="13"/>
  <c r="K160" i="13"/>
  <c r="I160" i="13"/>
  <c r="H160" i="13"/>
  <c r="E160" i="13"/>
  <c r="F160" i="13" s="1"/>
  <c r="N159" i="13"/>
  <c r="O159" i="13" s="1"/>
  <c r="L159" i="13"/>
  <c r="K159" i="13"/>
  <c r="I159" i="13"/>
  <c r="H159" i="13"/>
  <c r="E159" i="13"/>
  <c r="F159" i="13" s="1"/>
  <c r="N158" i="13"/>
  <c r="O158" i="13" s="1"/>
  <c r="L158" i="13"/>
  <c r="K158" i="13"/>
  <c r="I158" i="13"/>
  <c r="H158" i="13"/>
  <c r="E158" i="13"/>
  <c r="F158" i="13" s="1"/>
  <c r="N157" i="13"/>
  <c r="O157" i="13" s="1"/>
  <c r="L157" i="13"/>
  <c r="K157" i="13"/>
  <c r="I157" i="13"/>
  <c r="H157" i="13"/>
  <c r="E157" i="13"/>
  <c r="F157" i="13" s="1"/>
  <c r="N156" i="13"/>
  <c r="O156" i="13" s="1"/>
  <c r="L156" i="13"/>
  <c r="K156" i="13"/>
  <c r="I156" i="13"/>
  <c r="H156" i="13"/>
  <c r="E156" i="13"/>
  <c r="F156" i="13" s="1"/>
  <c r="N155" i="13"/>
  <c r="O155" i="13" s="1"/>
  <c r="L155" i="13"/>
  <c r="K155" i="13"/>
  <c r="I155" i="13"/>
  <c r="H155" i="13"/>
  <c r="E155" i="13"/>
  <c r="F155" i="13" s="1"/>
  <c r="N154" i="13"/>
  <c r="O154" i="13" s="1"/>
  <c r="L154" i="13"/>
  <c r="K154" i="13"/>
  <c r="I154" i="13"/>
  <c r="H154" i="13"/>
  <c r="E154" i="13"/>
  <c r="F154" i="13" s="1"/>
  <c r="N153" i="13"/>
  <c r="O153" i="13" s="1"/>
  <c r="L153" i="13"/>
  <c r="K153" i="13"/>
  <c r="I153" i="13"/>
  <c r="H153" i="13"/>
  <c r="E153" i="13"/>
  <c r="F153" i="13" s="1"/>
  <c r="N152" i="13"/>
  <c r="O152" i="13" s="1"/>
  <c r="L152" i="13"/>
  <c r="K152" i="13"/>
  <c r="K172" i="13" s="1"/>
  <c r="I152" i="13"/>
  <c r="I172" i="13" s="1"/>
  <c r="H152" i="13"/>
  <c r="H172" i="13" s="1"/>
  <c r="E152" i="13"/>
  <c r="F152" i="13" s="1"/>
  <c r="M150" i="13"/>
  <c r="J150" i="13"/>
  <c r="G150" i="13"/>
  <c r="D150" i="13"/>
  <c r="B150" i="13"/>
  <c r="M149" i="13"/>
  <c r="G149" i="13"/>
  <c r="B145" i="13"/>
  <c r="O144" i="13"/>
  <c r="N144" i="13"/>
  <c r="L144" i="13"/>
  <c r="K144" i="13"/>
  <c r="I144" i="13"/>
  <c r="H144" i="13"/>
  <c r="F144" i="13"/>
  <c r="E144" i="13"/>
  <c r="O143" i="13"/>
  <c r="N143" i="13"/>
  <c r="L143" i="13"/>
  <c r="K143" i="13"/>
  <c r="I143" i="13"/>
  <c r="H143" i="13"/>
  <c r="E143" i="13"/>
  <c r="F143" i="13" s="1"/>
  <c r="O142" i="13"/>
  <c r="N142" i="13"/>
  <c r="L142" i="13"/>
  <c r="K142" i="13"/>
  <c r="I142" i="13"/>
  <c r="H142" i="13"/>
  <c r="E142" i="13"/>
  <c r="F142" i="13" s="1"/>
  <c r="O141" i="13"/>
  <c r="N141" i="13"/>
  <c r="L141" i="13"/>
  <c r="K141" i="13"/>
  <c r="I141" i="13"/>
  <c r="H141" i="13"/>
  <c r="E141" i="13"/>
  <c r="F141" i="13" s="1"/>
  <c r="O140" i="13"/>
  <c r="N140" i="13"/>
  <c r="L140" i="13"/>
  <c r="K140" i="13"/>
  <c r="I140" i="13"/>
  <c r="H140" i="13"/>
  <c r="E140" i="13"/>
  <c r="F140" i="13" s="1"/>
  <c r="O139" i="13"/>
  <c r="N139" i="13"/>
  <c r="L139" i="13"/>
  <c r="K139" i="13"/>
  <c r="I139" i="13"/>
  <c r="H139" i="13"/>
  <c r="E139" i="13"/>
  <c r="F139" i="13" s="1"/>
  <c r="O138" i="13"/>
  <c r="N138" i="13"/>
  <c r="L138" i="13"/>
  <c r="K138" i="13"/>
  <c r="I138" i="13"/>
  <c r="H138" i="13"/>
  <c r="E138" i="13"/>
  <c r="F138" i="13" s="1"/>
  <c r="O137" i="13"/>
  <c r="N137" i="13"/>
  <c r="L137" i="13"/>
  <c r="K137" i="13"/>
  <c r="I137" i="13"/>
  <c r="H137" i="13"/>
  <c r="E137" i="13"/>
  <c r="F137" i="13" s="1"/>
  <c r="O136" i="13"/>
  <c r="N136" i="13"/>
  <c r="L136" i="13"/>
  <c r="K136" i="13"/>
  <c r="I136" i="13"/>
  <c r="H136" i="13"/>
  <c r="E136" i="13"/>
  <c r="F136" i="13" s="1"/>
  <c r="O135" i="13"/>
  <c r="N135" i="13"/>
  <c r="L135" i="13"/>
  <c r="K135" i="13"/>
  <c r="I135" i="13"/>
  <c r="H135" i="13"/>
  <c r="E135" i="13"/>
  <c r="F135" i="13" s="1"/>
  <c r="O134" i="13"/>
  <c r="N134" i="13"/>
  <c r="L134" i="13"/>
  <c r="K134" i="13"/>
  <c r="I134" i="13"/>
  <c r="H134" i="13"/>
  <c r="E134" i="13"/>
  <c r="F134" i="13" s="1"/>
  <c r="O133" i="13"/>
  <c r="N133" i="13"/>
  <c r="L133" i="13"/>
  <c r="K133" i="13"/>
  <c r="I133" i="13"/>
  <c r="H133" i="13"/>
  <c r="E133" i="13"/>
  <c r="F133" i="13" s="1"/>
  <c r="O132" i="13"/>
  <c r="N132" i="13"/>
  <c r="L132" i="13"/>
  <c r="K132" i="13"/>
  <c r="I132" i="13"/>
  <c r="H132" i="13"/>
  <c r="E132" i="13"/>
  <c r="F132" i="13" s="1"/>
  <c r="O131" i="13"/>
  <c r="N131" i="13"/>
  <c r="L131" i="13"/>
  <c r="K131" i="13"/>
  <c r="I131" i="13"/>
  <c r="H131" i="13"/>
  <c r="E131" i="13"/>
  <c r="F131" i="13" s="1"/>
  <c r="O130" i="13"/>
  <c r="N130" i="13"/>
  <c r="L130" i="13"/>
  <c r="K130" i="13"/>
  <c r="I130" i="13"/>
  <c r="H130" i="13"/>
  <c r="E130" i="13"/>
  <c r="F130" i="13" s="1"/>
  <c r="O129" i="13"/>
  <c r="N129" i="13"/>
  <c r="L129" i="13"/>
  <c r="K129" i="13"/>
  <c r="I129" i="13"/>
  <c r="H129" i="13"/>
  <c r="E129" i="13"/>
  <c r="F129" i="13" s="1"/>
  <c r="O128" i="13"/>
  <c r="N128" i="13"/>
  <c r="L128" i="13"/>
  <c r="K128" i="13"/>
  <c r="I128" i="13"/>
  <c r="H128" i="13"/>
  <c r="E128" i="13"/>
  <c r="F128" i="13" s="1"/>
  <c r="O127" i="13"/>
  <c r="N127" i="13"/>
  <c r="L127" i="13"/>
  <c r="K127" i="13"/>
  <c r="I127" i="13"/>
  <c r="H127" i="13"/>
  <c r="E127" i="13"/>
  <c r="F127" i="13" s="1"/>
  <c r="O126" i="13"/>
  <c r="N126" i="13"/>
  <c r="L126" i="13"/>
  <c r="K126" i="13"/>
  <c r="I126" i="13"/>
  <c r="H126" i="13"/>
  <c r="E126" i="13"/>
  <c r="F126" i="13" s="1"/>
  <c r="O125" i="13"/>
  <c r="O145" i="13" s="1"/>
  <c r="N125" i="13"/>
  <c r="L125" i="13"/>
  <c r="K125" i="13"/>
  <c r="K145" i="13" s="1"/>
  <c r="I125" i="13"/>
  <c r="I145" i="13" s="1"/>
  <c r="H125" i="13"/>
  <c r="H145" i="13" s="1"/>
  <c r="E125" i="13"/>
  <c r="F125" i="13" s="1"/>
  <c r="M123" i="13"/>
  <c r="J123" i="13"/>
  <c r="G123" i="13"/>
  <c r="D123" i="13"/>
  <c r="B123" i="13"/>
  <c r="M122" i="13"/>
  <c r="G122" i="13"/>
  <c r="B118" i="13"/>
  <c r="O117" i="13"/>
  <c r="N117" i="13"/>
  <c r="L117" i="13"/>
  <c r="K117" i="13"/>
  <c r="I117" i="13"/>
  <c r="H117" i="13"/>
  <c r="E117" i="13"/>
  <c r="F117" i="13" s="1"/>
  <c r="O116" i="13"/>
  <c r="N116" i="13"/>
  <c r="L116" i="13"/>
  <c r="K116" i="13"/>
  <c r="I116" i="13"/>
  <c r="H116" i="13"/>
  <c r="E116" i="13"/>
  <c r="F116" i="13" s="1"/>
  <c r="O115" i="13"/>
  <c r="N115" i="13"/>
  <c r="L115" i="13"/>
  <c r="K115" i="13"/>
  <c r="I115" i="13"/>
  <c r="H115" i="13"/>
  <c r="E115" i="13"/>
  <c r="F115" i="13" s="1"/>
  <c r="O114" i="13"/>
  <c r="N114" i="13"/>
  <c r="L114" i="13"/>
  <c r="K114" i="13"/>
  <c r="I114" i="13"/>
  <c r="H114" i="13"/>
  <c r="E114" i="13"/>
  <c r="F114" i="13" s="1"/>
  <c r="O113" i="13"/>
  <c r="N113" i="13"/>
  <c r="L113" i="13"/>
  <c r="K113" i="13"/>
  <c r="I113" i="13"/>
  <c r="H113" i="13"/>
  <c r="E113" i="13"/>
  <c r="F113" i="13" s="1"/>
  <c r="O112" i="13"/>
  <c r="N112" i="13"/>
  <c r="L112" i="13"/>
  <c r="K112" i="13"/>
  <c r="I112" i="13"/>
  <c r="H112" i="13"/>
  <c r="E112" i="13"/>
  <c r="F112" i="13" s="1"/>
  <c r="O111" i="13"/>
  <c r="N111" i="13"/>
  <c r="L111" i="13"/>
  <c r="K111" i="13"/>
  <c r="I111" i="13"/>
  <c r="H111" i="13"/>
  <c r="E111" i="13"/>
  <c r="F111" i="13" s="1"/>
  <c r="O110" i="13"/>
  <c r="N110" i="13"/>
  <c r="L110" i="13"/>
  <c r="K110" i="13"/>
  <c r="I110" i="13"/>
  <c r="H110" i="13"/>
  <c r="E110" i="13"/>
  <c r="F110" i="13" s="1"/>
  <c r="O109" i="13"/>
  <c r="N109" i="13"/>
  <c r="L109" i="13"/>
  <c r="K109" i="13"/>
  <c r="I109" i="13"/>
  <c r="H109" i="13"/>
  <c r="E109" i="13"/>
  <c r="F109" i="13" s="1"/>
  <c r="O108" i="13"/>
  <c r="N108" i="13"/>
  <c r="L108" i="13"/>
  <c r="K108" i="13"/>
  <c r="I108" i="13"/>
  <c r="H108" i="13"/>
  <c r="E108" i="13"/>
  <c r="F108" i="13" s="1"/>
  <c r="O107" i="13"/>
  <c r="N107" i="13"/>
  <c r="L107" i="13"/>
  <c r="K107" i="13"/>
  <c r="I107" i="13"/>
  <c r="H107" i="13"/>
  <c r="E107" i="13"/>
  <c r="F107" i="13" s="1"/>
  <c r="O106" i="13"/>
  <c r="N106" i="13"/>
  <c r="L106" i="13"/>
  <c r="K106" i="13"/>
  <c r="I106" i="13"/>
  <c r="H106" i="13"/>
  <c r="E106" i="13"/>
  <c r="F106" i="13" s="1"/>
  <c r="O105" i="13"/>
  <c r="N105" i="13"/>
  <c r="L105" i="13"/>
  <c r="K105" i="13"/>
  <c r="I105" i="13"/>
  <c r="H105" i="13"/>
  <c r="E105" i="13"/>
  <c r="F105" i="13" s="1"/>
  <c r="O104" i="13"/>
  <c r="N104" i="13"/>
  <c r="L104" i="13"/>
  <c r="K104" i="13"/>
  <c r="I104" i="13"/>
  <c r="H104" i="13"/>
  <c r="E104" i="13"/>
  <c r="F104" i="13" s="1"/>
  <c r="O103" i="13"/>
  <c r="N103" i="13"/>
  <c r="L103" i="13"/>
  <c r="K103" i="13"/>
  <c r="I103" i="13"/>
  <c r="H103" i="13"/>
  <c r="E103" i="13"/>
  <c r="F103" i="13" s="1"/>
  <c r="O102" i="13"/>
  <c r="N102" i="13"/>
  <c r="L102" i="13"/>
  <c r="K102" i="13"/>
  <c r="I102" i="13"/>
  <c r="H102" i="13"/>
  <c r="E102" i="13"/>
  <c r="F102" i="13" s="1"/>
  <c r="O101" i="13"/>
  <c r="N101" i="13"/>
  <c r="L101" i="13"/>
  <c r="K101" i="13"/>
  <c r="I101" i="13"/>
  <c r="H101" i="13"/>
  <c r="E101" i="13"/>
  <c r="F101" i="13" s="1"/>
  <c r="O100" i="13"/>
  <c r="N100" i="13"/>
  <c r="L100" i="13"/>
  <c r="K100" i="13"/>
  <c r="I100" i="13"/>
  <c r="H100" i="13"/>
  <c r="E100" i="13"/>
  <c r="F100" i="13" s="1"/>
  <c r="O99" i="13"/>
  <c r="N99" i="13"/>
  <c r="L99" i="13"/>
  <c r="K99" i="13"/>
  <c r="I99" i="13"/>
  <c r="H99" i="13"/>
  <c r="E99" i="13"/>
  <c r="F99" i="13" s="1"/>
  <c r="O98" i="13"/>
  <c r="O118" i="13" s="1"/>
  <c r="N98" i="13"/>
  <c r="L98" i="13"/>
  <c r="L118" i="13" s="1"/>
  <c r="K98" i="13"/>
  <c r="K118" i="13" s="1"/>
  <c r="I98" i="13"/>
  <c r="I118" i="13" s="1"/>
  <c r="H98" i="13"/>
  <c r="H118" i="13" s="1"/>
  <c r="E98" i="13"/>
  <c r="F98" i="13" s="1"/>
  <c r="M96" i="13"/>
  <c r="J96" i="13"/>
  <c r="G96" i="13"/>
  <c r="D96" i="13"/>
  <c r="B96" i="13"/>
  <c r="M95" i="13"/>
  <c r="G95" i="13"/>
  <c r="B91" i="13"/>
  <c r="N90" i="13"/>
  <c r="O90" i="13" s="1"/>
  <c r="L90" i="13"/>
  <c r="K90" i="13"/>
  <c r="I90" i="13"/>
  <c r="H90" i="13"/>
  <c r="E90" i="13"/>
  <c r="F90" i="13" s="1"/>
  <c r="N89" i="13"/>
  <c r="O89" i="13" s="1"/>
  <c r="L89" i="13"/>
  <c r="K89" i="13"/>
  <c r="I89" i="13"/>
  <c r="H89" i="13"/>
  <c r="E89" i="13"/>
  <c r="F89" i="13" s="1"/>
  <c r="N88" i="13"/>
  <c r="O88" i="13" s="1"/>
  <c r="L88" i="13"/>
  <c r="K88" i="13"/>
  <c r="I88" i="13"/>
  <c r="H88" i="13"/>
  <c r="E88" i="13"/>
  <c r="F88" i="13" s="1"/>
  <c r="N87" i="13"/>
  <c r="O87" i="13" s="1"/>
  <c r="L87" i="13"/>
  <c r="K87" i="13"/>
  <c r="I87" i="13"/>
  <c r="H87" i="13"/>
  <c r="E87" i="13"/>
  <c r="F87" i="13" s="1"/>
  <c r="N86" i="13"/>
  <c r="O86" i="13" s="1"/>
  <c r="L86" i="13"/>
  <c r="K86" i="13"/>
  <c r="I86" i="13"/>
  <c r="H86" i="13"/>
  <c r="E86" i="13"/>
  <c r="F86" i="13" s="1"/>
  <c r="N85" i="13"/>
  <c r="O85" i="13" s="1"/>
  <c r="L85" i="13"/>
  <c r="K85" i="13"/>
  <c r="I85" i="13"/>
  <c r="H85" i="13"/>
  <c r="E85" i="13"/>
  <c r="F85" i="13" s="1"/>
  <c r="N84" i="13"/>
  <c r="O84" i="13" s="1"/>
  <c r="L84" i="13"/>
  <c r="K84" i="13"/>
  <c r="I84" i="13"/>
  <c r="H84" i="13"/>
  <c r="E84" i="13"/>
  <c r="F84" i="13" s="1"/>
  <c r="N83" i="13"/>
  <c r="O83" i="13" s="1"/>
  <c r="L83" i="13"/>
  <c r="K83" i="13"/>
  <c r="I83" i="13"/>
  <c r="H83" i="13"/>
  <c r="E83" i="13"/>
  <c r="F83" i="13" s="1"/>
  <c r="N82" i="13"/>
  <c r="O82" i="13" s="1"/>
  <c r="L82" i="13"/>
  <c r="K82" i="13"/>
  <c r="I82" i="13"/>
  <c r="H82" i="13"/>
  <c r="E82" i="13"/>
  <c r="F82" i="13" s="1"/>
  <c r="N81" i="13"/>
  <c r="O81" i="13" s="1"/>
  <c r="L81" i="13"/>
  <c r="K81" i="13"/>
  <c r="I81" i="13"/>
  <c r="H81" i="13"/>
  <c r="E81" i="13"/>
  <c r="F81" i="13" s="1"/>
  <c r="N80" i="13"/>
  <c r="O80" i="13" s="1"/>
  <c r="L80" i="13"/>
  <c r="K80" i="13"/>
  <c r="I80" i="13"/>
  <c r="H80" i="13"/>
  <c r="E80" i="13"/>
  <c r="F80" i="13" s="1"/>
  <c r="N79" i="13"/>
  <c r="O79" i="13" s="1"/>
  <c r="L79" i="13"/>
  <c r="K79" i="13"/>
  <c r="I79" i="13"/>
  <c r="H79" i="13"/>
  <c r="E79" i="13"/>
  <c r="F79" i="13" s="1"/>
  <c r="N78" i="13"/>
  <c r="O78" i="13" s="1"/>
  <c r="L78" i="13"/>
  <c r="K78" i="13"/>
  <c r="I78" i="13"/>
  <c r="H78" i="13"/>
  <c r="E78" i="13"/>
  <c r="F78" i="13" s="1"/>
  <c r="N77" i="13"/>
  <c r="O77" i="13" s="1"/>
  <c r="L77" i="13"/>
  <c r="K77" i="13"/>
  <c r="I77" i="13"/>
  <c r="H77" i="13"/>
  <c r="E77" i="13"/>
  <c r="F77" i="13" s="1"/>
  <c r="N76" i="13"/>
  <c r="O76" i="13" s="1"/>
  <c r="L76" i="13"/>
  <c r="K76" i="13"/>
  <c r="I76" i="13"/>
  <c r="H76" i="13"/>
  <c r="E76" i="13"/>
  <c r="F76" i="13" s="1"/>
  <c r="N75" i="13"/>
  <c r="O75" i="13" s="1"/>
  <c r="L75" i="13"/>
  <c r="K75" i="13"/>
  <c r="I75" i="13"/>
  <c r="H75" i="13"/>
  <c r="E75" i="13"/>
  <c r="F75" i="13" s="1"/>
  <c r="N74" i="13"/>
  <c r="O74" i="13" s="1"/>
  <c r="L74" i="13"/>
  <c r="K74" i="13"/>
  <c r="I74" i="13"/>
  <c r="H74" i="13"/>
  <c r="E74" i="13"/>
  <c r="F74" i="13" s="1"/>
  <c r="N73" i="13"/>
  <c r="O73" i="13" s="1"/>
  <c r="L73" i="13"/>
  <c r="K73" i="13"/>
  <c r="I73" i="13"/>
  <c r="H73" i="13"/>
  <c r="E73" i="13"/>
  <c r="F73" i="13" s="1"/>
  <c r="N72" i="13"/>
  <c r="O72" i="13" s="1"/>
  <c r="L72" i="13"/>
  <c r="K72" i="13"/>
  <c r="I72" i="13"/>
  <c r="H72" i="13"/>
  <c r="E72" i="13"/>
  <c r="F72" i="13" s="1"/>
  <c r="N71" i="13"/>
  <c r="L71" i="13"/>
  <c r="K71" i="13"/>
  <c r="K91" i="13" s="1"/>
  <c r="I71" i="13"/>
  <c r="I91" i="13" s="1"/>
  <c r="H71" i="13"/>
  <c r="H91" i="13" s="1"/>
  <c r="E71" i="13"/>
  <c r="F71" i="13" s="1"/>
  <c r="M69" i="13"/>
  <c r="J69" i="13"/>
  <c r="G69" i="13"/>
  <c r="D69" i="13"/>
  <c r="B69" i="13"/>
  <c r="M68" i="13"/>
  <c r="G68" i="13"/>
  <c r="B64" i="13"/>
  <c r="O63" i="13"/>
  <c r="N63" i="13"/>
  <c r="L63" i="13"/>
  <c r="K63" i="13"/>
  <c r="I63" i="13"/>
  <c r="H63" i="13"/>
  <c r="F63" i="13"/>
  <c r="E63" i="13"/>
  <c r="N62" i="13"/>
  <c r="O62" i="13" s="1"/>
  <c r="L62" i="13"/>
  <c r="K62" i="13"/>
  <c r="I62" i="13"/>
  <c r="H62" i="13"/>
  <c r="E62" i="13"/>
  <c r="F62" i="13" s="1"/>
  <c r="N61" i="13"/>
  <c r="O61" i="13" s="1"/>
  <c r="L61" i="13"/>
  <c r="K61" i="13"/>
  <c r="I61" i="13"/>
  <c r="H61" i="13"/>
  <c r="E61" i="13"/>
  <c r="F61" i="13" s="1"/>
  <c r="N60" i="13"/>
  <c r="O60" i="13" s="1"/>
  <c r="L60" i="13"/>
  <c r="K60" i="13"/>
  <c r="I60" i="13"/>
  <c r="H60" i="13"/>
  <c r="E60" i="13"/>
  <c r="F60" i="13" s="1"/>
  <c r="N59" i="13"/>
  <c r="O59" i="13" s="1"/>
  <c r="L59" i="13"/>
  <c r="K59" i="13"/>
  <c r="I59" i="13"/>
  <c r="H59" i="13"/>
  <c r="E59" i="13"/>
  <c r="F59" i="13" s="1"/>
  <c r="N58" i="13"/>
  <c r="O58" i="13" s="1"/>
  <c r="L58" i="13"/>
  <c r="K58" i="13"/>
  <c r="I58" i="13"/>
  <c r="H58" i="13"/>
  <c r="E58" i="13"/>
  <c r="F58" i="13" s="1"/>
  <c r="N57" i="13"/>
  <c r="O57" i="13" s="1"/>
  <c r="L57" i="13"/>
  <c r="K57" i="13"/>
  <c r="I57" i="13"/>
  <c r="H57" i="13"/>
  <c r="E57" i="13"/>
  <c r="F57" i="13" s="1"/>
  <c r="N56" i="13"/>
  <c r="O56" i="13" s="1"/>
  <c r="L56" i="13"/>
  <c r="K56" i="13"/>
  <c r="I56" i="13"/>
  <c r="H56" i="13"/>
  <c r="E56" i="13"/>
  <c r="F56" i="13" s="1"/>
  <c r="N55" i="13"/>
  <c r="O55" i="13" s="1"/>
  <c r="L55" i="13"/>
  <c r="K55" i="13"/>
  <c r="I55" i="13"/>
  <c r="H55" i="13"/>
  <c r="E55" i="13"/>
  <c r="F55" i="13" s="1"/>
  <c r="N54" i="13"/>
  <c r="O54" i="13" s="1"/>
  <c r="L54" i="13"/>
  <c r="K54" i="13"/>
  <c r="I54" i="13"/>
  <c r="H54" i="13"/>
  <c r="E54" i="13"/>
  <c r="F54" i="13" s="1"/>
  <c r="N53" i="13"/>
  <c r="O53" i="13" s="1"/>
  <c r="L53" i="13"/>
  <c r="K53" i="13"/>
  <c r="I53" i="13"/>
  <c r="H53" i="13"/>
  <c r="E53" i="13"/>
  <c r="F53" i="13" s="1"/>
  <c r="N52" i="13"/>
  <c r="O52" i="13" s="1"/>
  <c r="L52" i="13"/>
  <c r="K52" i="13"/>
  <c r="I52" i="13"/>
  <c r="H52" i="13"/>
  <c r="E52" i="13"/>
  <c r="F52" i="13" s="1"/>
  <c r="N51" i="13"/>
  <c r="O51" i="13" s="1"/>
  <c r="L51" i="13"/>
  <c r="K51" i="13"/>
  <c r="I51" i="13"/>
  <c r="H51" i="13"/>
  <c r="E51" i="13"/>
  <c r="F51" i="13" s="1"/>
  <c r="N50" i="13"/>
  <c r="O50" i="13" s="1"/>
  <c r="L50" i="13"/>
  <c r="K50" i="13"/>
  <c r="I50" i="13"/>
  <c r="H50" i="13"/>
  <c r="E50" i="13"/>
  <c r="F50" i="13" s="1"/>
  <c r="N49" i="13"/>
  <c r="O49" i="13" s="1"/>
  <c r="L49" i="13"/>
  <c r="K49" i="13"/>
  <c r="I49" i="13"/>
  <c r="H49" i="13"/>
  <c r="E49" i="13"/>
  <c r="F49" i="13" s="1"/>
  <c r="N48" i="13"/>
  <c r="O48" i="13" s="1"/>
  <c r="L48" i="13"/>
  <c r="K48" i="13"/>
  <c r="I48" i="13"/>
  <c r="H48" i="13"/>
  <c r="E48" i="13"/>
  <c r="F48" i="13" s="1"/>
  <c r="N47" i="13"/>
  <c r="O47" i="13" s="1"/>
  <c r="L47" i="13"/>
  <c r="K47" i="13"/>
  <c r="I47" i="13"/>
  <c r="H47" i="13"/>
  <c r="E47" i="13"/>
  <c r="F47" i="13" s="1"/>
  <c r="N46" i="13"/>
  <c r="O46" i="13" s="1"/>
  <c r="L46" i="13"/>
  <c r="K46" i="13"/>
  <c r="I46" i="13"/>
  <c r="H46" i="13"/>
  <c r="E46" i="13"/>
  <c r="F46" i="13" s="1"/>
  <c r="N45" i="13"/>
  <c r="O45" i="13" s="1"/>
  <c r="L45" i="13"/>
  <c r="K45" i="13"/>
  <c r="I45" i="13"/>
  <c r="H45" i="13"/>
  <c r="E45" i="13"/>
  <c r="N44" i="13"/>
  <c r="L44" i="13"/>
  <c r="K44" i="13"/>
  <c r="K64" i="13" s="1"/>
  <c r="I44" i="13"/>
  <c r="I64" i="13" s="1"/>
  <c r="H44" i="13"/>
  <c r="E44" i="13"/>
  <c r="F44" i="13" s="1"/>
  <c r="M42" i="13"/>
  <c r="J42" i="13"/>
  <c r="G42" i="13"/>
  <c r="D42" i="13"/>
  <c r="B42" i="13"/>
  <c r="M41" i="13"/>
  <c r="G41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B36" i="13"/>
  <c r="O35" i="13"/>
  <c r="N35" i="13"/>
  <c r="M35" i="13"/>
  <c r="L35" i="13"/>
  <c r="K35" i="13"/>
  <c r="J35" i="13"/>
  <c r="I35" i="13"/>
  <c r="H35" i="13"/>
  <c r="G35" i="13"/>
  <c r="F35" i="13"/>
  <c r="E35" i="13"/>
  <c r="D35" i="13"/>
  <c r="C35" i="13"/>
  <c r="B35" i="13"/>
  <c r="O34" i="13"/>
  <c r="N34" i="13"/>
  <c r="M34" i="13"/>
  <c r="L34" i="13"/>
  <c r="K34" i="13"/>
  <c r="J34" i="13"/>
  <c r="I34" i="13"/>
  <c r="H34" i="13"/>
  <c r="G34" i="13"/>
  <c r="F34" i="13"/>
  <c r="E34" i="13"/>
  <c r="D34" i="13"/>
  <c r="C34" i="13"/>
  <c r="B34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B33" i="13"/>
  <c r="O32" i="13"/>
  <c r="N32" i="13"/>
  <c r="M32" i="13"/>
  <c r="L32" i="13"/>
  <c r="K32" i="13"/>
  <c r="J32" i="13"/>
  <c r="I32" i="13"/>
  <c r="H32" i="13"/>
  <c r="G32" i="13"/>
  <c r="F32" i="13"/>
  <c r="E32" i="13"/>
  <c r="D32" i="13"/>
  <c r="C32" i="13"/>
  <c r="B32" i="13"/>
  <c r="O31" i="13"/>
  <c r="N31" i="13"/>
  <c r="M31" i="13"/>
  <c r="L31" i="13"/>
  <c r="K31" i="13"/>
  <c r="J31" i="13"/>
  <c r="I31" i="13"/>
  <c r="H31" i="13"/>
  <c r="G31" i="13"/>
  <c r="F31" i="13"/>
  <c r="E31" i="13"/>
  <c r="D31" i="13"/>
  <c r="C31" i="13"/>
  <c r="B31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B30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B29" i="13"/>
  <c r="O28" i="13"/>
  <c r="N28" i="13"/>
  <c r="M28" i="13"/>
  <c r="L28" i="13"/>
  <c r="K28" i="13"/>
  <c r="J28" i="13"/>
  <c r="I28" i="13"/>
  <c r="H28" i="13"/>
  <c r="G28" i="13"/>
  <c r="F28" i="13"/>
  <c r="E28" i="13"/>
  <c r="D28" i="13"/>
  <c r="C28" i="13"/>
  <c r="B28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B27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B26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B25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B23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C22" i="13"/>
  <c r="B22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B21" i="13"/>
  <c r="O20" i="13"/>
  <c r="N20" i="13"/>
  <c r="M20" i="13"/>
  <c r="L20" i="13"/>
  <c r="K20" i="13"/>
  <c r="J20" i="13"/>
  <c r="I20" i="13"/>
  <c r="H20" i="13"/>
  <c r="G20" i="13"/>
  <c r="F20" i="13"/>
  <c r="E20" i="13"/>
  <c r="D20" i="13"/>
  <c r="C20" i="13"/>
  <c r="B20" i="13"/>
  <c r="O19" i="13"/>
  <c r="N19" i="13"/>
  <c r="M19" i="13"/>
  <c r="L19" i="13"/>
  <c r="K19" i="13"/>
  <c r="J19" i="13"/>
  <c r="I19" i="13"/>
  <c r="H19" i="13"/>
  <c r="G19" i="13"/>
  <c r="F19" i="13"/>
  <c r="D19" i="13"/>
  <c r="C19" i="13"/>
  <c r="B19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B18" i="13"/>
  <c r="O17" i="13"/>
  <c r="N17" i="13"/>
  <c r="M17" i="13"/>
  <c r="L17" i="13"/>
  <c r="K17" i="13"/>
  <c r="J17" i="13"/>
  <c r="I17" i="13"/>
  <c r="H17" i="13"/>
  <c r="G17" i="13"/>
  <c r="F17" i="13"/>
  <c r="E17" i="13"/>
  <c r="D17" i="13"/>
  <c r="C17" i="13"/>
  <c r="B17" i="13"/>
  <c r="M15" i="13"/>
  <c r="J15" i="13"/>
  <c r="G15" i="13"/>
  <c r="D15" i="13"/>
  <c r="B15" i="13"/>
  <c r="M14" i="13"/>
  <c r="G14" i="13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B36" i="12"/>
  <c r="O35" i="12"/>
  <c r="N35" i="12"/>
  <c r="M35" i="12"/>
  <c r="L35" i="12"/>
  <c r="K35" i="12"/>
  <c r="J35" i="12"/>
  <c r="I35" i="12"/>
  <c r="H35" i="12"/>
  <c r="G35" i="12"/>
  <c r="F35" i="12"/>
  <c r="E35" i="12"/>
  <c r="D35" i="12"/>
  <c r="C35" i="12"/>
  <c r="B35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C34" i="12"/>
  <c r="B34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B33" i="12"/>
  <c r="O32" i="12"/>
  <c r="N32" i="12"/>
  <c r="M32" i="12"/>
  <c r="L32" i="12"/>
  <c r="K32" i="12"/>
  <c r="J32" i="12"/>
  <c r="I32" i="12"/>
  <c r="H32" i="12"/>
  <c r="G32" i="12"/>
  <c r="F32" i="12"/>
  <c r="E32" i="12"/>
  <c r="D32" i="12"/>
  <c r="C32" i="12"/>
  <c r="B32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C31" i="12"/>
  <c r="B31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B30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C29" i="12"/>
  <c r="B29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C28" i="12"/>
  <c r="B28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C27" i="12"/>
  <c r="B27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B26" i="12"/>
  <c r="O25" i="12"/>
  <c r="N25" i="12"/>
  <c r="M25" i="12"/>
  <c r="L25" i="12"/>
  <c r="K25" i="12"/>
  <c r="J25" i="12"/>
  <c r="I25" i="12"/>
  <c r="H25" i="12"/>
  <c r="G25" i="12"/>
  <c r="F25" i="12"/>
  <c r="E25" i="12"/>
  <c r="D25" i="12"/>
  <c r="C25" i="12"/>
  <c r="B25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B24" i="12"/>
  <c r="O23" i="12"/>
  <c r="N23" i="12"/>
  <c r="M23" i="12"/>
  <c r="L23" i="12"/>
  <c r="K23" i="12"/>
  <c r="J23" i="12"/>
  <c r="I23" i="12"/>
  <c r="H23" i="12"/>
  <c r="G23" i="12"/>
  <c r="F23" i="12"/>
  <c r="E23" i="12"/>
  <c r="D23" i="12"/>
  <c r="C23" i="12"/>
  <c r="B23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C22" i="12"/>
  <c r="B22" i="12"/>
  <c r="M21" i="12"/>
  <c r="J21" i="12"/>
  <c r="H21" i="12"/>
  <c r="G21" i="12"/>
  <c r="E21" i="12"/>
  <c r="D21" i="12"/>
  <c r="C21" i="12"/>
  <c r="B21" i="12"/>
  <c r="M20" i="12"/>
  <c r="J20" i="12"/>
  <c r="H20" i="12"/>
  <c r="G20" i="12"/>
  <c r="E20" i="12"/>
  <c r="D20" i="12"/>
  <c r="C20" i="12"/>
  <c r="B20" i="12"/>
  <c r="M19" i="12"/>
  <c r="J19" i="12"/>
  <c r="H19" i="12"/>
  <c r="G19" i="12"/>
  <c r="E19" i="12"/>
  <c r="D19" i="12"/>
  <c r="C19" i="12"/>
  <c r="B19" i="12"/>
  <c r="M18" i="12"/>
  <c r="J18" i="12"/>
  <c r="H18" i="12"/>
  <c r="G18" i="12"/>
  <c r="E18" i="12"/>
  <c r="D18" i="12"/>
  <c r="C18" i="12"/>
  <c r="B18" i="12"/>
  <c r="M17" i="12"/>
  <c r="J17" i="12"/>
  <c r="H17" i="12"/>
  <c r="G17" i="12"/>
  <c r="E17" i="12"/>
  <c r="D17" i="12"/>
  <c r="C17" i="12"/>
  <c r="B17" i="12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B199" i="12"/>
  <c r="F185" i="12" s="1"/>
  <c r="N198" i="12"/>
  <c r="O198" i="12" s="1"/>
  <c r="K198" i="12"/>
  <c r="L198" i="12" s="1"/>
  <c r="H198" i="12"/>
  <c r="I198" i="12" s="1"/>
  <c r="F198" i="12"/>
  <c r="E198" i="12"/>
  <c r="N197" i="12"/>
  <c r="O197" i="12" s="1"/>
  <c r="K197" i="12"/>
  <c r="L197" i="12" s="1"/>
  <c r="H197" i="12"/>
  <c r="I197" i="12" s="1"/>
  <c r="F197" i="12"/>
  <c r="E197" i="12"/>
  <c r="N196" i="12"/>
  <c r="O196" i="12" s="1"/>
  <c r="K196" i="12"/>
  <c r="L196" i="12" s="1"/>
  <c r="H196" i="12"/>
  <c r="I196" i="12" s="1"/>
  <c r="F196" i="12"/>
  <c r="E196" i="12"/>
  <c r="N195" i="12"/>
  <c r="O195" i="12" s="1"/>
  <c r="L195" i="12"/>
  <c r="K195" i="12"/>
  <c r="H195" i="12"/>
  <c r="I195" i="12" s="1"/>
  <c r="F195" i="12"/>
  <c r="E195" i="12"/>
  <c r="N194" i="12"/>
  <c r="O194" i="12" s="1"/>
  <c r="K194" i="12"/>
  <c r="L194" i="12" s="1"/>
  <c r="H194" i="12"/>
  <c r="I194" i="12" s="1"/>
  <c r="F194" i="12"/>
  <c r="E194" i="12"/>
  <c r="N193" i="12"/>
  <c r="O193" i="12" s="1"/>
  <c r="K193" i="12"/>
  <c r="L193" i="12" s="1"/>
  <c r="H193" i="12"/>
  <c r="I193" i="12" s="1"/>
  <c r="F193" i="12"/>
  <c r="E193" i="12"/>
  <c r="N192" i="12"/>
  <c r="O192" i="12" s="1"/>
  <c r="K192" i="12"/>
  <c r="L192" i="12" s="1"/>
  <c r="H192" i="12"/>
  <c r="I192" i="12" s="1"/>
  <c r="F192" i="12"/>
  <c r="E192" i="12"/>
  <c r="N191" i="12"/>
  <c r="O191" i="12" s="1"/>
  <c r="L191" i="12"/>
  <c r="K191" i="12"/>
  <c r="H191" i="12"/>
  <c r="I191" i="12" s="1"/>
  <c r="F191" i="12"/>
  <c r="E191" i="12"/>
  <c r="N190" i="12"/>
  <c r="O190" i="12" s="1"/>
  <c r="K190" i="12"/>
  <c r="L190" i="12" s="1"/>
  <c r="H190" i="12"/>
  <c r="I190" i="12" s="1"/>
  <c r="F190" i="12"/>
  <c r="E190" i="12"/>
  <c r="N189" i="12"/>
  <c r="O189" i="12" s="1"/>
  <c r="K189" i="12"/>
  <c r="L189" i="12" s="1"/>
  <c r="H189" i="12"/>
  <c r="I189" i="12" s="1"/>
  <c r="F189" i="12"/>
  <c r="E189" i="12"/>
  <c r="N188" i="12"/>
  <c r="O188" i="12" s="1"/>
  <c r="K188" i="12"/>
  <c r="L188" i="12" s="1"/>
  <c r="H188" i="12"/>
  <c r="F188" i="12"/>
  <c r="E188" i="12"/>
  <c r="N187" i="12"/>
  <c r="O187" i="12" s="1"/>
  <c r="L187" i="12"/>
  <c r="K187" i="12"/>
  <c r="H187" i="12"/>
  <c r="I187" i="12" s="1"/>
  <c r="E187" i="12"/>
  <c r="N186" i="12"/>
  <c r="O186" i="12" s="1"/>
  <c r="K186" i="12"/>
  <c r="L186" i="12" s="1"/>
  <c r="H186" i="12"/>
  <c r="F186" i="12"/>
  <c r="E186" i="12"/>
  <c r="N185" i="12"/>
  <c r="O185" i="12" s="1"/>
  <c r="K185" i="12"/>
  <c r="L185" i="12" s="1"/>
  <c r="H185" i="12"/>
  <c r="I185" i="12" s="1"/>
  <c r="E185" i="12"/>
  <c r="N184" i="12"/>
  <c r="O184" i="12" s="1"/>
  <c r="K184" i="12"/>
  <c r="L184" i="12" s="1"/>
  <c r="H184" i="12"/>
  <c r="F184" i="12"/>
  <c r="E184" i="12"/>
  <c r="N183" i="12"/>
  <c r="O183" i="12" s="1"/>
  <c r="K183" i="12"/>
  <c r="L183" i="12" s="1"/>
  <c r="H183" i="12"/>
  <c r="I183" i="12" s="1"/>
  <c r="E183" i="12"/>
  <c r="N182" i="12"/>
  <c r="O182" i="12" s="1"/>
  <c r="L182" i="12"/>
  <c r="K182" i="12"/>
  <c r="H182" i="12"/>
  <c r="F182" i="12"/>
  <c r="E182" i="12"/>
  <c r="O181" i="12"/>
  <c r="N181" i="12"/>
  <c r="K181" i="12"/>
  <c r="L181" i="12" s="1"/>
  <c r="H181" i="12"/>
  <c r="I181" i="12" s="1"/>
  <c r="E181" i="12"/>
  <c r="N180" i="12"/>
  <c r="O180" i="12" s="1"/>
  <c r="L180" i="12"/>
  <c r="K180" i="12"/>
  <c r="H180" i="12"/>
  <c r="F180" i="12"/>
  <c r="E180" i="12"/>
  <c r="N179" i="12"/>
  <c r="O179" i="12" s="1"/>
  <c r="L179" i="12"/>
  <c r="K179" i="12"/>
  <c r="H179" i="12"/>
  <c r="H199" i="12" s="1"/>
  <c r="E179" i="12"/>
  <c r="E199" i="12" s="1"/>
  <c r="M177" i="12"/>
  <c r="J177" i="12"/>
  <c r="G177" i="12"/>
  <c r="D177" i="12"/>
  <c r="B177" i="12"/>
  <c r="M176" i="12"/>
  <c r="G176" i="12"/>
  <c r="B172" i="12"/>
  <c r="F170" i="12" s="1"/>
  <c r="N171" i="12"/>
  <c r="O171" i="12" s="1"/>
  <c r="K171" i="12"/>
  <c r="L171" i="12" s="1"/>
  <c r="H171" i="12"/>
  <c r="F171" i="12"/>
  <c r="E171" i="12"/>
  <c r="N170" i="12"/>
  <c r="O170" i="12" s="1"/>
  <c r="K170" i="12"/>
  <c r="L170" i="12" s="1"/>
  <c r="H170" i="12"/>
  <c r="I170" i="12" s="1"/>
  <c r="E170" i="12"/>
  <c r="N169" i="12"/>
  <c r="O169" i="12" s="1"/>
  <c r="K169" i="12"/>
  <c r="L169" i="12" s="1"/>
  <c r="H169" i="12"/>
  <c r="F169" i="12"/>
  <c r="E169" i="12"/>
  <c r="N168" i="12"/>
  <c r="O168" i="12" s="1"/>
  <c r="K168" i="12"/>
  <c r="L168" i="12" s="1"/>
  <c r="H168" i="12"/>
  <c r="I168" i="12" s="1"/>
  <c r="E168" i="12"/>
  <c r="N167" i="12"/>
  <c r="O167" i="12" s="1"/>
  <c r="L167" i="12"/>
  <c r="K167" i="12"/>
  <c r="H167" i="12"/>
  <c r="F167" i="12"/>
  <c r="E167" i="12"/>
  <c r="N166" i="12"/>
  <c r="O166" i="12" s="1"/>
  <c r="K166" i="12"/>
  <c r="L166" i="12" s="1"/>
  <c r="H166" i="12"/>
  <c r="I166" i="12" s="1"/>
  <c r="E166" i="12"/>
  <c r="N165" i="12"/>
  <c r="O165" i="12" s="1"/>
  <c r="K165" i="12"/>
  <c r="L165" i="12" s="1"/>
  <c r="H165" i="12"/>
  <c r="F165" i="12"/>
  <c r="E165" i="12"/>
  <c r="O164" i="12"/>
  <c r="N164" i="12"/>
  <c r="L164" i="12"/>
  <c r="K164" i="12"/>
  <c r="H164" i="12"/>
  <c r="I164" i="12" s="1"/>
  <c r="E164" i="12"/>
  <c r="N163" i="12"/>
  <c r="O163" i="12" s="1"/>
  <c r="K163" i="12"/>
  <c r="L163" i="12" s="1"/>
  <c r="H163" i="12"/>
  <c r="F163" i="12"/>
  <c r="E163" i="12"/>
  <c r="O162" i="12"/>
  <c r="N162" i="12"/>
  <c r="K162" i="12"/>
  <c r="L162" i="12" s="1"/>
  <c r="H162" i="12"/>
  <c r="I162" i="12" s="1"/>
  <c r="E162" i="12"/>
  <c r="N161" i="12"/>
  <c r="O161" i="12" s="1"/>
  <c r="K161" i="12"/>
  <c r="L161" i="12" s="1"/>
  <c r="H161" i="12"/>
  <c r="F161" i="12"/>
  <c r="E161" i="12"/>
  <c r="N160" i="12"/>
  <c r="O160" i="12" s="1"/>
  <c r="K160" i="12"/>
  <c r="L160" i="12" s="1"/>
  <c r="H160" i="12"/>
  <c r="I160" i="12" s="1"/>
  <c r="E160" i="12"/>
  <c r="O159" i="12"/>
  <c r="N159" i="12"/>
  <c r="L159" i="12"/>
  <c r="K159" i="12"/>
  <c r="H159" i="12"/>
  <c r="F159" i="12"/>
  <c r="E159" i="12"/>
  <c r="N158" i="12"/>
  <c r="O158" i="12" s="1"/>
  <c r="K158" i="12"/>
  <c r="L158" i="12" s="1"/>
  <c r="H158" i="12"/>
  <c r="I158" i="12" s="1"/>
  <c r="E158" i="12"/>
  <c r="N157" i="12"/>
  <c r="O157" i="12" s="1"/>
  <c r="K157" i="12"/>
  <c r="L157" i="12" s="1"/>
  <c r="H157" i="12"/>
  <c r="F157" i="12"/>
  <c r="E157" i="12"/>
  <c r="N156" i="12"/>
  <c r="O156" i="12" s="1"/>
  <c r="L156" i="12"/>
  <c r="K156" i="12"/>
  <c r="H156" i="12"/>
  <c r="I156" i="12" s="1"/>
  <c r="E156" i="12"/>
  <c r="N155" i="12"/>
  <c r="O155" i="12" s="1"/>
  <c r="K155" i="12"/>
  <c r="L155" i="12" s="1"/>
  <c r="H155" i="12"/>
  <c r="F155" i="12"/>
  <c r="E155" i="12"/>
  <c r="N154" i="12"/>
  <c r="O154" i="12" s="1"/>
  <c r="K154" i="12"/>
  <c r="L154" i="12" s="1"/>
  <c r="H154" i="12"/>
  <c r="I154" i="12" s="1"/>
  <c r="E154" i="12"/>
  <c r="N153" i="12"/>
  <c r="O153" i="12" s="1"/>
  <c r="K153" i="12"/>
  <c r="L153" i="12" s="1"/>
  <c r="H153" i="12"/>
  <c r="F153" i="12"/>
  <c r="E153" i="12"/>
  <c r="O152" i="12"/>
  <c r="N152" i="12"/>
  <c r="K152" i="12"/>
  <c r="H152" i="12"/>
  <c r="H172" i="12" s="1"/>
  <c r="E152" i="12"/>
  <c r="E172" i="12" s="1"/>
  <c r="M150" i="12"/>
  <c r="J150" i="12"/>
  <c r="G150" i="12"/>
  <c r="D150" i="12"/>
  <c r="B150" i="12"/>
  <c r="M149" i="12"/>
  <c r="G149" i="12"/>
  <c r="B145" i="12"/>
  <c r="F129" i="12" s="1"/>
  <c r="O144" i="12"/>
  <c r="N144" i="12"/>
  <c r="L144" i="12"/>
  <c r="K144" i="12"/>
  <c r="I144" i="12"/>
  <c r="H144" i="12"/>
  <c r="F144" i="12"/>
  <c r="E144" i="12"/>
  <c r="N143" i="12"/>
  <c r="O143" i="12" s="1"/>
  <c r="L143" i="12"/>
  <c r="K143" i="12"/>
  <c r="H143" i="12"/>
  <c r="F143" i="12"/>
  <c r="E143" i="12"/>
  <c r="N142" i="12"/>
  <c r="O142" i="12" s="1"/>
  <c r="K142" i="12"/>
  <c r="L142" i="12" s="1"/>
  <c r="I142" i="12"/>
  <c r="H142" i="12"/>
  <c r="F142" i="12"/>
  <c r="E142" i="12"/>
  <c r="N141" i="12"/>
  <c r="O141" i="12" s="1"/>
  <c r="K141" i="12"/>
  <c r="L141" i="12" s="1"/>
  <c r="I141" i="12"/>
  <c r="H141" i="12"/>
  <c r="F141" i="12"/>
  <c r="E141" i="12"/>
  <c r="N140" i="12"/>
  <c r="O140" i="12" s="1"/>
  <c r="K140" i="12"/>
  <c r="L140" i="12" s="1"/>
  <c r="I140" i="12"/>
  <c r="H140" i="12"/>
  <c r="F140" i="12"/>
  <c r="E140" i="12"/>
  <c r="O139" i="12"/>
  <c r="N139" i="12"/>
  <c r="K139" i="12"/>
  <c r="L139" i="12" s="1"/>
  <c r="I139" i="12"/>
  <c r="H139" i="12"/>
  <c r="F139" i="12"/>
  <c r="E139" i="12"/>
  <c r="N138" i="12"/>
  <c r="O138" i="12" s="1"/>
  <c r="K138" i="12"/>
  <c r="L138" i="12" s="1"/>
  <c r="I138" i="12"/>
  <c r="H138" i="12"/>
  <c r="F138" i="12"/>
  <c r="E138" i="12"/>
  <c r="N137" i="12"/>
  <c r="O137" i="12" s="1"/>
  <c r="K137" i="12"/>
  <c r="L137" i="12" s="1"/>
  <c r="I137" i="12"/>
  <c r="H137" i="12"/>
  <c r="F137" i="12"/>
  <c r="E137" i="12"/>
  <c r="N136" i="12"/>
  <c r="O136" i="12" s="1"/>
  <c r="K136" i="12"/>
  <c r="L136" i="12" s="1"/>
  <c r="I136" i="12"/>
  <c r="H136" i="12"/>
  <c r="F136" i="12"/>
  <c r="E136" i="12"/>
  <c r="N135" i="12"/>
  <c r="O135" i="12" s="1"/>
  <c r="K135" i="12"/>
  <c r="L135" i="12" s="1"/>
  <c r="I135" i="12"/>
  <c r="H135" i="12"/>
  <c r="F135" i="12"/>
  <c r="E135" i="12"/>
  <c r="N134" i="12"/>
  <c r="O134" i="12" s="1"/>
  <c r="K134" i="12"/>
  <c r="L134" i="12" s="1"/>
  <c r="I134" i="12"/>
  <c r="H134" i="12"/>
  <c r="F134" i="12"/>
  <c r="E134" i="12"/>
  <c r="N133" i="12"/>
  <c r="O133" i="12" s="1"/>
  <c r="K133" i="12"/>
  <c r="L133" i="12" s="1"/>
  <c r="I133" i="12"/>
  <c r="H133" i="12"/>
  <c r="F133" i="12"/>
  <c r="E133" i="12"/>
  <c r="N132" i="12"/>
  <c r="O132" i="12" s="1"/>
  <c r="K132" i="12"/>
  <c r="L132" i="12" s="1"/>
  <c r="I132" i="12"/>
  <c r="H132" i="12"/>
  <c r="F132" i="12"/>
  <c r="E132" i="12"/>
  <c r="O131" i="12"/>
  <c r="N131" i="12"/>
  <c r="K131" i="12"/>
  <c r="L131" i="12" s="1"/>
  <c r="I131" i="12"/>
  <c r="H131" i="12"/>
  <c r="F131" i="12"/>
  <c r="E131" i="12"/>
  <c r="N130" i="12"/>
  <c r="O130" i="12" s="1"/>
  <c r="K130" i="12"/>
  <c r="L130" i="12" s="1"/>
  <c r="I130" i="12"/>
  <c r="H130" i="12"/>
  <c r="F130" i="12"/>
  <c r="E130" i="12"/>
  <c r="N129" i="12"/>
  <c r="O129" i="12" s="1"/>
  <c r="K129" i="12"/>
  <c r="L129" i="12" s="1"/>
  <c r="H129" i="12"/>
  <c r="I129" i="12" s="1"/>
  <c r="E129" i="12"/>
  <c r="N128" i="12"/>
  <c r="O128" i="12" s="1"/>
  <c r="L128" i="12"/>
  <c r="K128" i="12"/>
  <c r="H128" i="12"/>
  <c r="F128" i="12"/>
  <c r="E128" i="12"/>
  <c r="O127" i="12"/>
  <c r="N127" i="12"/>
  <c r="L127" i="12"/>
  <c r="K127" i="12"/>
  <c r="H127" i="12"/>
  <c r="I127" i="12" s="1"/>
  <c r="E127" i="12"/>
  <c r="N126" i="12"/>
  <c r="O126" i="12" s="1"/>
  <c r="K126" i="12"/>
  <c r="L126" i="12" s="1"/>
  <c r="H126" i="12"/>
  <c r="F126" i="12"/>
  <c r="E126" i="12"/>
  <c r="O125" i="12"/>
  <c r="N125" i="12"/>
  <c r="L125" i="12"/>
  <c r="K125" i="12"/>
  <c r="H125" i="12"/>
  <c r="H145" i="12" s="1"/>
  <c r="E125" i="12"/>
  <c r="E145" i="12" s="1"/>
  <c r="M123" i="12"/>
  <c r="J123" i="12"/>
  <c r="G123" i="12"/>
  <c r="D123" i="12"/>
  <c r="B123" i="12"/>
  <c r="M122" i="12"/>
  <c r="G122" i="12"/>
  <c r="B118" i="12"/>
  <c r="F117" i="12" s="1"/>
  <c r="N117" i="12"/>
  <c r="O117" i="12" s="1"/>
  <c r="K117" i="12"/>
  <c r="L117" i="12" s="1"/>
  <c r="H117" i="12"/>
  <c r="E117" i="12"/>
  <c r="N116" i="12"/>
  <c r="O116" i="12" s="1"/>
  <c r="K116" i="12"/>
  <c r="L116" i="12" s="1"/>
  <c r="H116" i="12"/>
  <c r="E116" i="12"/>
  <c r="N115" i="12"/>
  <c r="O115" i="12" s="1"/>
  <c r="K115" i="12"/>
  <c r="L115" i="12" s="1"/>
  <c r="H115" i="12"/>
  <c r="E115" i="12"/>
  <c r="N114" i="12"/>
  <c r="O114" i="12" s="1"/>
  <c r="L114" i="12"/>
  <c r="K114" i="12"/>
  <c r="H114" i="12"/>
  <c r="E114" i="12"/>
  <c r="N113" i="12"/>
  <c r="O113" i="12" s="1"/>
  <c r="K113" i="12"/>
  <c r="L113" i="12" s="1"/>
  <c r="H113" i="12"/>
  <c r="E113" i="12"/>
  <c r="O112" i="12"/>
  <c r="N112" i="12"/>
  <c r="L112" i="12"/>
  <c r="K112" i="12"/>
  <c r="H112" i="12"/>
  <c r="I112" i="12" s="1"/>
  <c r="E112" i="12"/>
  <c r="N111" i="12"/>
  <c r="O111" i="12" s="1"/>
  <c r="K111" i="12"/>
  <c r="L111" i="12" s="1"/>
  <c r="H111" i="12"/>
  <c r="E111" i="12"/>
  <c r="N110" i="12"/>
  <c r="O110" i="12" s="1"/>
  <c r="L110" i="12"/>
  <c r="K110" i="12"/>
  <c r="H110" i="12"/>
  <c r="E110" i="12"/>
  <c r="N109" i="12"/>
  <c r="O109" i="12" s="1"/>
  <c r="K109" i="12"/>
  <c r="L109" i="12" s="1"/>
  <c r="H109" i="12"/>
  <c r="E109" i="12"/>
  <c r="O108" i="12"/>
  <c r="N108" i="12"/>
  <c r="L108" i="12"/>
  <c r="K108" i="12"/>
  <c r="H108" i="12"/>
  <c r="E108" i="12"/>
  <c r="N107" i="12"/>
  <c r="O107" i="12" s="1"/>
  <c r="K107" i="12"/>
  <c r="L107" i="12" s="1"/>
  <c r="H107" i="12"/>
  <c r="F107" i="12"/>
  <c r="E107" i="12"/>
  <c r="O106" i="12"/>
  <c r="N106" i="12"/>
  <c r="K106" i="12"/>
  <c r="L106" i="12" s="1"/>
  <c r="H106" i="12"/>
  <c r="E106" i="12"/>
  <c r="N105" i="12"/>
  <c r="O105" i="12" s="1"/>
  <c r="L105" i="12"/>
  <c r="K105" i="12"/>
  <c r="H105" i="12"/>
  <c r="E105" i="12"/>
  <c r="N104" i="12"/>
  <c r="O104" i="12" s="1"/>
  <c r="K104" i="12"/>
  <c r="L104" i="12" s="1"/>
  <c r="H104" i="12"/>
  <c r="E104" i="12"/>
  <c r="N103" i="12"/>
  <c r="O103" i="12" s="1"/>
  <c r="L103" i="12"/>
  <c r="K103" i="12"/>
  <c r="H103" i="12"/>
  <c r="E103" i="12"/>
  <c r="O102" i="12"/>
  <c r="N102" i="12"/>
  <c r="K102" i="12"/>
  <c r="L102" i="12" s="1"/>
  <c r="H102" i="12"/>
  <c r="E102" i="12"/>
  <c r="N101" i="12"/>
  <c r="O101" i="12" s="1"/>
  <c r="L101" i="12"/>
  <c r="K101" i="12"/>
  <c r="H101" i="12"/>
  <c r="E101" i="12"/>
  <c r="N100" i="12"/>
  <c r="O100" i="12" s="1"/>
  <c r="K100" i="12"/>
  <c r="L100" i="12" s="1"/>
  <c r="H100" i="12"/>
  <c r="E100" i="12"/>
  <c r="N99" i="12"/>
  <c r="O99" i="12" s="1"/>
  <c r="L99" i="12"/>
  <c r="K99" i="12"/>
  <c r="H99" i="12"/>
  <c r="E99" i="12"/>
  <c r="O98" i="12"/>
  <c r="N98" i="12"/>
  <c r="K98" i="12"/>
  <c r="H98" i="12"/>
  <c r="H118" i="12" s="1"/>
  <c r="E98" i="12"/>
  <c r="E118" i="12" s="1"/>
  <c r="M96" i="12"/>
  <c r="J96" i="12"/>
  <c r="G96" i="12"/>
  <c r="D96" i="12"/>
  <c r="B96" i="12"/>
  <c r="M95" i="12"/>
  <c r="G95" i="12"/>
  <c r="B91" i="12"/>
  <c r="F90" i="12" s="1"/>
  <c r="N90" i="12"/>
  <c r="O90" i="12" s="1"/>
  <c r="K90" i="12"/>
  <c r="L90" i="12" s="1"/>
  <c r="H90" i="12"/>
  <c r="E90" i="12"/>
  <c r="N89" i="12"/>
  <c r="O89" i="12" s="1"/>
  <c r="K89" i="12"/>
  <c r="L89" i="12" s="1"/>
  <c r="H89" i="12"/>
  <c r="I89" i="12" s="1"/>
  <c r="E89" i="12"/>
  <c r="O88" i="12"/>
  <c r="N88" i="12"/>
  <c r="K88" i="12"/>
  <c r="L88" i="12" s="1"/>
  <c r="H88" i="12"/>
  <c r="E88" i="12"/>
  <c r="N87" i="12"/>
  <c r="O87" i="12" s="1"/>
  <c r="K87" i="12"/>
  <c r="L87" i="12" s="1"/>
  <c r="H87" i="12"/>
  <c r="E87" i="12"/>
  <c r="N86" i="12"/>
  <c r="O86" i="12" s="1"/>
  <c r="K86" i="12"/>
  <c r="L86" i="12" s="1"/>
  <c r="H86" i="12"/>
  <c r="E86" i="12"/>
  <c r="N85" i="12"/>
  <c r="N21" i="12" s="1"/>
  <c r="K85" i="12"/>
  <c r="K21" i="12" s="1"/>
  <c r="H85" i="12"/>
  <c r="I85" i="12" s="1"/>
  <c r="I21" i="12" s="1"/>
  <c r="E85" i="12"/>
  <c r="N84" i="12"/>
  <c r="O84" i="12" s="1"/>
  <c r="O20" i="12" s="1"/>
  <c r="L84" i="12"/>
  <c r="L20" i="12" s="1"/>
  <c r="K84" i="12"/>
  <c r="K20" i="12" s="1"/>
  <c r="H84" i="12"/>
  <c r="F84" i="12"/>
  <c r="F20" i="12" s="1"/>
  <c r="E84" i="12"/>
  <c r="O83" i="12"/>
  <c r="O19" i="12" s="1"/>
  <c r="N83" i="12"/>
  <c r="N19" i="12" s="1"/>
  <c r="L83" i="12"/>
  <c r="L19" i="12" s="1"/>
  <c r="K83" i="12"/>
  <c r="K19" i="12" s="1"/>
  <c r="H83" i="12"/>
  <c r="E83" i="12"/>
  <c r="N82" i="12"/>
  <c r="N18" i="12" s="1"/>
  <c r="K82" i="12"/>
  <c r="L82" i="12" s="1"/>
  <c r="L18" i="12" s="1"/>
  <c r="H82" i="12"/>
  <c r="E82" i="12"/>
  <c r="N81" i="12"/>
  <c r="N17" i="12" s="1"/>
  <c r="L81" i="12"/>
  <c r="L17" i="12" s="1"/>
  <c r="K81" i="12"/>
  <c r="K17" i="12" s="1"/>
  <c r="H81" i="12"/>
  <c r="E81" i="12"/>
  <c r="N80" i="12"/>
  <c r="O80" i="12" s="1"/>
  <c r="L80" i="12"/>
  <c r="K80" i="12"/>
  <c r="H80" i="12"/>
  <c r="E80" i="12"/>
  <c r="N79" i="12"/>
  <c r="O79" i="12" s="1"/>
  <c r="L79" i="12"/>
  <c r="K79" i="12"/>
  <c r="H79" i="12"/>
  <c r="E79" i="12"/>
  <c r="N78" i="12"/>
  <c r="O78" i="12" s="1"/>
  <c r="L78" i="12"/>
  <c r="K78" i="12"/>
  <c r="H78" i="12"/>
  <c r="E78" i="12"/>
  <c r="N77" i="12"/>
  <c r="O77" i="12" s="1"/>
  <c r="L77" i="12"/>
  <c r="K77" i="12"/>
  <c r="H77" i="12"/>
  <c r="E77" i="12"/>
  <c r="N76" i="12"/>
  <c r="O76" i="12" s="1"/>
  <c r="L76" i="12"/>
  <c r="K76" i="12"/>
  <c r="H76" i="12"/>
  <c r="E76" i="12"/>
  <c r="N75" i="12"/>
  <c r="O75" i="12" s="1"/>
  <c r="L75" i="12"/>
  <c r="K75" i="12"/>
  <c r="H75" i="12"/>
  <c r="E75" i="12"/>
  <c r="N74" i="12"/>
  <c r="O74" i="12" s="1"/>
  <c r="L74" i="12"/>
  <c r="K74" i="12"/>
  <c r="H74" i="12"/>
  <c r="I74" i="12" s="1"/>
  <c r="F74" i="12"/>
  <c r="E74" i="12"/>
  <c r="O73" i="12"/>
  <c r="N73" i="12"/>
  <c r="L73" i="12"/>
  <c r="K73" i="12"/>
  <c r="H73" i="12"/>
  <c r="F73" i="12"/>
  <c r="E73" i="12"/>
  <c r="N72" i="12"/>
  <c r="O72" i="12" s="1"/>
  <c r="L72" i="12"/>
  <c r="K72" i="12"/>
  <c r="H72" i="12"/>
  <c r="F72" i="12"/>
  <c r="E72" i="12"/>
  <c r="N71" i="12"/>
  <c r="O71" i="12" s="1"/>
  <c r="K71" i="12"/>
  <c r="K91" i="12" s="1"/>
  <c r="H71" i="12"/>
  <c r="H91" i="12" s="1"/>
  <c r="F71" i="12"/>
  <c r="E71" i="12"/>
  <c r="E91" i="12" s="1"/>
  <c r="M69" i="12"/>
  <c r="J69" i="12"/>
  <c r="G69" i="12"/>
  <c r="D69" i="12"/>
  <c r="B69" i="12"/>
  <c r="M68" i="12"/>
  <c r="G68" i="12"/>
  <c r="B64" i="12"/>
  <c r="O63" i="12"/>
  <c r="N63" i="12"/>
  <c r="L63" i="12"/>
  <c r="K63" i="12"/>
  <c r="I63" i="12"/>
  <c r="H63" i="12"/>
  <c r="F63" i="12"/>
  <c r="E63" i="12"/>
  <c r="N62" i="12"/>
  <c r="O62" i="12" s="1"/>
  <c r="K62" i="12"/>
  <c r="L62" i="12" s="1"/>
  <c r="H62" i="12"/>
  <c r="I62" i="12" s="1"/>
  <c r="E62" i="12"/>
  <c r="F62" i="12" s="1"/>
  <c r="N61" i="12"/>
  <c r="O61" i="12" s="1"/>
  <c r="L61" i="12"/>
  <c r="K61" i="12"/>
  <c r="I61" i="12"/>
  <c r="H61" i="12"/>
  <c r="E61" i="12"/>
  <c r="F61" i="12" s="1"/>
  <c r="N60" i="12"/>
  <c r="O60" i="12" s="1"/>
  <c r="K60" i="12"/>
  <c r="L60" i="12" s="1"/>
  <c r="I60" i="12"/>
  <c r="H60" i="12"/>
  <c r="E60" i="12"/>
  <c r="F60" i="12" s="1"/>
  <c r="N59" i="12"/>
  <c r="O59" i="12" s="1"/>
  <c r="K59" i="12"/>
  <c r="L59" i="12" s="1"/>
  <c r="H59" i="12"/>
  <c r="I59" i="12" s="1"/>
  <c r="E59" i="12"/>
  <c r="F59" i="12" s="1"/>
  <c r="N58" i="12"/>
  <c r="O58" i="12" s="1"/>
  <c r="L58" i="12"/>
  <c r="K58" i="12"/>
  <c r="H58" i="12"/>
  <c r="I58" i="12" s="1"/>
  <c r="E58" i="12"/>
  <c r="F58" i="12" s="1"/>
  <c r="N57" i="12"/>
  <c r="O57" i="12" s="1"/>
  <c r="K57" i="12"/>
  <c r="L57" i="12" s="1"/>
  <c r="I57" i="12"/>
  <c r="H57" i="12"/>
  <c r="E57" i="12"/>
  <c r="F57" i="12" s="1"/>
  <c r="N56" i="12"/>
  <c r="O56" i="12" s="1"/>
  <c r="L56" i="12"/>
  <c r="K56" i="12"/>
  <c r="I56" i="12"/>
  <c r="H56" i="12"/>
  <c r="E56" i="12"/>
  <c r="F56" i="12" s="1"/>
  <c r="N55" i="12"/>
  <c r="O55" i="12" s="1"/>
  <c r="L55" i="12"/>
  <c r="K55" i="12"/>
  <c r="H55" i="12"/>
  <c r="I55" i="12" s="1"/>
  <c r="E55" i="12"/>
  <c r="F55" i="12" s="1"/>
  <c r="N54" i="12"/>
  <c r="O54" i="12" s="1"/>
  <c r="K54" i="12"/>
  <c r="L54" i="12" s="1"/>
  <c r="H54" i="12"/>
  <c r="I54" i="12" s="1"/>
  <c r="E54" i="12"/>
  <c r="F54" i="12" s="1"/>
  <c r="N53" i="12"/>
  <c r="O53" i="12" s="1"/>
  <c r="L53" i="12"/>
  <c r="K53" i="12"/>
  <c r="I53" i="12"/>
  <c r="H53" i="12"/>
  <c r="E53" i="12"/>
  <c r="F53" i="12" s="1"/>
  <c r="N52" i="12"/>
  <c r="O52" i="12" s="1"/>
  <c r="K52" i="12"/>
  <c r="L52" i="12" s="1"/>
  <c r="I52" i="12"/>
  <c r="H52" i="12"/>
  <c r="E52" i="12"/>
  <c r="F52" i="12" s="1"/>
  <c r="N51" i="12"/>
  <c r="O51" i="12" s="1"/>
  <c r="K51" i="12"/>
  <c r="L51" i="12" s="1"/>
  <c r="H51" i="12"/>
  <c r="I51" i="12" s="1"/>
  <c r="E51" i="12"/>
  <c r="F51" i="12" s="1"/>
  <c r="N50" i="12"/>
  <c r="O50" i="12" s="1"/>
  <c r="L50" i="12"/>
  <c r="K50" i="12"/>
  <c r="H50" i="12"/>
  <c r="I50" i="12" s="1"/>
  <c r="E50" i="12"/>
  <c r="F50" i="12" s="1"/>
  <c r="N49" i="12"/>
  <c r="O49" i="12" s="1"/>
  <c r="K49" i="12"/>
  <c r="L49" i="12" s="1"/>
  <c r="I49" i="12"/>
  <c r="H49" i="12"/>
  <c r="E49" i="12"/>
  <c r="F49" i="12" s="1"/>
  <c r="N48" i="12"/>
  <c r="O48" i="12" s="1"/>
  <c r="L48" i="12"/>
  <c r="K48" i="12"/>
  <c r="I48" i="12"/>
  <c r="H48" i="12"/>
  <c r="E48" i="12"/>
  <c r="F48" i="12" s="1"/>
  <c r="N47" i="12"/>
  <c r="O47" i="12" s="1"/>
  <c r="L47" i="12"/>
  <c r="K47" i="12"/>
  <c r="H47" i="12"/>
  <c r="I47" i="12" s="1"/>
  <c r="E47" i="12"/>
  <c r="F47" i="12" s="1"/>
  <c r="N46" i="12"/>
  <c r="O46" i="12" s="1"/>
  <c r="K46" i="12"/>
  <c r="L46" i="12" s="1"/>
  <c r="H46" i="12"/>
  <c r="I46" i="12" s="1"/>
  <c r="E46" i="12"/>
  <c r="F46" i="12" s="1"/>
  <c r="N45" i="12"/>
  <c r="O45" i="12" s="1"/>
  <c r="L45" i="12"/>
  <c r="K45" i="12"/>
  <c r="I45" i="12"/>
  <c r="H45" i="12"/>
  <c r="E45" i="12"/>
  <c r="F45" i="12" s="1"/>
  <c r="N44" i="12"/>
  <c r="K44" i="12"/>
  <c r="K64" i="12" s="1"/>
  <c r="I44" i="12"/>
  <c r="H44" i="12"/>
  <c r="E44" i="12"/>
  <c r="M42" i="12"/>
  <c r="J42" i="12"/>
  <c r="G42" i="12"/>
  <c r="D42" i="12"/>
  <c r="B42" i="12"/>
  <c r="M41" i="12"/>
  <c r="G41" i="12"/>
  <c r="M15" i="12"/>
  <c r="J15" i="12"/>
  <c r="G15" i="12"/>
  <c r="D15" i="12"/>
  <c r="B15" i="12"/>
  <c r="M14" i="12"/>
  <c r="G14" i="12"/>
  <c r="B199" i="6"/>
  <c r="B172" i="6"/>
  <c r="B145" i="6"/>
  <c r="B118" i="6"/>
  <c r="B91" i="6"/>
  <c r="B64" i="6"/>
  <c r="E189" i="6"/>
  <c r="H189" i="6"/>
  <c r="K189" i="6"/>
  <c r="N189" i="6"/>
  <c r="E190" i="6"/>
  <c r="H190" i="6"/>
  <c r="K190" i="6"/>
  <c r="N190" i="6"/>
  <c r="E191" i="6"/>
  <c r="H191" i="6"/>
  <c r="K191" i="6"/>
  <c r="N191" i="6"/>
  <c r="E192" i="6"/>
  <c r="H192" i="6"/>
  <c r="K192" i="6"/>
  <c r="N192" i="6"/>
  <c r="E193" i="6"/>
  <c r="H193" i="6"/>
  <c r="K193" i="6"/>
  <c r="N193" i="6"/>
  <c r="E194" i="6"/>
  <c r="H194" i="6"/>
  <c r="K194" i="6"/>
  <c r="N194" i="6"/>
  <c r="E195" i="6"/>
  <c r="H195" i="6"/>
  <c r="K195" i="6"/>
  <c r="N195" i="6"/>
  <c r="E196" i="6"/>
  <c r="H196" i="6"/>
  <c r="K196" i="6"/>
  <c r="N196" i="6"/>
  <c r="E197" i="6"/>
  <c r="H197" i="6"/>
  <c r="K197" i="6"/>
  <c r="N197" i="6"/>
  <c r="E198" i="6"/>
  <c r="H198" i="6"/>
  <c r="K198" i="6"/>
  <c r="N198" i="6"/>
  <c r="E133" i="6"/>
  <c r="E129" i="6"/>
  <c r="E114" i="6"/>
  <c r="E110" i="6"/>
  <c r="E106" i="6"/>
  <c r="E102" i="6"/>
  <c r="E98" i="6"/>
  <c r="M150" i="6"/>
  <c r="M123" i="6"/>
  <c r="M177" i="6"/>
  <c r="M69" i="6"/>
  <c r="M42" i="6"/>
  <c r="M96" i="6"/>
  <c r="M15" i="6"/>
  <c r="J150" i="6"/>
  <c r="J123" i="6"/>
  <c r="J177" i="6"/>
  <c r="J69" i="6"/>
  <c r="J42" i="6"/>
  <c r="J96" i="6"/>
  <c r="J15" i="6"/>
  <c r="G150" i="6"/>
  <c r="G123" i="6"/>
  <c r="G177" i="6"/>
  <c r="G69" i="6"/>
  <c r="G42" i="6"/>
  <c r="G96" i="6"/>
  <c r="G15" i="6"/>
  <c r="D150" i="6"/>
  <c r="D123" i="6"/>
  <c r="D177" i="6"/>
  <c r="D69" i="6"/>
  <c r="D42" i="6"/>
  <c r="D96" i="6"/>
  <c r="D15" i="6"/>
  <c r="B177" i="6"/>
  <c r="B150" i="6"/>
  <c r="B123" i="6"/>
  <c r="B96" i="6"/>
  <c r="B69" i="6"/>
  <c r="B42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O188" i="6"/>
  <c r="N188" i="6"/>
  <c r="L188" i="6"/>
  <c r="K188" i="6"/>
  <c r="I188" i="6"/>
  <c r="H188" i="6"/>
  <c r="E188" i="6"/>
  <c r="F188" i="6" s="1"/>
  <c r="O187" i="6"/>
  <c r="N187" i="6"/>
  <c r="L187" i="6"/>
  <c r="K187" i="6"/>
  <c r="I187" i="6"/>
  <c r="H187" i="6"/>
  <c r="E187" i="6"/>
  <c r="F187" i="6" s="1"/>
  <c r="O186" i="6"/>
  <c r="N186" i="6"/>
  <c r="L186" i="6"/>
  <c r="K186" i="6"/>
  <c r="I186" i="6"/>
  <c r="H186" i="6"/>
  <c r="E186" i="6"/>
  <c r="F186" i="6" s="1"/>
  <c r="O185" i="6"/>
  <c r="N185" i="6"/>
  <c r="L185" i="6"/>
  <c r="K185" i="6"/>
  <c r="I185" i="6"/>
  <c r="H185" i="6"/>
  <c r="E185" i="6"/>
  <c r="F185" i="6" s="1"/>
  <c r="O184" i="6"/>
  <c r="N184" i="6"/>
  <c r="L184" i="6"/>
  <c r="K184" i="6"/>
  <c r="I184" i="6"/>
  <c r="H184" i="6"/>
  <c r="E184" i="6"/>
  <c r="F184" i="6" s="1"/>
  <c r="O183" i="6"/>
  <c r="N183" i="6"/>
  <c r="L183" i="6"/>
  <c r="K183" i="6"/>
  <c r="I183" i="6"/>
  <c r="H183" i="6"/>
  <c r="E183" i="6"/>
  <c r="F183" i="6" s="1"/>
  <c r="O182" i="6"/>
  <c r="N182" i="6"/>
  <c r="L182" i="6"/>
  <c r="K182" i="6"/>
  <c r="I182" i="6"/>
  <c r="H182" i="6"/>
  <c r="E182" i="6"/>
  <c r="F182" i="6" s="1"/>
  <c r="O181" i="6"/>
  <c r="N181" i="6"/>
  <c r="L181" i="6"/>
  <c r="K181" i="6"/>
  <c r="I181" i="6"/>
  <c r="H181" i="6"/>
  <c r="O180" i="6"/>
  <c r="N180" i="6"/>
  <c r="L180" i="6"/>
  <c r="K180" i="6"/>
  <c r="I180" i="6"/>
  <c r="H180" i="6"/>
  <c r="F180" i="6"/>
  <c r="E180" i="6"/>
  <c r="O179" i="6"/>
  <c r="N179" i="6"/>
  <c r="N199" i="6" s="1"/>
  <c r="L179" i="6"/>
  <c r="K179" i="6"/>
  <c r="K199" i="6" s="1"/>
  <c r="I179" i="6"/>
  <c r="H179" i="6"/>
  <c r="H199" i="6" s="1"/>
  <c r="F179" i="6"/>
  <c r="E179" i="6"/>
  <c r="M176" i="6"/>
  <c r="G176" i="6"/>
  <c r="O171" i="6"/>
  <c r="N171" i="6"/>
  <c r="L171" i="6"/>
  <c r="K171" i="6"/>
  <c r="I171" i="6"/>
  <c r="H171" i="6"/>
  <c r="E171" i="6"/>
  <c r="F171" i="6" s="1"/>
  <c r="O170" i="6"/>
  <c r="N170" i="6"/>
  <c r="L170" i="6"/>
  <c r="K170" i="6"/>
  <c r="I170" i="6"/>
  <c r="H170" i="6"/>
  <c r="E170" i="6"/>
  <c r="F170" i="6" s="1"/>
  <c r="O169" i="6"/>
  <c r="N169" i="6"/>
  <c r="L169" i="6"/>
  <c r="K169" i="6"/>
  <c r="I169" i="6"/>
  <c r="H169" i="6"/>
  <c r="E169" i="6"/>
  <c r="F169" i="6" s="1"/>
  <c r="O168" i="6"/>
  <c r="N168" i="6"/>
  <c r="L168" i="6"/>
  <c r="K168" i="6"/>
  <c r="I168" i="6"/>
  <c r="H168" i="6"/>
  <c r="E168" i="6"/>
  <c r="F168" i="6" s="1"/>
  <c r="O167" i="6"/>
  <c r="N167" i="6"/>
  <c r="L167" i="6"/>
  <c r="K167" i="6"/>
  <c r="I167" i="6"/>
  <c r="H167" i="6"/>
  <c r="E167" i="6"/>
  <c r="F167" i="6" s="1"/>
  <c r="O166" i="6"/>
  <c r="N166" i="6"/>
  <c r="L166" i="6"/>
  <c r="K166" i="6"/>
  <c r="I166" i="6"/>
  <c r="H166" i="6"/>
  <c r="E166" i="6"/>
  <c r="F166" i="6" s="1"/>
  <c r="O165" i="6"/>
  <c r="N165" i="6"/>
  <c r="L165" i="6"/>
  <c r="K165" i="6"/>
  <c r="I165" i="6"/>
  <c r="H165" i="6"/>
  <c r="E165" i="6"/>
  <c r="F165" i="6" s="1"/>
  <c r="O164" i="6"/>
  <c r="N164" i="6"/>
  <c r="L164" i="6"/>
  <c r="K164" i="6"/>
  <c r="I164" i="6"/>
  <c r="H164" i="6"/>
  <c r="E164" i="6"/>
  <c r="F164" i="6" s="1"/>
  <c r="O163" i="6"/>
  <c r="N163" i="6"/>
  <c r="L163" i="6"/>
  <c r="K163" i="6"/>
  <c r="I163" i="6"/>
  <c r="H163" i="6"/>
  <c r="E163" i="6"/>
  <c r="F163" i="6" s="1"/>
  <c r="O162" i="6"/>
  <c r="N162" i="6"/>
  <c r="L162" i="6"/>
  <c r="K162" i="6"/>
  <c r="I162" i="6"/>
  <c r="H162" i="6"/>
  <c r="E162" i="6"/>
  <c r="F162" i="6" s="1"/>
  <c r="O161" i="6"/>
  <c r="N161" i="6"/>
  <c r="L161" i="6"/>
  <c r="K161" i="6"/>
  <c r="I161" i="6"/>
  <c r="H161" i="6"/>
  <c r="E161" i="6"/>
  <c r="F161" i="6" s="1"/>
  <c r="O160" i="6"/>
  <c r="N160" i="6"/>
  <c r="L160" i="6"/>
  <c r="K160" i="6"/>
  <c r="I160" i="6"/>
  <c r="H160" i="6"/>
  <c r="E160" i="6"/>
  <c r="F160" i="6" s="1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E156" i="6"/>
  <c r="F156" i="6" s="1"/>
  <c r="O155" i="6"/>
  <c r="N155" i="6"/>
  <c r="L155" i="6"/>
  <c r="K155" i="6"/>
  <c r="I155" i="6"/>
  <c r="H155" i="6"/>
  <c r="E155" i="6"/>
  <c r="F155" i="6" s="1"/>
  <c r="O154" i="6"/>
  <c r="N154" i="6"/>
  <c r="L154" i="6"/>
  <c r="K154" i="6"/>
  <c r="I154" i="6"/>
  <c r="H154" i="6"/>
  <c r="E154" i="6"/>
  <c r="F154" i="6" s="1"/>
  <c r="O153" i="6"/>
  <c r="N153" i="6"/>
  <c r="L153" i="6"/>
  <c r="K153" i="6"/>
  <c r="I153" i="6"/>
  <c r="H153" i="6"/>
  <c r="E153" i="6"/>
  <c r="F153" i="6" s="1"/>
  <c r="O152" i="6"/>
  <c r="N152" i="6"/>
  <c r="N172" i="6" s="1"/>
  <c r="L152" i="6"/>
  <c r="K152" i="6"/>
  <c r="K172" i="6" s="1"/>
  <c r="I152" i="6"/>
  <c r="H152" i="6"/>
  <c r="H172" i="6" s="1"/>
  <c r="E152" i="6"/>
  <c r="M149" i="6"/>
  <c r="G149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E141" i="6"/>
  <c r="F141" i="6" s="1"/>
  <c r="O140" i="6"/>
  <c r="N140" i="6"/>
  <c r="L140" i="6"/>
  <c r="K140" i="6"/>
  <c r="I140" i="6"/>
  <c r="H140" i="6"/>
  <c r="E140" i="6"/>
  <c r="F140" i="6" s="1"/>
  <c r="O139" i="6"/>
  <c r="N139" i="6"/>
  <c r="L139" i="6"/>
  <c r="K139" i="6"/>
  <c r="I139" i="6"/>
  <c r="H139" i="6"/>
  <c r="E139" i="6"/>
  <c r="F139" i="6" s="1"/>
  <c r="O138" i="6"/>
  <c r="N138" i="6"/>
  <c r="L138" i="6"/>
  <c r="K138" i="6"/>
  <c r="I138" i="6"/>
  <c r="H138" i="6"/>
  <c r="E138" i="6"/>
  <c r="F138" i="6" s="1"/>
  <c r="O137" i="6"/>
  <c r="N137" i="6"/>
  <c r="L137" i="6"/>
  <c r="K137" i="6"/>
  <c r="I137" i="6"/>
  <c r="H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O132" i="6"/>
  <c r="N132" i="6"/>
  <c r="L132" i="6"/>
  <c r="K132" i="6"/>
  <c r="I132" i="6"/>
  <c r="H132" i="6"/>
  <c r="E132" i="6"/>
  <c r="F132" i="6" s="1"/>
  <c r="O131" i="6"/>
  <c r="N131" i="6"/>
  <c r="L131" i="6"/>
  <c r="K131" i="6"/>
  <c r="I131" i="6"/>
  <c r="H131" i="6"/>
  <c r="E131" i="6"/>
  <c r="F131" i="6" s="1"/>
  <c r="O130" i="6"/>
  <c r="N130" i="6"/>
  <c r="L130" i="6"/>
  <c r="K130" i="6"/>
  <c r="I130" i="6"/>
  <c r="H130" i="6"/>
  <c r="E130" i="6"/>
  <c r="F130" i="6" s="1"/>
  <c r="O129" i="6"/>
  <c r="N129" i="6"/>
  <c r="L129" i="6"/>
  <c r="K129" i="6"/>
  <c r="I129" i="6"/>
  <c r="H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K125" i="6"/>
  <c r="K145" i="6" s="1"/>
  <c r="I125" i="6"/>
  <c r="H125" i="6"/>
  <c r="H145" i="6" s="1"/>
  <c r="E125" i="6"/>
  <c r="F125" i="6" s="1"/>
  <c r="M122" i="6"/>
  <c r="G122" i="6"/>
  <c r="O117" i="6"/>
  <c r="N117" i="6"/>
  <c r="L117" i="6"/>
  <c r="K117" i="6"/>
  <c r="I117" i="6"/>
  <c r="H117" i="6"/>
  <c r="E117" i="6"/>
  <c r="F117" i="6" s="1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O113" i="6"/>
  <c r="N113" i="6"/>
  <c r="L113" i="6"/>
  <c r="K113" i="6"/>
  <c r="I113" i="6"/>
  <c r="H113" i="6"/>
  <c r="E113" i="6"/>
  <c r="F113" i="6" s="1"/>
  <c r="O112" i="6"/>
  <c r="N112" i="6"/>
  <c r="L112" i="6"/>
  <c r="K112" i="6"/>
  <c r="I112" i="6"/>
  <c r="H112" i="6"/>
  <c r="E112" i="6"/>
  <c r="F112" i="6" s="1"/>
  <c r="O111" i="6"/>
  <c r="N111" i="6"/>
  <c r="L111" i="6"/>
  <c r="K111" i="6"/>
  <c r="I111" i="6"/>
  <c r="H111" i="6"/>
  <c r="E111" i="6"/>
  <c r="F111" i="6" s="1"/>
  <c r="O110" i="6"/>
  <c r="N110" i="6"/>
  <c r="L110" i="6"/>
  <c r="K110" i="6"/>
  <c r="I110" i="6"/>
  <c r="H110" i="6"/>
  <c r="F110" i="6"/>
  <c r="O109" i="6"/>
  <c r="N109" i="6"/>
  <c r="L109" i="6"/>
  <c r="K109" i="6"/>
  <c r="I109" i="6"/>
  <c r="H109" i="6"/>
  <c r="E109" i="6"/>
  <c r="F109" i="6" s="1"/>
  <c r="O108" i="6"/>
  <c r="N108" i="6"/>
  <c r="L108" i="6"/>
  <c r="K108" i="6"/>
  <c r="I108" i="6"/>
  <c r="H108" i="6"/>
  <c r="E108" i="6"/>
  <c r="F108" i="6" s="1"/>
  <c r="O107" i="6"/>
  <c r="N107" i="6"/>
  <c r="L107" i="6"/>
  <c r="K107" i="6"/>
  <c r="I107" i="6"/>
  <c r="H107" i="6"/>
  <c r="E107" i="6"/>
  <c r="F107" i="6" s="1"/>
  <c r="O106" i="6"/>
  <c r="N106" i="6"/>
  <c r="L106" i="6"/>
  <c r="K106" i="6"/>
  <c r="I106" i="6"/>
  <c r="H106" i="6"/>
  <c r="F106" i="6"/>
  <c r="O105" i="6"/>
  <c r="N105" i="6"/>
  <c r="L105" i="6"/>
  <c r="K105" i="6"/>
  <c r="I105" i="6"/>
  <c r="H105" i="6"/>
  <c r="E105" i="6"/>
  <c r="F105" i="6" s="1"/>
  <c r="O104" i="6"/>
  <c r="N104" i="6"/>
  <c r="L104" i="6"/>
  <c r="K104" i="6"/>
  <c r="I104" i="6"/>
  <c r="H104" i="6"/>
  <c r="E104" i="6"/>
  <c r="F104" i="6" s="1"/>
  <c r="O103" i="6"/>
  <c r="N103" i="6"/>
  <c r="L103" i="6"/>
  <c r="K103" i="6"/>
  <c r="I103" i="6"/>
  <c r="H103" i="6"/>
  <c r="E103" i="6"/>
  <c r="F103" i="6" s="1"/>
  <c r="O102" i="6"/>
  <c r="N102" i="6"/>
  <c r="L102" i="6"/>
  <c r="K102" i="6"/>
  <c r="I102" i="6"/>
  <c r="H102" i="6"/>
  <c r="F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N98" i="6"/>
  <c r="N118" i="6" s="1"/>
  <c r="L98" i="6"/>
  <c r="K98" i="6"/>
  <c r="K118" i="6" s="1"/>
  <c r="I98" i="6"/>
  <c r="H98" i="6"/>
  <c r="H118" i="6" s="1"/>
  <c r="F98" i="6"/>
  <c r="M95" i="6"/>
  <c r="G95" i="6"/>
  <c r="O90" i="6"/>
  <c r="N90" i="6"/>
  <c r="L90" i="6"/>
  <c r="K90" i="6"/>
  <c r="I90" i="6"/>
  <c r="H90" i="6"/>
  <c r="E90" i="6"/>
  <c r="F90" i="6" s="1"/>
  <c r="O89" i="6"/>
  <c r="N89" i="6"/>
  <c r="L89" i="6"/>
  <c r="K89" i="6"/>
  <c r="I89" i="6"/>
  <c r="H89" i="6"/>
  <c r="E89" i="6"/>
  <c r="F89" i="6" s="1"/>
  <c r="O88" i="6"/>
  <c r="N88" i="6"/>
  <c r="L88" i="6"/>
  <c r="K88" i="6"/>
  <c r="I88" i="6"/>
  <c r="H88" i="6"/>
  <c r="E88" i="6"/>
  <c r="F88" i="6" s="1"/>
  <c r="O87" i="6"/>
  <c r="N87" i="6"/>
  <c r="L87" i="6"/>
  <c r="K87" i="6"/>
  <c r="I87" i="6"/>
  <c r="H87" i="6"/>
  <c r="O86" i="6"/>
  <c r="N86" i="6"/>
  <c r="L86" i="6"/>
  <c r="K86" i="6"/>
  <c r="I86" i="6"/>
  <c r="H86" i="6"/>
  <c r="E86" i="6"/>
  <c r="F86" i="6" s="1"/>
  <c r="O85" i="6"/>
  <c r="N85" i="6"/>
  <c r="L85" i="6"/>
  <c r="K85" i="6"/>
  <c r="I85" i="6"/>
  <c r="H85" i="6"/>
  <c r="E85" i="6"/>
  <c r="F85" i="6" s="1"/>
  <c r="O84" i="6"/>
  <c r="N84" i="6"/>
  <c r="L84" i="6"/>
  <c r="K84" i="6"/>
  <c r="I84" i="6"/>
  <c r="H84" i="6"/>
  <c r="E84" i="6"/>
  <c r="F84" i="6" s="1"/>
  <c r="O83" i="6"/>
  <c r="N83" i="6"/>
  <c r="L83" i="6"/>
  <c r="K83" i="6"/>
  <c r="I83" i="6"/>
  <c r="H83" i="6"/>
  <c r="O82" i="6"/>
  <c r="N82" i="6"/>
  <c r="L82" i="6"/>
  <c r="K82" i="6"/>
  <c r="I82" i="6"/>
  <c r="H82" i="6"/>
  <c r="E82" i="6"/>
  <c r="F82" i="6" s="1"/>
  <c r="O81" i="6"/>
  <c r="N81" i="6"/>
  <c r="L81" i="6"/>
  <c r="K81" i="6"/>
  <c r="I81" i="6"/>
  <c r="H81" i="6"/>
  <c r="E81" i="6"/>
  <c r="F81" i="6" s="1"/>
  <c r="O80" i="6"/>
  <c r="N80" i="6"/>
  <c r="L80" i="6"/>
  <c r="K80" i="6"/>
  <c r="I80" i="6"/>
  <c r="H80" i="6"/>
  <c r="E80" i="6"/>
  <c r="F80" i="6" s="1"/>
  <c r="O79" i="6"/>
  <c r="N79" i="6"/>
  <c r="L79" i="6"/>
  <c r="K79" i="6"/>
  <c r="I79" i="6"/>
  <c r="H79" i="6"/>
  <c r="O78" i="6"/>
  <c r="N78" i="6"/>
  <c r="L78" i="6"/>
  <c r="K78" i="6"/>
  <c r="I78" i="6"/>
  <c r="H78" i="6"/>
  <c r="E78" i="6"/>
  <c r="F78" i="6" s="1"/>
  <c r="O77" i="6"/>
  <c r="N77" i="6"/>
  <c r="L77" i="6"/>
  <c r="K77" i="6"/>
  <c r="I77" i="6"/>
  <c r="H77" i="6"/>
  <c r="E77" i="6"/>
  <c r="F77" i="6" s="1"/>
  <c r="O76" i="6"/>
  <c r="N76" i="6"/>
  <c r="L76" i="6"/>
  <c r="K76" i="6"/>
  <c r="I76" i="6"/>
  <c r="H76" i="6"/>
  <c r="E76" i="6"/>
  <c r="F76" i="6" s="1"/>
  <c r="O75" i="6"/>
  <c r="N75" i="6"/>
  <c r="L75" i="6"/>
  <c r="K75" i="6"/>
  <c r="I75" i="6"/>
  <c r="H75" i="6"/>
  <c r="O74" i="6"/>
  <c r="N74" i="6"/>
  <c r="L74" i="6"/>
  <c r="K74" i="6"/>
  <c r="I74" i="6"/>
  <c r="H74" i="6"/>
  <c r="E74" i="6"/>
  <c r="F74" i="6" s="1"/>
  <c r="O73" i="6"/>
  <c r="N73" i="6"/>
  <c r="L73" i="6"/>
  <c r="K73" i="6"/>
  <c r="I73" i="6"/>
  <c r="H73" i="6"/>
  <c r="E73" i="6"/>
  <c r="F73" i="6" s="1"/>
  <c r="O72" i="6"/>
  <c r="N72" i="6"/>
  <c r="L72" i="6"/>
  <c r="K72" i="6"/>
  <c r="I72" i="6"/>
  <c r="H72" i="6"/>
  <c r="E72" i="6"/>
  <c r="F72" i="6" s="1"/>
  <c r="O71" i="6"/>
  <c r="N71" i="6"/>
  <c r="N91" i="6" s="1"/>
  <c r="L71" i="6"/>
  <c r="L91" i="6" s="1"/>
  <c r="K71" i="6"/>
  <c r="K91" i="6" s="1"/>
  <c r="I71" i="6"/>
  <c r="H71" i="6"/>
  <c r="H91" i="6" s="1"/>
  <c r="M68" i="6"/>
  <c r="G68" i="6"/>
  <c r="O63" i="6"/>
  <c r="N63" i="6"/>
  <c r="L63" i="6"/>
  <c r="K63" i="6"/>
  <c r="I63" i="6"/>
  <c r="H63" i="6"/>
  <c r="O62" i="6"/>
  <c r="N62" i="6"/>
  <c r="L62" i="6"/>
  <c r="K62" i="6"/>
  <c r="I62" i="6"/>
  <c r="H62" i="6"/>
  <c r="O61" i="6"/>
  <c r="N61" i="6"/>
  <c r="L61" i="6"/>
  <c r="K61" i="6"/>
  <c r="I61" i="6"/>
  <c r="H61" i="6"/>
  <c r="O60" i="6"/>
  <c r="N60" i="6"/>
  <c r="L60" i="6"/>
  <c r="K60" i="6"/>
  <c r="I60" i="6"/>
  <c r="H60" i="6"/>
  <c r="O59" i="6"/>
  <c r="N59" i="6"/>
  <c r="L59" i="6"/>
  <c r="K59" i="6"/>
  <c r="I59" i="6"/>
  <c r="H59" i="6"/>
  <c r="O58" i="6"/>
  <c r="N58" i="6"/>
  <c r="L58" i="6"/>
  <c r="K58" i="6"/>
  <c r="I58" i="6"/>
  <c r="H58" i="6"/>
  <c r="O57" i="6"/>
  <c r="N57" i="6"/>
  <c r="L57" i="6"/>
  <c r="K57" i="6"/>
  <c r="I57" i="6"/>
  <c r="H57" i="6"/>
  <c r="O56" i="6"/>
  <c r="N56" i="6"/>
  <c r="L56" i="6"/>
  <c r="K56" i="6"/>
  <c r="I56" i="6"/>
  <c r="H56" i="6"/>
  <c r="O55" i="6"/>
  <c r="N55" i="6"/>
  <c r="L55" i="6"/>
  <c r="K55" i="6"/>
  <c r="I55" i="6"/>
  <c r="H55" i="6"/>
  <c r="O54" i="6"/>
  <c r="N54" i="6"/>
  <c r="L54" i="6"/>
  <c r="K54" i="6"/>
  <c r="I54" i="6"/>
  <c r="H54" i="6"/>
  <c r="O53" i="6"/>
  <c r="N53" i="6"/>
  <c r="L53" i="6"/>
  <c r="K53" i="6"/>
  <c r="I53" i="6"/>
  <c r="H53" i="6"/>
  <c r="O52" i="6"/>
  <c r="N52" i="6"/>
  <c r="L52" i="6"/>
  <c r="K52" i="6"/>
  <c r="I52" i="6"/>
  <c r="H52" i="6"/>
  <c r="O51" i="6"/>
  <c r="N51" i="6"/>
  <c r="L51" i="6"/>
  <c r="K51" i="6"/>
  <c r="I51" i="6"/>
  <c r="H51" i="6"/>
  <c r="O50" i="6"/>
  <c r="N50" i="6"/>
  <c r="L50" i="6"/>
  <c r="K50" i="6"/>
  <c r="I50" i="6"/>
  <c r="H50" i="6"/>
  <c r="O49" i="6"/>
  <c r="N49" i="6"/>
  <c r="L49" i="6"/>
  <c r="K49" i="6"/>
  <c r="I49" i="6"/>
  <c r="H49" i="6"/>
  <c r="O48" i="6"/>
  <c r="N48" i="6"/>
  <c r="L48" i="6"/>
  <c r="K48" i="6"/>
  <c r="I48" i="6"/>
  <c r="H48" i="6"/>
  <c r="O47" i="6"/>
  <c r="N47" i="6"/>
  <c r="L47" i="6"/>
  <c r="K47" i="6"/>
  <c r="I47" i="6"/>
  <c r="H47" i="6"/>
  <c r="O46" i="6"/>
  <c r="N46" i="6"/>
  <c r="L46" i="6"/>
  <c r="K46" i="6"/>
  <c r="I46" i="6"/>
  <c r="H46" i="6"/>
  <c r="O45" i="6"/>
  <c r="N45" i="6"/>
  <c r="L45" i="6"/>
  <c r="K45" i="6"/>
  <c r="I45" i="6"/>
  <c r="H45" i="6"/>
  <c r="O44" i="6"/>
  <c r="N44" i="6"/>
  <c r="N64" i="6" s="1"/>
  <c r="L44" i="6"/>
  <c r="K44" i="6"/>
  <c r="K64" i="6" s="1"/>
  <c r="I44" i="6"/>
  <c r="H44" i="6"/>
  <c r="H64" i="6" s="1"/>
  <c r="M41" i="6"/>
  <c r="G41" i="6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E19" i="13" l="1"/>
  <c r="E37" i="13" s="1"/>
  <c r="I199" i="13"/>
  <c r="O82" i="12"/>
  <c r="O18" i="12" s="1"/>
  <c r="O85" i="12"/>
  <c r="O21" i="12" s="1"/>
  <c r="N64" i="12"/>
  <c r="N199" i="12"/>
  <c r="O199" i="12"/>
  <c r="N172" i="12"/>
  <c r="O172" i="12"/>
  <c r="N145" i="12"/>
  <c r="N118" i="12"/>
  <c r="N91" i="12"/>
  <c r="O81" i="12"/>
  <c r="N20" i="12"/>
  <c r="N37" i="12" s="1"/>
  <c r="O44" i="12"/>
  <c r="E199" i="13"/>
  <c r="F180" i="13"/>
  <c r="F199" i="13" s="1"/>
  <c r="E172" i="13"/>
  <c r="E145" i="13"/>
  <c r="F118" i="13"/>
  <c r="E118" i="13"/>
  <c r="E64" i="13"/>
  <c r="F45" i="13"/>
  <c r="F64" i="13" s="1"/>
  <c r="N91" i="13"/>
  <c r="N64" i="13"/>
  <c r="O199" i="13"/>
  <c r="O172" i="13"/>
  <c r="O71" i="13"/>
  <c r="O91" i="13" s="1"/>
  <c r="O44" i="13"/>
  <c r="O64" i="13" s="1"/>
  <c r="F172" i="13"/>
  <c r="L172" i="13"/>
  <c r="N172" i="13"/>
  <c r="F145" i="13"/>
  <c r="L145" i="13"/>
  <c r="N145" i="13"/>
  <c r="L199" i="13"/>
  <c r="N199" i="13"/>
  <c r="F91" i="13"/>
  <c r="L91" i="13"/>
  <c r="E91" i="13"/>
  <c r="H64" i="13"/>
  <c r="L64" i="13"/>
  <c r="N118" i="13"/>
  <c r="K37" i="13"/>
  <c r="H37" i="13"/>
  <c r="L37" i="13"/>
  <c r="N37" i="13"/>
  <c r="I37" i="13"/>
  <c r="F37" i="13"/>
  <c r="O37" i="13"/>
  <c r="K199" i="12"/>
  <c r="K172" i="12"/>
  <c r="L152" i="12"/>
  <c r="K145" i="12"/>
  <c r="L145" i="12"/>
  <c r="K118" i="12"/>
  <c r="L98" i="12"/>
  <c r="L71" i="12"/>
  <c r="L85" i="12"/>
  <c r="L21" i="12" s="1"/>
  <c r="L37" i="12" s="1"/>
  <c r="K18" i="12"/>
  <c r="K37" i="12" s="1"/>
  <c r="L44" i="12"/>
  <c r="F103" i="12"/>
  <c r="I108" i="12"/>
  <c r="F127" i="12"/>
  <c r="I128" i="12"/>
  <c r="F152" i="12"/>
  <c r="I153" i="12"/>
  <c r="F156" i="12"/>
  <c r="I157" i="12"/>
  <c r="F160" i="12"/>
  <c r="I161" i="12"/>
  <c r="F164" i="12"/>
  <c r="I165" i="12"/>
  <c r="F168" i="12"/>
  <c r="I169" i="12"/>
  <c r="F179" i="12"/>
  <c r="I180" i="12"/>
  <c r="F183" i="12"/>
  <c r="I184" i="12"/>
  <c r="F187" i="12"/>
  <c r="I188" i="12"/>
  <c r="F88" i="12"/>
  <c r="I100" i="12"/>
  <c r="F111" i="12"/>
  <c r="I116" i="12"/>
  <c r="F125" i="12"/>
  <c r="I126" i="12"/>
  <c r="I143" i="12"/>
  <c r="F154" i="12"/>
  <c r="F172" i="12" s="1"/>
  <c r="I155" i="12"/>
  <c r="F158" i="12"/>
  <c r="I159" i="12"/>
  <c r="F162" i="12"/>
  <c r="I163" i="12"/>
  <c r="F166" i="12"/>
  <c r="I167" i="12"/>
  <c r="I171" i="12"/>
  <c r="F181" i="12"/>
  <c r="I182" i="12"/>
  <c r="I186" i="12"/>
  <c r="L118" i="12"/>
  <c r="F99" i="12"/>
  <c r="I104" i="12"/>
  <c r="F115" i="12"/>
  <c r="L91" i="12"/>
  <c r="I75" i="12"/>
  <c r="I76" i="12"/>
  <c r="I77" i="12"/>
  <c r="I78" i="12"/>
  <c r="I79" i="12"/>
  <c r="I80" i="12"/>
  <c r="I81" i="12"/>
  <c r="I17" i="12" s="1"/>
  <c r="I82" i="12"/>
  <c r="I18" i="12" s="1"/>
  <c r="F85" i="12"/>
  <c r="F21" i="12" s="1"/>
  <c r="I86" i="12"/>
  <c r="F89" i="12"/>
  <c r="I90" i="12"/>
  <c r="F100" i="12"/>
  <c r="I101" i="12"/>
  <c r="F104" i="12"/>
  <c r="I105" i="12"/>
  <c r="F108" i="12"/>
  <c r="I109" i="12"/>
  <c r="F112" i="12"/>
  <c r="I113" i="12"/>
  <c r="F116" i="12"/>
  <c r="I117" i="12"/>
  <c r="F199" i="12"/>
  <c r="O64" i="12"/>
  <c r="I71" i="12"/>
  <c r="O91" i="12"/>
  <c r="I72" i="12"/>
  <c r="I73" i="12"/>
  <c r="F76" i="12"/>
  <c r="F77" i="12"/>
  <c r="F78" i="12"/>
  <c r="F79" i="12"/>
  <c r="F80" i="12"/>
  <c r="F81" i="12"/>
  <c r="F17" i="12" s="1"/>
  <c r="F82" i="12"/>
  <c r="F18" i="12" s="1"/>
  <c r="F83" i="12"/>
  <c r="F19" i="12" s="1"/>
  <c r="I84" i="12"/>
  <c r="I20" i="12" s="1"/>
  <c r="F87" i="12"/>
  <c r="I88" i="12"/>
  <c r="F98" i="12"/>
  <c r="I99" i="12"/>
  <c r="F102" i="12"/>
  <c r="I103" i="12"/>
  <c r="F106" i="12"/>
  <c r="I107" i="12"/>
  <c r="F110" i="12"/>
  <c r="I111" i="12"/>
  <c r="F114" i="12"/>
  <c r="I115" i="12"/>
  <c r="F145" i="12"/>
  <c r="L64" i="12"/>
  <c r="F75" i="12"/>
  <c r="I83" i="12"/>
  <c r="I19" i="12" s="1"/>
  <c r="F86" i="12"/>
  <c r="I87" i="12"/>
  <c r="O118" i="12"/>
  <c r="F101" i="12"/>
  <c r="I102" i="12"/>
  <c r="F105" i="12"/>
  <c r="I106" i="12"/>
  <c r="F109" i="12"/>
  <c r="I110" i="12"/>
  <c r="F113" i="12"/>
  <c r="I114" i="12"/>
  <c r="O145" i="12"/>
  <c r="L172" i="12"/>
  <c r="L199" i="12"/>
  <c r="I179" i="12"/>
  <c r="I152" i="12"/>
  <c r="I125" i="12"/>
  <c r="I98" i="12"/>
  <c r="I64" i="12"/>
  <c r="H64" i="12"/>
  <c r="E64" i="12"/>
  <c r="F44" i="12"/>
  <c r="F64" i="12" s="1"/>
  <c r="E37" i="12"/>
  <c r="H37" i="12"/>
  <c r="L64" i="6"/>
  <c r="I172" i="6"/>
  <c r="O172" i="6"/>
  <c r="L199" i="6"/>
  <c r="L172" i="6"/>
  <c r="I145" i="6"/>
  <c r="O145" i="6"/>
  <c r="L145" i="6"/>
  <c r="L118" i="6"/>
  <c r="I118" i="6"/>
  <c r="O118" i="6"/>
  <c r="I91" i="6"/>
  <c r="O91" i="6"/>
  <c r="O64" i="6"/>
  <c r="I64" i="6"/>
  <c r="I199" i="6"/>
  <c r="O199" i="6"/>
  <c r="E172" i="6"/>
  <c r="E181" i="6"/>
  <c r="F152" i="6"/>
  <c r="F172" i="6" s="1"/>
  <c r="F129" i="6"/>
  <c r="F133" i="6"/>
  <c r="E137" i="6"/>
  <c r="F137" i="6" s="1"/>
  <c r="E145" i="6"/>
  <c r="F118" i="6"/>
  <c r="E118" i="6"/>
  <c r="E79" i="6"/>
  <c r="F79" i="6" s="1"/>
  <c r="E83" i="6"/>
  <c r="F83" i="6" s="1"/>
  <c r="E87" i="6"/>
  <c r="F87" i="6" s="1"/>
  <c r="E71" i="6"/>
  <c r="F71" i="6" s="1"/>
  <c r="E75" i="6"/>
  <c r="F75" i="6" s="1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37" i="6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O37" i="12" l="1"/>
  <c r="G3" i="13"/>
  <c r="G5" i="12"/>
  <c r="G9" i="13"/>
  <c r="G7" i="13"/>
  <c r="G5" i="13"/>
  <c r="G11" i="13"/>
  <c r="I145" i="12"/>
  <c r="I172" i="12"/>
  <c r="I37" i="12"/>
  <c r="I91" i="12"/>
  <c r="G7" i="12" s="1"/>
  <c r="I199" i="12"/>
  <c r="G9" i="12" s="1"/>
  <c r="F91" i="12"/>
  <c r="F118" i="12"/>
  <c r="I118" i="12"/>
  <c r="G3" i="12" s="1"/>
  <c r="F37" i="12"/>
  <c r="G3" i="6"/>
  <c r="F91" i="6"/>
  <c r="E199" i="6"/>
  <c r="F181" i="6"/>
  <c r="F199" i="6" s="1"/>
  <c r="F145" i="6"/>
  <c r="E91" i="6"/>
  <c r="G7" i="6" s="1"/>
  <c r="I37" i="6"/>
  <c r="O37" i="6"/>
  <c r="K37" i="6"/>
  <c r="L37" i="6"/>
  <c r="F37" i="6"/>
  <c r="E37" i="6"/>
  <c r="N3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12" l="1"/>
  <c r="G9" i="6"/>
  <c r="E48" i="6"/>
  <c r="F48" i="6"/>
  <c r="E53" i="6"/>
  <c r="F53" i="6"/>
  <c r="E58" i="6"/>
  <c r="F58" i="6"/>
  <c r="E60" i="6"/>
  <c r="F60" i="6"/>
  <c r="E57" i="6"/>
  <c r="F57" i="6"/>
  <c r="E46" i="6"/>
  <c r="F46" i="6"/>
  <c r="E62" i="6"/>
  <c r="F62" i="6"/>
  <c r="E55" i="6"/>
  <c r="F55" i="6"/>
  <c r="E56" i="6"/>
  <c r="F56" i="6"/>
  <c r="E51" i="6"/>
  <c r="F51" i="6"/>
  <c r="E45" i="6"/>
  <c r="F45" i="6"/>
  <c r="E61" i="6"/>
  <c r="F61" i="6"/>
  <c r="E50" i="6"/>
  <c r="F50" i="6"/>
  <c r="E52" i="6"/>
  <c r="F52" i="6"/>
  <c r="E59" i="6"/>
  <c r="F59" i="6"/>
  <c r="E49" i="6"/>
  <c r="F49" i="6"/>
  <c r="E44" i="6"/>
  <c r="F44" i="6"/>
  <c r="E54" i="6"/>
  <c r="F54" i="6"/>
  <c r="E47" i="6"/>
  <c r="F47" i="6"/>
  <c r="E63" i="6"/>
  <c r="F63" i="6"/>
  <c r="G11" i="6"/>
  <c r="O39" i="3"/>
  <c r="K50" i="3"/>
  <c r="K21" i="3"/>
  <c r="K34" i="3"/>
  <c r="K13" i="5"/>
  <c r="G41" i="3"/>
  <c r="O66" i="3"/>
  <c r="G45" i="3"/>
  <c r="K73" i="3"/>
  <c r="K47" i="3"/>
  <c r="G60" i="3"/>
  <c r="K58" i="3"/>
  <c r="K12" i="5"/>
  <c r="O67" i="3"/>
  <c r="O41" i="3"/>
  <c r="K10" i="5"/>
  <c r="O64" i="3"/>
  <c r="O37" i="3"/>
  <c r="O56" i="3"/>
  <c r="G38" i="3"/>
  <c r="G70" i="3"/>
  <c r="O44" i="3"/>
  <c r="O60" i="3"/>
  <c r="G57" i="3"/>
  <c r="K17" i="5"/>
  <c r="G36" i="3"/>
  <c r="G67" i="3"/>
  <c r="K48" i="3"/>
  <c r="K70" i="3"/>
  <c r="K49" i="3"/>
  <c r="O75" i="3"/>
  <c r="O63" i="3"/>
  <c r="K41" i="3"/>
  <c r="K44" i="3"/>
  <c r="G68" i="3"/>
  <c r="O68" i="3"/>
  <c r="K46" i="3"/>
  <c r="K22" i="3"/>
  <c r="K25" i="3"/>
  <c r="O49" i="3"/>
  <c r="G50" i="3"/>
  <c r="O65" i="3"/>
  <c r="K62" i="3"/>
  <c r="O61" i="3"/>
  <c r="K19" i="5"/>
  <c r="G40" i="3"/>
  <c r="O72" i="3"/>
  <c r="O45" i="3"/>
  <c r="O74" i="3"/>
  <c r="O50" i="3"/>
  <c r="K74" i="3"/>
  <c r="G43" i="3"/>
  <c r="G46" i="3"/>
  <c r="K19" i="3"/>
  <c r="K16" i="5"/>
  <c r="K23" i="5"/>
  <c r="G69" i="3"/>
  <c r="G63" i="3"/>
  <c r="G34" i="3"/>
  <c r="K8" i="5"/>
  <c r="K18" i="3"/>
  <c r="G73" i="3"/>
  <c r="O62" i="3"/>
  <c r="K20" i="5"/>
  <c r="G59" i="3"/>
  <c r="O70" i="3"/>
  <c r="O69" i="3"/>
  <c r="K21" i="5"/>
  <c r="O43" i="3"/>
  <c r="K63" i="3"/>
  <c r="K35" i="3"/>
  <c r="K67" i="3"/>
  <c r="G74" i="3"/>
  <c r="K13" i="3"/>
  <c r="K71" i="3"/>
  <c r="G44" i="3"/>
  <c r="K10" i="3"/>
  <c r="G62" i="3"/>
  <c r="K9" i="3"/>
  <c r="K6" i="5"/>
  <c r="K11" i="3"/>
  <c r="K38" i="3"/>
  <c r="O46" i="3"/>
  <c r="K15" i="3"/>
  <c r="G37" i="3"/>
  <c r="K14" i="3"/>
  <c r="O35" i="3"/>
  <c r="K32" i="3"/>
  <c r="K33" i="3"/>
  <c r="K66" i="3"/>
  <c r="K75" i="3"/>
  <c r="K23" i="3"/>
  <c r="G31" i="3"/>
  <c r="G56" i="3"/>
  <c r="K24" i="3"/>
  <c r="K7" i="3"/>
  <c r="K9" i="5"/>
  <c r="O47" i="3"/>
  <c r="O34" i="3"/>
  <c r="K40" i="3"/>
  <c r="K45" i="3"/>
  <c r="K56" i="3"/>
  <c r="G39" i="3"/>
  <c r="K15" i="5"/>
  <c r="K65" i="3"/>
  <c r="O57" i="3"/>
  <c r="K11" i="5"/>
  <c r="K24" i="5"/>
  <c r="G65" i="3"/>
  <c r="G48" i="3"/>
  <c r="K37" i="3"/>
  <c r="O73" i="3"/>
  <c r="O42" i="3"/>
  <c r="O32" i="3"/>
  <c r="K20" i="3"/>
  <c r="O48" i="3"/>
  <c r="K6" i="3"/>
  <c r="K57" i="3"/>
  <c r="G61" i="3"/>
  <c r="K22" i="5"/>
  <c r="K68" i="3"/>
  <c r="O36" i="3"/>
  <c r="K25" i="5"/>
  <c r="K17" i="3"/>
  <c r="K61" i="3"/>
  <c r="O33" i="3"/>
  <c r="O71" i="3"/>
  <c r="O40" i="3"/>
  <c r="G58" i="3"/>
  <c r="K12" i="3"/>
  <c r="K8" i="3"/>
  <c r="G47" i="3"/>
  <c r="K31" i="3"/>
  <c r="G66" i="3"/>
  <c r="K42" i="3"/>
  <c r="O38" i="3"/>
  <c r="K69" i="3"/>
  <c r="G35" i="3"/>
  <c r="K59" i="3"/>
  <c r="K43" i="3"/>
  <c r="G49" i="3"/>
  <c r="K72" i="3"/>
  <c r="K36" i="3"/>
  <c r="K60" i="3"/>
  <c r="O58" i="3"/>
  <c r="G33" i="3"/>
  <c r="O59" i="3"/>
  <c r="G64" i="3"/>
  <c r="K64" i="3"/>
  <c r="O31" i="3"/>
  <c r="G71" i="3"/>
  <c r="G32" i="3"/>
  <c r="K14" i="5"/>
  <c r="K18" i="5"/>
  <c r="K16" i="3"/>
  <c r="K7" i="5"/>
  <c r="G72" i="3"/>
  <c r="K39" i="3"/>
  <c r="G42" i="3"/>
  <c r="G75" i="3"/>
  <c r="N6" i="3" l="1"/>
  <c r="M6" i="3"/>
  <c r="L6" i="3"/>
  <c r="N24" i="5"/>
  <c r="M24" i="5"/>
  <c r="L24" i="5"/>
  <c r="N63" i="3"/>
  <c r="L63" i="3"/>
  <c r="M63" i="3"/>
  <c r="N20" i="5"/>
  <c r="L20" i="5"/>
  <c r="M20" i="5"/>
  <c r="L23" i="5"/>
  <c r="N23" i="5"/>
  <c r="M23" i="5"/>
  <c r="R72" i="3"/>
  <c r="P72" i="3"/>
  <c r="Q72" i="3"/>
  <c r="N22" i="3"/>
  <c r="L22" i="3"/>
  <c r="M22" i="3"/>
  <c r="N70" i="3"/>
  <c r="L70" i="3"/>
  <c r="M70" i="3"/>
  <c r="H38" i="3"/>
  <c r="I38" i="3"/>
  <c r="J38" i="3"/>
  <c r="J60" i="3"/>
  <c r="I60" i="3"/>
  <c r="H60" i="3"/>
  <c r="N9" i="3"/>
  <c r="M9" i="3"/>
  <c r="L9" i="3"/>
  <c r="J44" i="3"/>
  <c r="H44" i="3"/>
  <c r="I44" i="3"/>
  <c r="I74" i="3"/>
  <c r="J74" i="3"/>
  <c r="H74" i="3"/>
  <c r="L60" i="3"/>
  <c r="M60" i="3"/>
  <c r="N60" i="3"/>
  <c r="N42" i="3"/>
  <c r="M42" i="3"/>
  <c r="L42" i="3"/>
  <c r="R33" i="3"/>
  <c r="Q33" i="3"/>
  <c r="P33" i="3"/>
  <c r="R48" i="3"/>
  <c r="Q48" i="3"/>
  <c r="P48" i="3"/>
  <c r="N11" i="5"/>
  <c r="L11" i="5"/>
  <c r="M11" i="5"/>
  <c r="L15" i="3"/>
  <c r="N15" i="3"/>
  <c r="M15" i="3"/>
  <c r="R62" i="3"/>
  <c r="Q62" i="3"/>
  <c r="P62" i="3"/>
  <c r="N16" i="5"/>
  <c r="M16" i="5"/>
  <c r="L16" i="5"/>
  <c r="H40" i="3"/>
  <c r="I40" i="3"/>
  <c r="J40" i="3"/>
  <c r="L46" i="3"/>
  <c r="N46" i="3"/>
  <c r="M46" i="3"/>
  <c r="N48" i="3"/>
  <c r="L48" i="3"/>
  <c r="M48" i="3"/>
  <c r="R56" i="3"/>
  <c r="Q56" i="3"/>
  <c r="P56" i="3"/>
  <c r="M47" i="3"/>
  <c r="L47" i="3"/>
  <c r="N47" i="3"/>
  <c r="L18" i="5"/>
  <c r="N18" i="5"/>
  <c r="M18" i="5"/>
  <c r="H71" i="3"/>
  <c r="J71" i="3"/>
  <c r="I71" i="3"/>
  <c r="N14" i="3"/>
  <c r="L14" i="3"/>
  <c r="M14" i="3"/>
  <c r="M36" i="3"/>
  <c r="L36" i="3"/>
  <c r="N36" i="3"/>
  <c r="H66" i="3"/>
  <c r="J66" i="3"/>
  <c r="I66" i="3"/>
  <c r="L61" i="3"/>
  <c r="M61" i="3"/>
  <c r="N61" i="3"/>
  <c r="L20" i="3"/>
  <c r="M20" i="3"/>
  <c r="N20" i="3"/>
  <c r="Q57" i="3"/>
  <c r="R57" i="3"/>
  <c r="P57" i="3"/>
  <c r="P43" i="3"/>
  <c r="Q43" i="3"/>
  <c r="R43" i="3"/>
  <c r="H73" i="3"/>
  <c r="I73" i="3"/>
  <c r="J73" i="3"/>
  <c r="N19" i="3"/>
  <c r="L19" i="3"/>
  <c r="M19" i="3"/>
  <c r="L19" i="5"/>
  <c r="N19" i="5"/>
  <c r="M19" i="5"/>
  <c r="Q68" i="3"/>
  <c r="R68" i="3"/>
  <c r="P68" i="3"/>
  <c r="I67" i="3"/>
  <c r="H67" i="3"/>
  <c r="J67" i="3"/>
  <c r="P37" i="3"/>
  <c r="Q37" i="3"/>
  <c r="R37" i="3"/>
  <c r="M73" i="3"/>
  <c r="N73" i="3"/>
  <c r="L73" i="3"/>
  <c r="L9" i="5"/>
  <c r="M9" i="5"/>
  <c r="N9" i="5"/>
  <c r="L33" i="3"/>
  <c r="M33" i="3"/>
  <c r="N33" i="3"/>
  <c r="H64" i="3"/>
  <c r="J64" i="3"/>
  <c r="I64" i="3"/>
  <c r="L72" i="3"/>
  <c r="M72" i="3"/>
  <c r="N72" i="3"/>
  <c r="N31" i="3"/>
  <c r="L31" i="3"/>
  <c r="M31" i="3"/>
  <c r="N17" i="3"/>
  <c r="L17" i="3"/>
  <c r="M17" i="3"/>
  <c r="R32" i="3"/>
  <c r="Q32" i="3"/>
  <c r="P32" i="3"/>
  <c r="N65" i="3"/>
  <c r="M65" i="3"/>
  <c r="L65" i="3"/>
  <c r="Q46" i="3"/>
  <c r="P46" i="3"/>
  <c r="R46" i="3"/>
  <c r="M18" i="3"/>
  <c r="N18" i="3"/>
  <c r="L18" i="3"/>
  <c r="H46" i="3"/>
  <c r="I46" i="3"/>
  <c r="J46" i="3"/>
  <c r="Q61" i="3"/>
  <c r="P61" i="3"/>
  <c r="R61" i="3"/>
  <c r="J68" i="3"/>
  <c r="H68" i="3"/>
  <c r="I68" i="3"/>
  <c r="H36" i="3"/>
  <c r="I36" i="3"/>
  <c r="J36" i="3"/>
  <c r="P64" i="3"/>
  <c r="Q64" i="3"/>
  <c r="R64" i="3"/>
  <c r="I45" i="3"/>
  <c r="H45" i="3"/>
  <c r="J45" i="3"/>
  <c r="N75" i="3"/>
  <c r="M75" i="3"/>
  <c r="L75" i="3"/>
  <c r="M71" i="3"/>
  <c r="N71" i="3"/>
  <c r="L71" i="3"/>
  <c r="N67" i="3"/>
  <c r="M67" i="3"/>
  <c r="L67" i="3"/>
  <c r="J49" i="3"/>
  <c r="H49" i="3"/>
  <c r="I49" i="3"/>
  <c r="J47" i="3"/>
  <c r="I47" i="3"/>
  <c r="H47" i="3"/>
  <c r="N25" i="5"/>
  <c r="M25" i="5"/>
  <c r="L25" i="5"/>
  <c r="R42" i="3"/>
  <c r="P42" i="3"/>
  <c r="Q42" i="3"/>
  <c r="N15" i="5"/>
  <c r="M15" i="5"/>
  <c r="L15" i="5"/>
  <c r="L21" i="5"/>
  <c r="M21" i="5"/>
  <c r="N21" i="5"/>
  <c r="N8" i="5"/>
  <c r="M8" i="5"/>
  <c r="L8" i="5"/>
  <c r="J43" i="3"/>
  <c r="H43" i="3"/>
  <c r="I43" i="3"/>
  <c r="M62" i="3"/>
  <c r="L62" i="3"/>
  <c r="N62" i="3"/>
  <c r="L44" i="3"/>
  <c r="M44" i="3"/>
  <c r="N44" i="3"/>
  <c r="N17" i="5"/>
  <c r="M17" i="5"/>
  <c r="L17" i="5"/>
  <c r="M10" i="5"/>
  <c r="L10" i="5"/>
  <c r="N10" i="5"/>
  <c r="R66" i="3"/>
  <c r="P66" i="3"/>
  <c r="Q66" i="3"/>
  <c r="H62" i="3"/>
  <c r="I62" i="3"/>
  <c r="J62" i="3"/>
  <c r="M32" i="3"/>
  <c r="L32" i="3"/>
  <c r="N32" i="3"/>
  <c r="P59" i="3"/>
  <c r="R59" i="3"/>
  <c r="Q59" i="3"/>
  <c r="M43" i="3"/>
  <c r="N43" i="3"/>
  <c r="L43" i="3"/>
  <c r="N8" i="3"/>
  <c r="L8" i="3"/>
  <c r="M8" i="3"/>
  <c r="R36" i="3"/>
  <c r="P36" i="3"/>
  <c r="Q36" i="3"/>
  <c r="P73" i="3"/>
  <c r="Q73" i="3"/>
  <c r="R73" i="3"/>
  <c r="J39" i="3"/>
  <c r="I39" i="3"/>
  <c r="H39" i="3"/>
  <c r="R69" i="3"/>
  <c r="Q69" i="3"/>
  <c r="P69" i="3"/>
  <c r="H34" i="3"/>
  <c r="I34" i="3"/>
  <c r="J34" i="3"/>
  <c r="N74" i="3"/>
  <c r="M74" i="3"/>
  <c r="L74" i="3"/>
  <c r="R65" i="3"/>
  <c r="Q65" i="3"/>
  <c r="P65" i="3"/>
  <c r="L41" i="3"/>
  <c r="N41" i="3"/>
  <c r="M41" i="3"/>
  <c r="J57" i="3"/>
  <c r="H57" i="3"/>
  <c r="I57" i="3"/>
  <c r="Q41" i="3"/>
  <c r="P41" i="3"/>
  <c r="R41" i="3"/>
  <c r="H41" i="3"/>
  <c r="I41" i="3"/>
  <c r="J41" i="3"/>
  <c r="M14" i="5"/>
  <c r="L14" i="5"/>
  <c r="N14" i="5"/>
  <c r="P31" i="3"/>
  <c r="R31" i="3"/>
  <c r="Q31" i="3"/>
  <c r="N35" i="3"/>
  <c r="L35" i="3"/>
  <c r="M35" i="3"/>
  <c r="M59" i="3"/>
  <c r="L59" i="3"/>
  <c r="N59" i="3"/>
  <c r="M12" i="3"/>
  <c r="L12" i="3"/>
  <c r="N12" i="3"/>
  <c r="N68" i="3"/>
  <c r="M68" i="3"/>
  <c r="L68" i="3"/>
  <c r="N37" i="3"/>
  <c r="L37" i="3"/>
  <c r="M37" i="3"/>
  <c r="N56" i="3"/>
  <c r="L56" i="3"/>
  <c r="M56" i="3"/>
  <c r="N38" i="3"/>
  <c r="M38" i="3"/>
  <c r="L38" i="3"/>
  <c r="L11" i="3"/>
  <c r="N11" i="3"/>
  <c r="M11" i="3"/>
  <c r="R50" i="3"/>
  <c r="P50" i="3"/>
  <c r="Q50" i="3"/>
  <c r="J50" i="3"/>
  <c r="I50" i="3"/>
  <c r="H50" i="3"/>
  <c r="P63" i="3"/>
  <c r="R63" i="3"/>
  <c r="Q63" i="3"/>
  <c r="R60" i="3"/>
  <c r="Q60" i="3"/>
  <c r="P60" i="3"/>
  <c r="R67" i="3"/>
  <c r="Q67" i="3"/>
  <c r="P67" i="3"/>
  <c r="L13" i="5"/>
  <c r="M13" i="5"/>
  <c r="N13" i="5"/>
  <c r="N10" i="3"/>
  <c r="M10" i="3"/>
  <c r="L10" i="3"/>
  <c r="L13" i="3"/>
  <c r="M13" i="3"/>
  <c r="N13" i="3"/>
  <c r="H33" i="3"/>
  <c r="I33" i="3"/>
  <c r="J33" i="3"/>
  <c r="I35" i="3"/>
  <c r="J35" i="3"/>
  <c r="H35" i="3"/>
  <c r="I58" i="3"/>
  <c r="J58" i="3"/>
  <c r="H58" i="3"/>
  <c r="M22" i="5"/>
  <c r="N22" i="5"/>
  <c r="L22" i="5"/>
  <c r="H48" i="3"/>
  <c r="J48" i="3"/>
  <c r="I48" i="3"/>
  <c r="L45" i="3"/>
  <c r="M45" i="3"/>
  <c r="N45" i="3"/>
  <c r="P70" i="3"/>
  <c r="R70" i="3"/>
  <c r="Q70" i="3"/>
  <c r="I63" i="3"/>
  <c r="J63" i="3"/>
  <c r="H63" i="3"/>
  <c r="P74" i="3"/>
  <c r="R74" i="3"/>
  <c r="Q74" i="3"/>
  <c r="R49" i="3"/>
  <c r="Q49" i="3"/>
  <c r="P49" i="3"/>
  <c r="R75" i="3"/>
  <c r="P75" i="3"/>
  <c r="Q75" i="3"/>
  <c r="R44" i="3"/>
  <c r="P44" i="3"/>
  <c r="Q44" i="3"/>
  <c r="N12" i="5"/>
  <c r="M12" i="5"/>
  <c r="L12" i="5"/>
  <c r="N34" i="3"/>
  <c r="L34" i="3"/>
  <c r="M34" i="3"/>
  <c r="H32" i="3"/>
  <c r="J32" i="3"/>
  <c r="I32" i="3"/>
  <c r="R35" i="3"/>
  <c r="Q35" i="3"/>
  <c r="P35" i="3"/>
  <c r="J37" i="3"/>
  <c r="I37" i="3"/>
  <c r="H37" i="3"/>
  <c r="M69" i="3"/>
  <c r="N69" i="3"/>
  <c r="L69" i="3"/>
  <c r="R40" i="3"/>
  <c r="P40" i="3"/>
  <c r="Q40" i="3"/>
  <c r="H61" i="3"/>
  <c r="I61" i="3"/>
  <c r="J61" i="3"/>
  <c r="J65" i="3"/>
  <c r="I65" i="3"/>
  <c r="H65" i="3"/>
  <c r="N40" i="3"/>
  <c r="M40" i="3"/>
  <c r="L40" i="3"/>
  <c r="H59" i="3"/>
  <c r="J59" i="3"/>
  <c r="I59" i="3"/>
  <c r="H69" i="3"/>
  <c r="J69" i="3"/>
  <c r="I69" i="3"/>
  <c r="R45" i="3"/>
  <c r="Q45" i="3"/>
  <c r="P45" i="3"/>
  <c r="L25" i="3"/>
  <c r="M25" i="3"/>
  <c r="N25" i="3"/>
  <c r="M49" i="3"/>
  <c r="L49" i="3"/>
  <c r="N49" i="3"/>
  <c r="H70" i="3"/>
  <c r="I70" i="3"/>
  <c r="J70" i="3"/>
  <c r="N58" i="3"/>
  <c r="L58" i="3"/>
  <c r="M58" i="3"/>
  <c r="N21" i="3"/>
  <c r="L21" i="3"/>
  <c r="M21" i="3"/>
  <c r="M66" i="3"/>
  <c r="N66" i="3"/>
  <c r="L66" i="3"/>
  <c r="N64" i="3"/>
  <c r="L64" i="3"/>
  <c r="M64" i="3"/>
  <c r="R58" i="3"/>
  <c r="P58" i="3"/>
  <c r="Q58" i="3"/>
  <c r="R38" i="3"/>
  <c r="P38" i="3"/>
  <c r="Q38" i="3"/>
  <c r="Q71" i="3"/>
  <c r="P71" i="3"/>
  <c r="R71" i="3"/>
  <c r="L57" i="3"/>
  <c r="M57" i="3"/>
  <c r="N57" i="3"/>
  <c r="M16" i="3"/>
  <c r="L16" i="3"/>
  <c r="N16" i="3"/>
  <c r="Q34" i="3"/>
  <c r="P34" i="3"/>
  <c r="R34" i="3"/>
  <c r="P47" i="3"/>
  <c r="Q47" i="3"/>
  <c r="R47" i="3"/>
  <c r="N7" i="3"/>
  <c r="M7" i="3"/>
  <c r="L7" i="3"/>
  <c r="L24" i="3"/>
  <c r="M24" i="3"/>
  <c r="N24" i="3"/>
  <c r="H56" i="3"/>
  <c r="I56" i="3"/>
  <c r="J56" i="3"/>
  <c r="I31" i="3"/>
  <c r="J31" i="3"/>
  <c r="H31" i="3"/>
  <c r="N23" i="3"/>
  <c r="M23" i="3"/>
  <c r="L23" i="3"/>
  <c r="M6" i="5"/>
  <c r="N6" i="5"/>
  <c r="L6" i="5"/>
  <c r="L50" i="3"/>
  <c r="M50" i="3"/>
  <c r="N50" i="3"/>
  <c r="Q39" i="3"/>
  <c r="P39" i="3"/>
  <c r="R39" i="3"/>
  <c r="J75" i="3"/>
  <c r="H75" i="3"/>
  <c r="I75" i="3"/>
  <c r="H42" i="3"/>
  <c r="I42" i="3"/>
  <c r="J42" i="3"/>
  <c r="N39" i="3"/>
  <c r="L39" i="3"/>
  <c r="M39" i="3"/>
  <c r="H72" i="3"/>
  <c r="I72" i="3"/>
  <c r="J72" i="3"/>
  <c r="L7" i="5"/>
  <c r="N7" i="5"/>
  <c r="M7" i="5"/>
  <c r="F64" i="6"/>
  <c r="E64" i="6"/>
  <c r="G5" i="6" l="1"/>
</calcChain>
</file>

<file path=xl/sharedStrings.xml><?xml version="1.0" encoding="utf-8"?>
<sst xmlns="http://schemas.openxmlformats.org/spreadsheetml/2006/main" count="1653" uniqueCount="300">
  <si>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</si>
  <si>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</si>
  <si>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</si>
  <si>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</si>
  <si>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</si>
  <si>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</si>
  <si>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</si>
  <si>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</si>
  <si>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</si>
  <si>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</si>
  <si>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</si>
  <si>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</si>
  <si>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</si>
  <si>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</si>
  <si>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</si>
  <si>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</si>
  <si>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</si>
  <si>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</si>
  <si>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</si>
  <si>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</si>
  <si>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</si>
  <si>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</si>
  <si>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</si>
  <si>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</si>
  <si>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</si>
  <si>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</si>
  <si>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</si>
  <si>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</si>
  <si>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</si>
  <si>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</si>
  <si>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</si>
  <si>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</si>
  <si>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</si>
  <si>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</si>
  <si>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</si>
  <si>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</si>
  <si>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</si>
  <si>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</si>
  <si>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</si>
  <si>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</si>
  <si>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</si>
  <si>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</si>
  <si>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</si>
  <si>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</si>
  <si>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</si>
  <si>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</si>
  <si>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</si>
  <si>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</si>
  <si>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</si>
  <si>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</si>
  <si>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</si>
  <si>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</si>
  <si>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</si>
  <si>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</si>
  <si>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</si>
  <si>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</si>
  <si>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</si>
  <si>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</si>
  <si>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</si>
  <si>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</si>
  <si>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</si>
  <si>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</si>
  <si>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</si>
  <si>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</si>
  <si>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</si>
  <si>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</si>
  <si>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</si>
  <si>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</si>
  <si>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</si>
  <si>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</si>
  <si>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</si>
  <si>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</si>
  <si>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</si>
  <si>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</si>
  <si>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</si>
  <si>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</si>
  <si>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</si>
  <si>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</si>
  <si>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</si>
  <si>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</si>
  <si>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</si>
  <si>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</si>
  <si>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</si>
  <si>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</si>
  <si>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</si>
  <si>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</si>
  <si>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</si>
  <si>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</si>
  <si>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</si>
  <si>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</si>
  <si>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</si>
  <si>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</si>
  <si>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</si>
  <si>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</si>
  <si>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</si>
  <si>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</si>
  <si>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</si>
  <si>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</si>
  <si>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</si>
  <si>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</si>
  <si>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</si>
  <si>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</si>
  <si>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</si>
  <si>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</si>
  <si>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</si>
  <si>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</si>
  <si>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</si>
  <si>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</si>
  <si>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</si>
  <si>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</si>
  <si>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</si>
  <si>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</si>
  <si>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</si>
  <si>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</si>
  <si>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</si>
  <si>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</si>
  <si>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</si>
  <si>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</si>
  <si>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</si>
  <si>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</si>
  <si>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</si>
  <si>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</si>
  <si>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</si>
  <si>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</si>
  <si>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</si>
  <si>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</si>
  <si>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</si>
  <si>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</si>
  <si>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</si>
  <si>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</si>
  <si>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</si>
  <si>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</si>
  <si>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</si>
  <si>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</si>
  <si>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</si>
  <si>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</si>
  <si>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</si>
  <si>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</si>
  <si>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</si>
  <si>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</si>
  <si>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</si>
  <si>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</si>
  <si>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</si>
  <si>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</si>
  <si>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</si>
  <si>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</si>
  <si>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</si>
  <si>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</si>
  <si>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</si>
  <si>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</si>
  <si>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</si>
  <si>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</si>
  <si>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</si>
  <si>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</si>
  <si>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</si>
  <si>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</si>
  <si>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</si>
  <si>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</si>
  <si>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</si>
  <si>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</si>
  <si>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</si>
  <si>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</si>
  <si>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</si>
  <si>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</si>
  <si>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</si>
  <si>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</si>
  <si>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</si>
  <si>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</si>
  <si>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</si>
  <si>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</si>
  <si>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</si>
  <si>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</si>
  <si>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</si>
  <si>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</si>
  <si>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</si>
  <si>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</si>
  <si>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</si>
  <si>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</si>
  <si>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</si>
  <si>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</si>
  <si>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</si>
  <si>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</si>
  <si>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</si>
  <si>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</si>
  <si>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</si>
  <si>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</si>
  <si>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</si>
  <si>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</si>
  <si>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</si>
  <si>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</si>
  <si>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</si>
  <si>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</si>
  <si>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</si>
  <si>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</si>
  <si>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</si>
  <si>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</si>
  <si>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</si>
  <si>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</si>
  <si>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</si>
  <si>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</si>
  <si>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</si>
  <si>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</si>
  <si>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</si>
  <si>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</si>
  <si>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</si>
  <si>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</si>
  <si>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</si>
  <si>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</si>
  <si>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</si>
  <si>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</si>
  <si>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</si>
  <si>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</si>
  <si>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</si>
  <si>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</si>
  <si>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</si>
  <si>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</si>
  <si>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</si>
  <si>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</si>
  <si>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</si>
  <si>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</si>
  <si>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</si>
  <si>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</si>
  <si>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</si>
  <si>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</si>
  <si>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</si>
  <si>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</si>
  <si>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</si>
  <si>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</si>
  <si>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</si>
  <si>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</si>
  <si>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</si>
  <si>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</si>
  <si>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</si>
  <si>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</si>
  <si>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</si>
  <si>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</si>
  <si>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</si>
  <si>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</si>
  <si>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</si>
  <si>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</si>
  <si>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</si>
  <si>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</si>
  <si>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</si>
  <si>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</si>
  <si>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</si>
  <si>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</si>
  <si>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</si>
  <si>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</si>
  <si>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</si>
  <si>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</si>
  <si>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</si>
  <si>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</si>
  <si>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</si>
  <si>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</si>
  <si>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</si>
  <si>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</si>
  <si>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</si>
  <si>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</si>
  <si>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</si>
  <si>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</si>
  <si>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</si>
  <si>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</si>
  <si>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</si>
  <si>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</si>
  <si>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</si>
  <si>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</si>
  <si>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</si>
  <si>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</si>
  <si>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</si>
  <si>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</si>
  <si>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</si>
  <si>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</si>
  <si>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</si>
  <si>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</si>
  <si>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</si>
  <si>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</si>
  <si>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</si>
  <si>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</si>
  <si>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</si>
  <si>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</si>
  <si>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</si>
  <si>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</si>
  <si>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</si>
  <si>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</si>
  <si>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</si>
  <si>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</si>
  <si>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</si>
  <si>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</si>
  <si>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</si>
  <si>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</si>
  <si>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</si>
  <si>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</si>
  <si>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</si>
  <si>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</si>
  <si>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</si>
  <si>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</si>
  <si>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</si>
  <si>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</si>
  <si>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썬더토큰</t>
    <phoneticPr fontId="1" type="noConversion"/>
  </si>
  <si>
    <t>2021.05.02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</si>
</sst>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9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0" fontId="0" fillId="0" borderId="25" xfId="0" applyBorder="1">
      <alignment vertical="center"/>
    </xf>
    <xf numFmtId="179" fontId="0" fillId="0" borderId="9" xfId="0" applyNumberFormat="1" applyBorder="1" applyAlignment="1">
      <alignment horizontal="right" vertical="center"/>
    </xf>
    <xf numFmtId="0" fontId="0" fillId="0" borderId="24" xfId="0" applyBorder="1">
      <alignment vertical="center"/>
    </xf>
    <xf numFmtId="179" fontId="0" fillId="0" borderId="0" xfId="0" applyNumberFormat="1" applyAlignment="1">
      <alignment horizontal="right" vertical="center"/>
    </xf>
    <xf numFmtId="0" fontId="0" fillId="0" borderId="26" xfId="0" applyBorder="1">
      <alignment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5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0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0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0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0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0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0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0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0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0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0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0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0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0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0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0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0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0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0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0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0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0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0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0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0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0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0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0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0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0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0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0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0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0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0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0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0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0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0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0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0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0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0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0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0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0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0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0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0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0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0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0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0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0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0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0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0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0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0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0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0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0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0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0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0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0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0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0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0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0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0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0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0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0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0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0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0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0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0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0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0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0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0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0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0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0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0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0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0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0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0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0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0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0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0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0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0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0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0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0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0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0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0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0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0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0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0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0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0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0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0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0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0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0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0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0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0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0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0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0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0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0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0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0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0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0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0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0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0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0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0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0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0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4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4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4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4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4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4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4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4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4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4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4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3328" name="Button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4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13329" name="Button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4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3330" name="Button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4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4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3332" name="Button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4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13333" name="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4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3334" name="Button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4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3335" name="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4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13336" name="Button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4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3337" name="Button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4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13338" name="Button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4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4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4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4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13342" name="Button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4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13343" name="Button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04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13344" name="Button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4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4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4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4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4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4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13350" name="Button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00000000-0008-0000-04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13351" name="Button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00000000-0008-0000-04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13352" name="Button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00000000-0008-0000-04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13353" name="Button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4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13354" name="Button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id="{00000000-0008-0000-04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13355" name="Button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id="{00000000-0008-0000-04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13356" name="Button 44" hidden="1">
              <a:extLst>
                <a:ext uri="{63B3BB69-23CF-44E3-9099-C40C66FF867C}">
                  <a14:compatExt spid="_x0000_s13356"/>
                </a:ext>
                <a:ext uri="{FF2B5EF4-FFF2-40B4-BE49-F238E27FC236}">
                  <a16:creationId xmlns:a16="http://schemas.microsoft.com/office/drawing/2014/main" id="{00000000-0008-0000-0400-00002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13357" name="Button 45" hidden="1">
              <a:extLst>
                <a:ext uri="{63B3BB69-23CF-44E3-9099-C40C66FF867C}">
                  <a14:compatExt spid="_x0000_s13357"/>
                </a:ext>
                <a:ext uri="{FF2B5EF4-FFF2-40B4-BE49-F238E27FC236}">
                  <a16:creationId xmlns:a16="http://schemas.microsoft.com/office/drawing/2014/main" id="{00000000-0008-0000-0400-00002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13358" name="Button 46" hidden="1">
              <a:extLst>
                <a:ext uri="{63B3BB69-23CF-44E3-9099-C40C66FF867C}">
                  <a14:compatExt spid="_x0000_s13358"/>
                </a:ext>
                <a:ext uri="{FF2B5EF4-FFF2-40B4-BE49-F238E27FC236}">
                  <a16:creationId xmlns:a16="http://schemas.microsoft.com/office/drawing/2014/main" id="{00000000-0008-0000-0400-00002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13359" name="Button 47" hidden="1">
              <a:extLst>
                <a:ext uri="{63B3BB69-23CF-44E3-9099-C40C66FF867C}">
                  <a14:compatExt spid="_x0000_s13359"/>
                </a:ext>
                <a:ext uri="{FF2B5EF4-FFF2-40B4-BE49-F238E27FC236}">
                  <a16:creationId xmlns:a16="http://schemas.microsoft.com/office/drawing/2014/main" id="{00000000-0008-0000-0400-00002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13360" name="Button 48" hidden="1">
              <a:extLst>
                <a:ext uri="{63B3BB69-23CF-44E3-9099-C40C66FF867C}">
                  <a14:compatExt spid="_x0000_s13360"/>
                </a:ext>
                <a:ext uri="{FF2B5EF4-FFF2-40B4-BE49-F238E27FC236}">
                  <a16:creationId xmlns:a16="http://schemas.microsoft.com/office/drawing/2014/main" id="{00000000-0008-0000-0400-00003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13361" name="Button 49" hidden="1">
              <a:extLst>
                <a:ext uri="{63B3BB69-23CF-44E3-9099-C40C66FF867C}">
                  <a14:compatExt spid="_x0000_s13361"/>
                </a:ext>
                <a:ext uri="{FF2B5EF4-FFF2-40B4-BE49-F238E27FC236}">
                  <a16:creationId xmlns:a16="http://schemas.microsoft.com/office/drawing/2014/main" id="{00000000-0008-0000-0400-00003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13362" name="Button 50" hidden="1">
              <a:extLst>
                <a:ext uri="{63B3BB69-23CF-44E3-9099-C40C66FF867C}">
                  <a14:compatExt spid="_x0000_s13362"/>
                </a:ext>
                <a:ext uri="{FF2B5EF4-FFF2-40B4-BE49-F238E27FC236}">
                  <a16:creationId xmlns:a16="http://schemas.microsoft.com/office/drawing/2014/main" id="{00000000-0008-0000-0400-00003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13363" name="Button 51" hidden="1">
              <a:extLst>
                <a:ext uri="{63B3BB69-23CF-44E3-9099-C40C66FF867C}">
                  <a14:compatExt spid="_x0000_s13363"/>
                </a:ext>
                <a:ext uri="{FF2B5EF4-FFF2-40B4-BE49-F238E27FC236}">
                  <a16:creationId xmlns:a16="http://schemas.microsoft.com/office/drawing/2014/main" id="{00000000-0008-0000-0400-00003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13364" name="Button 52" hidden="1">
              <a:extLst>
                <a:ext uri="{63B3BB69-23CF-44E3-9099-C40C66FF867C}">
                  <a14:compatExt spid="_x0000_s13364"/>
                </a:ext>
                <a:ext uri="{FF2B5EF4-FFF2-40B4-BE49-F238E27FC236}">
                  <a16:creationId xmlns:a16="http://schemas.microsoft.com/office/drawing/2014/main" id="{00000000-0008-0000-0400-00003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13365" name="Button 53" hidden="1">
              <a:extLst>
                <a:ext uri="{63B3BB69-23CF-44E3-9099-C40C66FF867C}">
                  <a14:compatExt spid="_x0000_s13365"/>
                </a:ext>
                <a:ext uri="{FF2B5EF4-FFF2-40B4-BE49-F238E27FC236}">
                  <a16:creationId xmlns:a16="http://schemas.microsoft.com/office/drawing/2014/main" id="{00000000-0008-0000-0400-00003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13366" name="Button 54" hidden="1">
              <a:extLst>
                <a:ext uri="{63B3BB69-23CF-44E3-9099-C40C66FF867C}">
                  <a14:compatExt spid="_x0000_s13366"/>
                </a:ext>
                <a:ext uri="{FF2B5EF4-FFF2-40B4-BE49-F238E27FC236}">
                  <a16:creationId xmlns:a16="http://schemas.microsoft.com/office/drawing/2014/main" id="{00000000-0008-0000-0400-00003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13367" name="Button 55" hidden="1">
              <a:extLst>
                <a:ext uri="{63B3BB69-23CF-44E3-9099-C40C66FF867C}">
                  <a14:compatExt spid="_x0000_s13367"/>
                </a:ext>
                <a:ext uri="{FF2B5EF4-FFF2-40B4-BE49-F238E27FC236}">
                  <a16:creationId xmlns:a16="http://schemas.microsoft.com/office/drawing/2014/main" id="{00000000-0008-0000-0400-00003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13368" name="Button 56" hidden="1">
              <a:extLst>
                <a:ext uri="{63B3BB69-23CF-44E3-9099-C40C66FF867C}">
                  <a14:compatExt spid="_x0000_s13368"/>
                </a:ext>
                <a:ext uri="{FF2B5EF4-FFF2-40B4-BE49-F238E27FC236}">
                  <a16:creationId xmlns:a16="http://schemas.microsoft.com/office/drawing/2014/main" id="{00000000-0008-0000-0400-00003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13369" name="Button 57" hidden="1">
              <a:extLst>
                <a:ext uri="{63B3BB69-23CF-44E3-9099-C40C66FF867C}">
                  <a14:compatExt spid="_x0000_s13369"/>
                </a:ext>
                <a:ext uri="{FF2B5EF4-FFF2-40B4-BE49-F238E27FC236}">
                  <a16:creationId xmlns:a16="http://schemas.microsoft.com/office/drawing/2014/main" id="{00000000-0008-0000-0400-00003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13370" name="Button 58" hidden="1">
              <a:extLst>
                <a:ext uri="{63B3BB69-23CF-44E3-9099-C40C66FF867C}">
                  <a14:compatExt spid="_x0000_s13370"/>
                </a:ext>
                <a:ext uri="{FF2B5EF4-FFF2-40B4-BE49-F238E27FC236}">
                  <a16:creationId xmlns:a16="http://schemas.microsoft.com/office/drawing/2014/main" id="{00000000-0008-0000-0400-00003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13371" name="Button 59" hidden="1">
              <a:extLst>
                <a:ext uri="{63B3BB69-23CF-44E3-9099-C40C66FF867C}">
                  <a14:compatExt spid="_x0000_s13371"/>
                </a:ext>
                <a:ext uri="{FF2B5EF4-FFF2-40B4-BE49-F238E27FC236}">
                  <a16:creationId xmlns:a16="http://schemas.microsoft.com/office/drawing/2014/main" id="{00000000-0008-0000-0400-00003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id="{00000000-0008-0000-0400-00003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13373" name="Button 61" hidden="1">
              <a:extLst>
                <a:ext uri="{63B3BB69-23CF-44E3-9099-C40C66FF867C}">
                  <a14:compatExt spid="_x0000_s13373"/>
                </a:ext>
                <a:ext uri="{FF2B5EF4-FFF2-40B4-BE49-F238E27FC236}">
                  <a16:creationId xmlns:a16="http://schemas.microsoft.com/office/drawing/2014/main" id="{00000000-0008-0000-0400-00003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13374" name="Button 62" hidden="1">
              <a:extLst>
                <a:ext uri="{63B3BB69-23CF-44E3-9099-C40C66FF867C}">
                  <a14:compatExt spid="_x0000_s13374"/>
                </a:ext>
                <a:ext uri="{FF2B5EF4-FFF2-40B4-BE49-F238E27FC236}">
                  <a16:creationId xmlns:a16="http://schemas.microsoft.com/office/drawing/2014/main" id="{00000000-0008-0000-0400-00003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3375" name="Button 63" hidden="1">
              <a:extLst>
                <a:ext uri="{63B3BB69-23CF-44E3-9099-C40C66FF867C}">
                  <a14:compatExt spid="_x0000_s13375"/>
                </a:ext>
                <a:ext uri="{FF2B5EF4-FFF2-40B4-BE49-F238E27FC236}">
                  <a16:creationId xmlns:a16="http://schemas.microsoft.com/office/drawing/2014/main" id="{00000000-0008-0000-0400-00003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13376" name="Button 64" hidden="1">
              <a:extLst>
                <a:ext uri="{63B3BB69-23CF-44E3-9099-C40C66FF867C}">
                  <a14:compatExt spid="_x0000_s13376"/>
                </a:ext>
                <a:ext uri="{FF2B5EF4-FFF2-40B4-BE49-F238E27FC236}">
                  <a16:creationId xmlns:a16="http://schemas.microsoft.com/office/drawing/2014/main" id="{00000000-0008-0000-0400-00004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13377" name="Button 65" hidden="1">
              <a:extLst>
                <a:ext uri="{63B3BB69-23CF-44E3-9099-C40C66FF867C}">
                  <a14:compatExt spid="_x0000_s13377"/>
                </a:ext>
                <a:ext uri="{FF2B5EF4-FFF2-40B4-BE49-F238E27FC236}">
                  <a16:creationId xmlns:a16="http://schemas.microsoft.com/office/drawing/2014/main" id="{00000000-0008-0000-0400-00004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13378" name="Button 66" hidden="1">
              <a:extLst>
                <a:ext uri="{63B3BB69-23CF-44E3-9099-C40C66FF867C}">
                  <a14:compatExt spid="_x0000_s13378"/>
                </a:ext>
                <a:ext uri="{FF2B5EF4-FFF2-40B4-BE49-F238E27FC236}">
                  <a16:creationId xmlns:a16="http://schemas.microsoft.com/office/drawing/2014/main" id="{00000000-0008-0000-0400-00004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id="{00000000-0008-0000-0400-00004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13380" name="Button 68" hidden="1">
              <a:extLst>
                <a:ext uri="{63B3BB69-23CF-44E3-9099-C40C66FF867C}">
                  <a14:compatExt spid="_x0000_s13380"/>
                </a:ext>
                <a:ext uri="{FF2B5EF4-FFF2-40B4-BE49-F238E27FC236}">
                  <a16:creationId xmlns:a16="http://schemas.microsoft.com/office/drawing/2014/main" id="{00000000-0008-0000-0400-00004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13381" name="Button 69" hidden="1">
              <a:extLst>
                <a:ext uri="{63B3BB69-23CF-44E3-9099-C40C66FF867C}">
                  <a14:compatExt spid="_x0000_s13381"/>
                </a:ext>
                <a:ext uri="{FF2B5EF4-FFF2-40B4-BE49-F238E27FC236}">
                  <a16:creationId xmlns:a16="http://schemas.microsoft.com/office/drawing/2014/main" id="{00000000-0008-0000-0400-00004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13382" name="Button 70" hidden="1">
              <a:extLst>
                <a:ext uri="{63B3BB69-23CF-44E3-9099-C40C66FF867C}">
                  <a14:compatExt spid="_x0000_s13382"/>
                </a:ext>
                <a:ext uri="{FF2B5EF4-FFF2-40B4-BE49-F238E27FC236}">
                  <a16:creationId xmlns:a16="http://schemas.microsoft.com/office/drawing/2014/main" id="{00000000-0008-0000-0400-00004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13383" name="Button 71" hidden="1">
              <a:extLst>
                <a:ext uri="{63B3BB69-23CF-44E3-9099-C40C66FF867C}">
                  <a14:compatExt spid="_x0000_s13383"/>
                </a:ext>
                <a:ext uri="{FF2B5EF4-FFF2-40B4-BE49-F238E27FC236}">
                  <a16:creationId xmlns:a16="http://schemas.microsoft.com/office/drawing/2014/main" id="{00000000-0008-0000-0400-00004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13384" name="Button 72" hidden="1">
              <a:extLst>
                <a:ext uri="{63B3BB69-23CF-44E3-9099-C40C66FF867C}">
                  <a14:compatExt spid="_x0000_s13384"/>
                </a:ext>
                <a:ext uri="{FF2B5EF4-FFF2-40B4-BE49-F238E27FC236}">
                  <a16:creationId xmlns:a16="http://schemas.microsoft.com/office/drawing/2014/main" id="{00000000-0008-0000-0400-00004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3385" name="Button 73" hidden="1">
              <a:extLst>
                <a:ext uri="{63B3BB69-23CF-44E3-9099-C40C66FF867C}">
                  <a14:compatExt spid="_x0000_s13385"/>
                </a:ext>
                <a:ext uri="{FF2B5EF4-FFF2-40B4-BE49-F238E27FC236}">
                  <a16:creationId xmlns:a16="http://schemas.microsoft.com/office/drawing/2014/main" id="{00000000-0008-0000-0400-00004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3386" name="Button 74" hidden="1">
              <a:extLst>
                <a:ext uri="{63B3BB69-23CF-44E3-9099-C40C66FF867C}">
                  <a14:compatExt spid="_x0000_s13386"/>
                </a:ext>
                <a:ext uri="{FF2B5EF4-FFF2-40B4-BE49-F238E27FC236}">
                  <a16:creationId xmlns:a16="http://schemas.microsoft.com/office/drawing/2014/main" id="{00000000-0008-0000-0400-00004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13387" name="Button 75" hidden="1">
              <a:extLst>
                <a:ext uri="{63B3BB69-23CF-44E3-9099-C40C66FF867C}">
                  <a14:compatExt spid="_x0000_s13387"/>
                </a:ext>
                <a:ext uri="{FF2B5EF4-FFF2-40B4-BE49-F238E27FC236}">
                  <a16:creationId xmlns:a16="http://schemas.microsoft.com/office/drawing/2014/main" id="{00000000-0008-0000-0400-00004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13388" name="Button 76" hidden="1">
              <a:extLst>
                <a:ext uri="{63B3BB69-23CF-44E3-9099-C40C66FF867C}">
                  <a14:compatExt spid="_x0000_s13388"/>
                </a:ext>
                <a:ext uri="{FF2B5EF4-FFF2-40B4-BE49-F238E27FC236}">
                  <a16:creationId xmlns:a16="http://schemas.microsoft.com/office/drawing/2014/main" id="{00000000-0008-0000-0400-00004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3389" name="Button 77" hidden="1">
              <a:extLst>
                <a:ext uri="{63B3BB69-23CF-44E3-9099-C40C66FF867C}">
                  <a14:compatExt spid="_x0000_s13389"/>
                </a:ext>
                <a:ext uri="{FF2B5EF4-FFF2-40B4-BE49-F238E27FC236}">
                  <a16:creationId xmlns:a16="http://schemas.microsoft.com/office/drawing/2014/main" id="{00000000-0008-0000-0400-00004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13390" name="Button 78" hidden="1">
              <a:extLst>
                <a:ext uri="{63B3BB69-23CF-44E3-9099-C40C66FF867C}">
                  <a14:compatExt spid="_x0000_s13390"/>
                </a:ext>
                <a:ext uri="{FF2B5EF4-FFF2-40B4-BE49-F238E27FC236}">
                  <a16:creationId xmlns:a16="http://schemas.microsoft.com/office/drawing/2014/main" id="{00000000-0008-0000-0400-00004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13391" name="Button 79" hidden="1">
              <a:extLst>
                <a:ext uri="{63B3BB69-23CF-44E3-9099-C40C66FF867C}">
                  <a14:compatExt spid="_x0000_s13391"/>
                </a:ext>
                <a:ext uri="{FF2B5EF4-FFF2-40B4-BE49-F238E27FC236}">
                  <a16:creationId xmlns:a16="http://schemas.microsoft.com/office/drawing/2014/main" id="{00000000-0008-0000-0400-00004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13392" name="Button 80" hidden="1">
              <a:extLst>
                <a:ext uri="{63B3BB69-23CF-44E3-9099-C40C66FF867C}">
                  <a14:compatExt spid="_x0000_s13392"/>
                </a:ext>
                <a:ext uri="{FF2B5EF4-FFF2-40B4-BE49-F238E27FC236}">
                  <a16:creationId xmlns:a16="http://schemas.microsoft.com/office/drawing/2014/main" id="{00000000-0008-0000-0400-00005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13393" name="Button 81" hidden="1">
              <a:extLst>
                <a:ext uri="{63B3BB69-23CF-44E3-9099-C40C66FF867C}">
                  <a14:compatExt spid="_x0000_s13393"/>
                </a:ext>
                <a:ext uri="{FF2B5EF4-FFF2-40B4-BE49-F238E27FC236}">
                  <a16:creationId xmlns:a16="http://schemas.microsoft.com/office/drawing/2014/main" id="{00000000-0008-0000-0400-00005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13394" name="Button 82" hidden="1">
              <a:extLst>
                <a:ext uri="{63B3BB69-23CF-44E3-9099-C40C66FF867C}">
                  <a14:compatExt spid="_x0000_s13394"/>
                </a:ext>
                <a:ext uri="{FF2B5EF4-FFF2-40B4-BE49-F238E27FC236}">
                  <a16:creationId xmlns:a16="http://schemas.microsoft.com/office/drawing/2014/main" id="{00000000-0008-0000-0400-00005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13395" name="Button 83" hidden="1">
              <a:extLst>
                <a:ext uri="{63B3BB69-23CF-44E3-9099-C40C66FF867C}">
                  <a14:compatExt spid="_x0000_s13395"/>
                </a:ext>
                <a:ext uri="{FF2B5EF4-FFF2-40B4-BE49-F238E27FC236}">
                  <a16:creationId xmlns:a16="http://schemas.microsoft.com/office/drawing/2014/main" id="{00000000-0008-0000-0400-00005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13396" name="Button 84" hidden="1">
              <a:extLst>
                <a:ext uri="{63B3BB69-23CF-44E3-9099-C40C66FF867C}">
                  <a14:compatExt spid="_x0000_s13396"/>
                </a:ext>
                <a:ext uri="{FF2B5EF4-FFF2-40B4-BE49-F238E27FC236}">
                  <a16:creationId xmlns:a16="http://schemas.microsoft.com/office/drawing/2014/main" id="{00000000-0008-0000-0400-00005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13397" name="Button 85" hidden="1">
              <a:extLst>
                <a:ext uri="{63B3BB69-23CF-44E3-9099-C40C66FF867C}">
                  <a14:compatExt spid="_x0000_s13397"/>
                </a:ext>
                <a:ext uri="{FF2B5EF4-FFF2-40B4-BE49-F238E27FC236}">
                  <a16:creationId xmlns:a16="http://schemas.microsoft.com/office/drawing/2014/main" id="{00000000-0008-0000-0400-00005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13398" name="Button 86" hidden="1">
              <a:extLst>
                <a:ext uri="{63B3BB69-23CF-44E3-9099-C40C66FF867C}">
                  <a14:compatExt spid="_x0000_s13398"/>
                </a:ext>
                <a:ext uri="{FF2B5EF4-FFF2-40B4-BE49-F238E27FC236}">
                  <a16:creationId xmlns:a16="http://schemas.microsoft.com/office/drawing/2014/main" id="{00000000-0008-0000-0400-00005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13399" name="Button 87" hidden="1">
              <a:extLst>
                <a:ext uri="{63B3BB69-23CF-44E3-9099-C40C66FF867C}">
                  <a14:compatExt spid="_x0000_s13399"/>
                </a:ext>
                <a:ext uri="{FF2B5EF4-FFF2-40B4-BE49-F238E27FC236}">
                  <a16:creationId xmlns:a16="http://schemas.microsoft.com/office/drawing/2014/main" id="{00000000-0008-0000-0400-00005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13400" name="Button 88" hidden="1">
              <a:extLst>
                <a:ext uri="{63B3BB69-23CF-44E3-9099-C40C66FF867C}">
                  <a14:compatExt spid="_x0000_s13400"/>
                </a:ext>
                <a:ext uri="{FF2B5EF4-FFF2-40B4-BE49-F238E27FC236}">
                  <a16:creationId xmlns:a16="http://schemas.microsoft.com/office/drawing/2014/main" id="{00000000-0008-0000-0400-00005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13401" name="Button 89" hidden="1">
              <a:extLst>
                <a:ext uri="{63B3BB69-23CF-44E3-9099-C40C66FF867C}">
                  <a14:compatExt spid="_x0000_s13401"/>
                </a:ext>
                <a:ext uri="{FF2B5EF4-FFF2-40B4-BE49-F238E27FC236}">
                  <a16:creationId xmlns:a16="http://schemas.microsoft.com/office/drawing/2014/main" id="{00000000-0008-0000-0400-00005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3402" name="Button 90" hidden="1">
              <a:extLst>
                <a:ext uri="{63B3BB69-23CF-44E3-9099-C40C66FF867C}">
                  <a14:compatExt spid="_x0000_s13402"/>
                </a:ext>
                <a:ext uri="{FF2B5EF4-FFF2-40B4-BE49-F238E27FC236}">
                  <a16:creationId xmlns:a16="http://schemas.microsoft.com/office/drawing/2014/main" id="{00000000-0008-0000-0400-00005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3403" name="Button 91" hidden="1">
              <a:extLst>
                <a:ext uri="{63B3BB69-23CF-44E3-9099-C40C66FF867C}">
                  <a14:compatExt spid="_x0000_s13403"/>
                </a:ext>
                <a:ext uri="{FF2B5EF4-FFF2-40B4-BE49-F238E27FC236}">
                  <a16:creationId xmlns:a16="http://schemas.microsoft.com/office/drawing/2014/main" id="{00000000-0008-0000-0400-00005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13404" name="Button 92" hidden="1">
              <a:extLst>
                <a:ext uri="{63B3BB69-23CF-44E3-9099-C40C66FF867C}">
                  <a14:compatExt spid="_x0000_s13404"/>
                </a:ext>
                <a:ext uri="{FF2B5EF4-FFF2-40B4-BE49-F238E27FC236}">
                  <a16:creationId xmlns:a16="http://schemas.microsoft.com/office/drawing/2014/main" id="{00000000-0008-0000-0400-00005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13405" name="Button 93" hidden="1">
              <a:extLst>
                <a:ext uri="{63B3BB69-23CF-44E3-9099-C40C66FF867C}">
                  <a14:compatExt spid="_x0000_s13405"/>
                </a:ext>
                <a:ext uri="{FF2B5EF4-FFF2-40B4-BE49-F238E27FC236}">
                  <a16:creationId xmlns:a16="http://schemas.microsoft.com/office/drawing/2014/main" id="{00000000-0008-0000-0400-00005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13406" name="Button 94" hidden="1">
              <a:extLst>
                <a:ext uri="{63B3BB69-23CF-44E3-9099-C40C66FF867C}">
                  <a14:compatExt spid="_x0000_s13406"/>
                </a:ext>
                <a:ext uri="{FF2B5EF4-FFF2-40B4-BE49-F238E27FC236}">
                  <a16:creationId xmlns:a16="http://schemas.microsoft.com/office/drawing/2014/main" id="{00000000-0008-0000-0400-00005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13407" name="Button 95" hidden="1">
              <a:extLst>
                <a:ext uri="{63B3BB69-23CF-44E3-9099-C40C66FF867C}">
                  <a14:compatExt spid="_x0000_s13407"/>
                </a:ext>
                <a:ext uri="{FF2B5EF4-FFF2-40B4-BE49-F238E27FC236}">
                  <a16:creationId xmlns:a16="http://schemas.microsoft.com/office/drawing/2014/main" id="{00000000-0008-0000-0400-00005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13408" name="Button 96" hidden="1">
              <a:extLst>
                <a:ext uri="{63B3BB69-23CF-44E3-9099-C40C66FF867C}">
                  <a14:compatExt spid="_x0000_s13408"/>
                </a:ext>
                <a:ext uri="{FF2B5EF4-FFF2-40B4-BE49-F238E27FC236}">
                  <a16:creationId xmlns:a16="http://schemas.microsoft.com/office/drawing/2014/main" id="{00000000-0008-0000-0400-00006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13409" name="Button 97" hidden="1">
              <a:extLst>
                <a:ext uri="{63B3BB69-23CF-44E3-9099-C40C66FF867C}">
                  <a14:compatExt spid="_x0000_s13409"/>
                </a:ext>
                <a:ext uri="{FF2B5EF4-FFF2-40B4-BE49-F238E27FC236}">
                  <a16:creationId xmlns:a16="http://schemas.microsoft.com/office/drawing/2014/main" id="{00000000-0008-0000-0400-00006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13410" name="Button 98" hidden="1">
              <a:extLst>
                <a:ext uri="{63B3BB69-23CF-44E3-9099-C40C66FF867C}">
                  <a14:compatExt spid="_x0000_s13410"/>
                </a:ext>
                <a:ext uri="{FF2B5EF4-FFF2-40B4-BE49-F238E27FC236}">
                  <a16:creationId xmlns:a16="http://schemas.microsoft.com/office/drawing/2014/main" id="{00000000-0008-0000-0400-00006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13411" name="Button 99" hidden="1">
              <a:extLst>
                <a:ext uri="{63B3BB69-23CF-44E3-9099-C40C66FF867C}">
                  <a14:compatExt spid="_x0000_s13411"/>
                </a:ext>
                <a:ext uri="{FF2B5EF4-FFF2-40B4-BE49-F238E27FC236}">
                  <a16:creationId xmlns:a16="http://schemas.microsoft.com/office/drawing/2014/main" id="{00000000-0008-0000-0400-00006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13412" name="Button 100" hidden="1">
              <a:extLst>
                <a:ext uri="{63B3BB69-23CF-44E3-9099-C40C66FF867C}">
                  <a14:compatExt spid="_x0000_s13412"/>
                </a:ext>
                <a:ext uri="{FF2B5EF4-FFF2-40B4-BE49-F238E27FC236}">
                  <a16:creationId xmlns:a16="http://schemas.microsoft.com/office/drawing/2014/main" id="{00000000-0008-0000-0400-00006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13413" name="Button 101" hidden="1">
              <a:extLst>
                <a:ext uri="{63B3BB69-23CF-44E3-9099-C40C66FF867C}">
                  <a14:compatExt spid="_x0000_s13413"/>
                </a:ext>
                <a:ext uri="{FF2B5EF4-FFF2-40B4-BE49-F238E27FC236}">
                  <a16:creationId xmlns:a16="http://schemas.microsoft.com/office/drawing/2014/main" id="{00000000-0008-0000-0400-00006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13414" name="Button 102" hidden="1">
              <a:extLst>
                <a:ext uri="{63B3BB69-23CF-44E3-9099-C40C66FF867C}">
                  <a14:compatExt spid="_x0000_s13414"/>
                </a:ext>
                <a:ext uri="{FF2B5EF4-FFF2-40B4-BE49-F238E27FC236}">
                  <a16:creationId xmlns:a16="http://schemas.microsoft.com/office/drawing/2014/main" id="{00000000-0008-0000-0400-00006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13415" name="Button 103" hidden="1">
              <a:extLst>
                <a:ext uri="{63B3BB69-23CF-44E3-9099-C40C66FF867C}">
                  <a14:compatExt spid="_x0000_s13415"/>
                </a:ext>
                <a:ext uri="{FF2B5EF4-FFF2-40B4-BE49-F238E27FC236}">
                  <a16:creationId xmlns:a16="http://schemas.microsoft.com/office/drawing/2014/main" id="{00000000-0008-0000-0400-00006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13416" name="Button 104" hidden="1">
              <a:extLst>
                <a:ext uri="{63B3BB69-23CF-44E3-9099-C40C66FF867C}">
                  <a14:compatExt spid="_x0000_s13416"/>
                </a:ext>
                <a:ext uri="{FF2B5EF4-FFF2-40B4-BE49-F238E27FC236}">
                  <a16:creationId xmlns:a16="http://schemas.microsoft.com/office/drawing/2014/main" id="{00000000-0008-0000-0400-00006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13417" name="Button 105" hidden="1">
              <a:extLst>
                <a:ext uri="{63B3BB69-23CF-44E3-9099-C40C66FF867C}">
                  <a14:compatExt spid="_x0000_s13417"/>
                </a:ext>
                <a:ext uri="{FF2B5EF4-FFF2-40B4-BE49-F238E27FC236}">
                  <a16:creationId xmlns:a16="http://schemas.microsoft.com/office/drawing/2014/main" id="{00000000-0008-0000-0400-00006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13418" name="Button 106" hidden="1">
              <a:extLst>
                <a:ext uri="{63B3BB69-23CF-44E3-9099-C40C66FF867C}">
                  <a14:compatExt spid="_x0000_s13418"/>
                </a:ext>
                <a:ext uri="{FF2B5EF4-FFF2-40B4-BE49-F238E27FC236}">
                  <a16:creationId xmlns:a16="http://schemas.microsoft.com/office/drawing/2014/main" id="{00000000-0008-0000-0400-00006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13419" name="Button 107" hidden="1">
              <a:extLst>
                <a:ext uri="{63B3BB69-23CF-44E3-9099-C40C66FF867C}">
                  <a14:compatExt spid="_x0000_s13419"/>
                </a:ext>
                <a:ext uri="{FF2B5EF4-FFF2-40B4-BE49-F238E27FC236}">
                  <a16:creationId xmlns:a16="http://schemas.microsoft.com/office/drawing/2014/main" id="{00000000-0008-0000-0400-00006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13420" name="Button 108" hidden="1">
              <a:extLst>
                <a:ext uri="{63B3BB69-23CF-44E3-9099-C40C66FF867C}">
                  <a14:compatExt spid="_x0000_s13420"/>
                </a:ext>
                <a:ext uri="{FF2B5EF4-FFF2-40B4-BE49-F238E27FC236}">
                  <a16:creationId xmlns:a16="http://schemas.microsoft.com/office/drawing/2014/main" id="{00000000-0008-0000-0400-00006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13421" name="Button 109" hidden="1">
              <a:extLst>
                <a:ext uri="{63B3BB69-23CF-44E3-9099-C40C66FF867C}">
                  <a14:compatExt spid="_x0000_s13421"/>
                </a:ext>
                <a:ext uri="{FF2B5EF4-FFF2-40B4-BE49-F238E27FC236}">
                  <a16:creationId xmlns:a16="http://schemas.microsoft.com/office/drawing/2014/main" id="{00000000-0008-0000-0400-00006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13422" name="Button 110" hidden="1">
              <a:extLst>
                <a:ext uri="{63B3BB69-23CF-44E3-9099-C40C66FF867C}">
                  <a14:compatExt spid="_x0000_s13422"/>
                </a:ext>
                <a:ext uri="{FF2B5EF4-FFF2-40B4-BE49-F238E27FC236}">
                  <a16:creationId xmlns:a16="http://schemas.microsoft.com/office/drawing/2014/main" id="{00000000-0008-0000-0400-00006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13423" name="Button 111" hidden="1">
              <a:extLst>
                <a:ext uri="{63B3BB69-23CF-44E3-9099-C40C66FF867C}">
                  <a14:compatExt spid="_x0000_s13423"/>
                </a:ext>
                <a:ext uri="{FF2B5EF4-FFF2-40B4-BE49-F238E27FC236}">
                  <a16:creationId xmlns:a16="http://schemas.microsoft.com/office/drawing/2014/main" id="{00000000-0008-0000-0400-00006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13424" name="Button 112" hidden="1">
              <a:extLst>
                <a:ext uri="{63B3BB69-23CF-44E3-9099-C40C66FF867C}">
                  <a14:compatExt spid="_x0000_s13424"/>
                </a:ext>
                <a:ext uri="{FF2B5EF4-FFF2-40B4-BE49-F238E27FC236}">
                  <a16:creationId xmlns:a16="http://schemas.microsoft.com/office/drawing/2014/main" id="{00000000-0008-0000-0400-00007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13425" name="Button 113" hidden="1">
              <a:extLst>
                <a:ext uri="{63B3BB69-23CF-44E3-9099-C40C66FF867C}">
                  <a14:compatExt spid="_x0000_s13425"/>
                </a:ext>
                <a:ext uri="{FF2B5EF4-FFF2-40B4-BE49-F238E27FC236}">
                  <a16:creationId xmlns:a16="http://schemas.microsoft.com/office/drawing/2014/main" id="{00000000-0008-0000-0400-00007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13426" name="Button 114" hidden="1">
              <a:extLst>
                <a:ext uri="{63B3BB69-23CF-44E3-9099-C40C66FF867C}">
                  <a14:compatExt spid="_x0000_s13426"/>
                </a:ext>
                <a:ext uri="{FF2B5EF4-FFF2-40B4-BE49-F238E27FC236}">
                  <a16:creationId xmlns:a16="http://schemas.microsoft.com/office/drawing/2014/main" id="{00000000-0008-0000-0400-00007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13427" name="Button 115" hidden="1">
              <a:extLst>
                <a:ext uri="{63B3BB69-23CF-44E3-9099-C40C66FF867C}">
                  <a14:compatExt spid="_x0000_s13427"/>
                </a:ext>
                <a:ext uri="{FF2B5EF4-FFF2-40B4-BE49-F238E27FC236}">
                  <a16:creationId xmlns:a16="http://schemas.microsoft.com/office/drawing/2014/main" id="{00000000-0008-0000-0400-00007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13428" name="Button 116" hidden="1">
              <a:extLst>
                <a:ext uri="{63B3BB69-23CF-44E3-9099-C40C66FF867C}">
                  <a14:compatExt spid="_x0000_s13428"/>
                </a:ext>
                <a:ext uri="{FF2B5EF4-FFF2-40B4-BE49-F238E27FC236}">
                  <a16:creationId xmlns:a16="http://schemas.microsoft.com/office/drawing/2014/main" id="{00000000-0008-0000-0400-00007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13429" name="Button 117" hidden="1">
              <a:extLst>
                <a:ext uri="{63B3BB69-23CF-44E3-9099-C40C66FF867C}">
                  <a14:compatExt spid="_x0000_s13429"/>
                </a:ext>
                <a:ext uri="{FF2B5EF4-FFF2-40B4-BE49-F238E27FC236}">
                  <a16:creationId xmlns:a16="http://schemas.microsoft.com/office/drawing/2014/main" id="{00000000-0008-0000-0400-00007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13430" name="Button 118" hidden="1">
              <a:extLst>
                <a:ext uri="{63B3BB69-23CF-44E3-9099-C40C66FF867C}">
                  <a14:compatExt spid="_x0000_s13430"/>
                </a:ext>
                <a:ext uri="{FF2B5EF4-FFF2-40B4-BE49-F238E27FC236}">
                  <a16:creationId xmlns:a16="http://schemas.microsoft.com/office/drawing/2014/main" id="{00000000-0008-0000-0400-00007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13431" name="Button 119" hidden="1">
              <a:extLst>
                <a:ext uri="{63B3BB69-23CF-44E3-9099-C40C66FF867C}">
                  <a14:compatExt spid="_x0000_s13431"/>
                </a:ext>
                <a:ext uri="{FF2B5EF4-FFF2-40B4-BE49-F238E27FC236}">
                  <a16:creationId xmlns:a16="http://schemas.microsoft.com/office/drawing/2014/main" id="{00000000-0008-0000-0400-00007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13432" name="Button 120" hidden="1">
              <a:extLst>
                <a:ext uri="{63B3BB69-23CF-44E3-9099-C40C66FF867C}">
                  <a14:compatExt spid="_x0000_s13432"/>
                </a:ext>
                <a:ext uri="{FF2B5EF4-FFF2-40B4-BE49-F238E27FC236}">
                  <a16:creationId xmlns:a16="http://schemas.microsoft.com/office/drawing/2014/main" id="{00000000-0008-0000-0400-00007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13433" name="Button 121" hidden="1">
              <a:extLst>
                <a:ext uri="{63B3BB69-23CF-44E3-9099-C40C66FF867C}">
                  <a14:compatExt spid="_x0000_s13433"/>
                </a:ext>
                <a:ext uri="{FF2B5EF4-FFF2-40B4-BE49-F238E27FC236}">
                  <a16:creationId xmlns:a16="http://schemas.microsoft.com/office/drawing/2014/main" id="{00000000-0008-0000-0400-00007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13434" name="Button 122" hidden="1">
              <a:extLst>
                <a:ext uri="{63B3BB69-23CF-44E3-9099-C40C66FF867C}">
                  <a14:compatExt spid="_x0000_s13434"/>
                </a:ext>
                <a:ext uri="{FF2B5EF4-FFF2-40B4-BE49-F238E27FC236}">
                  <a16:creationId xmlns:a16="http://schemas.microsoft.com/office/drawing/2014/main" id="{00000000-0008-0000-0400-00007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13435" name="Button 123" hidden="1">
              <a:extLst>
                <a:ext uri="{63B3BB69-23CF-44E3-9099-C40C66FF867C}">
                  <a14:compatExt spid="_x0000_s13435"/>
                </a:ext>
                <a:ext uri="{FF2B5EF4-FFF2-40B4-BE49-F238E27FC236}">
                  <a16:creationId xmlns:a16="http://schemas.microsoft.com/office/drawing/2014/main" id="{00000000-0008-0000-0400-00007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13436" name="Button 124" hidden="1">
              <a:extLst>
                <a:ext uri="{63B3BB69-23CF-44E3-9099-C40C66FF867C}">
                  <a14:compatExt spid="_x0000_s13436"/>
                </a:ext>
                <a:ext uri="{FF2B5EF4-FFF2-40B4-BE49-F238E27FC236}">
                  <a16:creationId xmlns:a16="http://schemas.microsoft.com/office/drawing/2014/main" id="{00000000-0008-0000-0400-00007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13437" name="Button 125" hidden="1">
              <a:extLst>
                <a:ext uri="{63B3BB69-23CF-44E3-9099-C40C66FF867C}">
                  <a14:compatExt spid="_x0000_s13437"/>
                </a:ext>
                <a:ext uri="{FF2B5EF4-FFF2-40B4-BE49-F238E27FC236}">
                  <a16:creationId xmlns:a16="http://schemas.microsoft.com/office/drawing/2014/main" id="{00000000-0008-0000-0400-00007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13438" name="Button 126" hidden="1">
              <a:extLst>
                <a:ext uri="{63B3BB69-23CF-44E3-9099-C40C66FF867C}">
                  <a14:compatExt spid="_x0000_s13438"/>
                </a:ext>
                <a:ext uri="{FF2B5EF4-FFF2-40B4-BE49-F238E27FC236}">
                  <a16:creationId xmlns:a16="http://schemas.microsoft.com/office/drawing/2014/main" id="{00000000-0008-0000-0400-00007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13439" name="Button 127" hidden="1">
              <a:extLst>
                <a:ext uri="{63B3BB69-23CF-44E3-9099-C40C66FF867C}">
                  <a14:compatExt spid="_x0000_s13439"/>
                </a:ext>
                <a:ext uri="{FF2B5EF4-FFF2-40B4-BE49-F238E27FC236}">
                  <a16:creationId xmlns:a16="http://schemas.microsoft.com/office/drawing/2014/main" id="{00000000-0008-0000-0400-00007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13440" name="Button 128" hidden="1">
              <a:extLst>
                <a:ext uri="{63B3BB69-23CF-44E3-9099-C40C66FF867C}">
                  <a14:compatExt spid="_x0000_s13440"/>
                </a:ext>
                <a:ext uri="{FF2B5EF4-FFF2-40B4-BE49-F238E27FC236}">
                  <a16:creationId xmlns:a16="http://schemas.microsoft.com/office/drawing/2014/main" id="{00000000-0008-0000-0400-00008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13441" name="Button 129" hidden="1">
              <a:extLst>
                <a:ext uri="{63B3BB69-23CF-44E3-9099-C40C66FF867C}">
                  <a14:compatExt spid="_x0000_s13441"/>
                </a:ext>
                <a:ext uri="{FF2B5EF4-FFF2-40B4-BE49-F238E27FC236}">
                  <a16:creationId xmlns:a16="http://schemas.microsoft.com/office/drawing/2014/main" id="{00000000-0008-0000-0400-00008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13442" name="Button 130" hidden="1">
              <a:extLst>
                <a:ext uri="{63B3BB69-23CF-44E3-9099-C40C66FF867C}">
                  <a14:compatExt spid="_x0000_s13442"/>
                </a:ext>
                <a:ext uri="{FF2B5EF4-FFF2-40B4-BE49-F238E27FC236}">
                  <a16:creationId xmlns:a16="http://schemas.microsoft.com/office/drawing/2014/main" id="{00000000-0008-0000-0400-00008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13443" name="Button 131" hidden="1">
              <a:extLst>
                <a:ext uri="{63B3BB69-23CF-44E3-9099-C40C66FF867C}">
                  <a14:compatExt spid="_x0000_s13443"/>
                </a:ext>
                <a:ext uri="{FF2B5EF4-FFF2-40B4-BE49-F238E27FC236}">
                  <a16:creationId xmlns:a16="http://schemas.microsoft.com/office/drawing/2014/main" id="{00000000-0008-0000-0400-00008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13444" name="Button 132" hidden="1">
              <a:extLst>
                <a:ext uri="{63B3BB69-23CF-44E3-9099-C40C66FF867C}">
                  <a14:compatExt spid="_x0000_s13444"/>
                </a:ext>
                <a:ext uri="{FF2B5EF4-FFF2-40B4-BE49-F238E27FC236}">
                  <a16:creationId xmlns:a16="http://schemas.microsoft.com/office/drawing/2014/main" id="{00000000-0008-0000-0400-00008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13445" name="Button 133" hidden="1">
              <a:extLst>
                <a:ext uri="{63B3BB69-23CF-44E3-9099-C40C66FF867C}">
                  <a14:compatExt spid="_x0000_s13445"/>
                </a:ext>
                <a:ext uri="{FF2B5EF4-FFF2-40B4-BE49-F238E27FC236}">
                  <a16:creationId xmlns:a16="http://schemas.microsoft.com/office/drawing/2014/main" id="{00000000-0008-0000-0400-00008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13446" name="Button 134" hidden="1">
              <a:extLst>
                <a:ext uri="{63B3BB69-23CF-44E3-9099-C40C66FF867C}">
                  <a14:compatExt spid="_x0000_s13446"/>
                </a:ext>
                <a:ext uri="{FF2B5EF4-FFF2-40B4-BE49-F238E27FC236}">
                  <a16:creationId xmlns:a16="http://schemas.microsoft.com/office/drawing/2014/main" id="{00000000-0008-0000-0400-00008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13447" name="Button 135" hidden="1">
              <a:extLst>
                <a:ext uri="{63B3BB69-23CF-44E3-9099-C40C66FF867C}">
                  <a14:compatExt spid="_x0000_s13447"/>
                </a:ext>
                <a:ext uri="{FF2B5EF4-FFF2-40B4-BE49-F238E27FC236}">
                  <a16:creationId xmlns:a16="http://schemas.microsoft.com/office/drawing/2014/main" id="{00000000-0008-0000-0400-00008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13448" name="Button 136" hidden="1">
              <a:extLst>
                <a:ext uri="{63B3BB69-23CF-44E3-9099-C40C66FF867C}">
                  <a14:compatExt spid="_x0000_s13448"/>
                </a:ext>
                <a:ext uri="{FF2B5EF4-FFF2-40B4-BE49-F238E27FC236}">
                  <a16:creationId xmlns:a16="http://schemas.microsoft.com/office/drawing/2014/main" id="{00000000-0008-0000-0400-00008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13449" name="Button 137" hidden="1">
              <a:extLst>
                <a:ext uri="{63B3BB69-23CF-44E3-9099-C40C66FF867C}">
                  <a14:compatExt spid="_x0000_s13449"/>
                </a:ext>
                <a:ext uri="{FF2B5EF4-FFF2-40B4-BE49-F238E27FC236}">
                  <a16:creationId xmlns:a16="http://schemas.microsoft.com/office/drawing/2014/main" id="{00000000-0008-0000-0400-00008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13450" name="Button 138" hidden="1">
              <a:extLst>
                <a:ext uri="{63B3BB69-23CF-44E3-9099-C40C66FF867C}">
                  <a14:compatExt spid="_x0000_s13450"/>
                </a:ext>
                <a:ext uri="{FF2B5EF4-FFF2-40B4-BE49-F238E27FC236}">
                  <a16:creationId xmlns:a16="http://schemas.microsoft.com/office/drawing/2014/main" id="{00000000-0008-0000-0400-00008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13451" name="Button 139" hidden="1">
              <a:extLst>
                <a:ext uri="{63B3BB69-23CF-44E3-9099-C40C66FF867C}">
                  <a14:compatExt spid="_x0000_s13451"/>
                </a:ext>
                <a:ext uri="{FF2B5EF4-FFF2-40B4-BE49-F238E27FC236}">
                  <a16:creationId xmlns:a16="http://schemas.microsoft.com/office/drawing/2014/main" id="{00000000-0008-0000-0400-00008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13452" name="Button 140" hidden="1">
              <a:extLst>
                <a:ext uri="{63B3BB69-23CF-44E3-9099-C40C66FF867C}">
                  <a14:compatExt spid="_x0000_s13452"/>
                </a:ext>
                <a:ext uri="{FF2B5EF4-FFF2-40B4-BE49-F238E27FC236}">
                  <a16:creationId xmlns:a16="http://schemas.microsoft.com/office/drawing/2014/main" id="{00000000-0008-0000-0400-00008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5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5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5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5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5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5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5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5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5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5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5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14351" name="Button 15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5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4352" name="Button 16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5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14353" name="Button 17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5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4354" name="Button 18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5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14355" name="Button 19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5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4356" name="Button 20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5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14357" name="Button 21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5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4358" name="Button 22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5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4359" name="Button 23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5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14360" name="Button 24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5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4361" name="Button 25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5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14362" name="Button 26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5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14363" name="Button 27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5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14364" name="Button 28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5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14365" name="Button 29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5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14366" name="Button 30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5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14367" name="Button 31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5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14368" name="Button 32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5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14369" name="Button 33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5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14370" name="Button 34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5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14371" name="Button 35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5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14372" name="Button 36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5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14373" name="Button 37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5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14374" name="Button 38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5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14375" name="Button 39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5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14376" name="Button 40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5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14377" name="Button 41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5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14378" name="Button 42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5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14379" name="Button 43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5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14380" name="Button 44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5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14381" name="Button 45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5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14382" name="Button 46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5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14383" name="Button 47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5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14384" name="Button 48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5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14385" name="Button 49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5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14386" name="Button 50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5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14387" name="Button 51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5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14388" name="Button 52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5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14389" name="Button 53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5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14390" name="Button 54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5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14391" name="Button 55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5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14392" name="Button 56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5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14393" name="Button 57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5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14394" name="Button 58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5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14395" name="Button 59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5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14396" name="Button 60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5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14397" name="Button 61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5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14398" name="Button 62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5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4399" name="Button 63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5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14400" name="Button 64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5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14401" name="Button 65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5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14402" name="Button 66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5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14403" name="Button 67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5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14404" name="Button 68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5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14405" name="Button 69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5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14406" name="Button 70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5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14407" name="Button 71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5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14408" name="Button 72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5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4409" name="Button 73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5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4410" name="Button 74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5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14411" name="Button 75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5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14412" name="Button 76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5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4413" name="Button 77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5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14414" name="Button 78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5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14415" name="Button 79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5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14416" name="Button 80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5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14417" name="Button 81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5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14418" name="Button 82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5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14419" name="Button 83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5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14420" name="Button 84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5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14421" name="Button 85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5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14422" name="Button 86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5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14423" name="Button 87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5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14424" name="Button 88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5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14425" name="Button 89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5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4426" name="Button 90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5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4427" name="Button 91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5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14428" name="Button 92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5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14429" name="Button 93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5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14430" name="Button 94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5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14431" name="Button 95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5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14432" name="Button 96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5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14433" name="Button 97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5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14434" name="Button 98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5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14435" name="Button 99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5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14436" name="Button 100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5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14437" name="Button 101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5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14438" name="Button 102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5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14439" name="Button 103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5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14440" name="Button 104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5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14441" name="Button 105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5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14442" name="Button 106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5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14443" name="Button 107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5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14444" name="Button 108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5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14445" name="Button 109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5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14446" name="Button 110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5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14447" name="Button 111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5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14448" name="Button 112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5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14449" name="Button 113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5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14450" name="Button 114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5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14451" name="Button 115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5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14452" name="Button 116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5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14453" name="Button 117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5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14454" name="Button 118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5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14455" name="Button 119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5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14456" name="Button 120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5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14457" name="Button 121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5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14458" name="Button 122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5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14459" name="Button 123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5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14460" name="Button 124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5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14461" name="Button 125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5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14462" name="Button 126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5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14463" name="Button 127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5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14464" name="Button 128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5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14465" name="Button 129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5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14466" name="Button 130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5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14467" name="Button 131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5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14468" name="Button 132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5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14469" name="Button 133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5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14470" name="Button 134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5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14471" name="Button 135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5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14472" name="Button 136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5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14473" name="Button 137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5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14474" name="Button 138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5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14475" name="Button 139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5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14476" name="Button 140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5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5" Type="http://schemas.openxmlformats.org/officeDocument/2006/relationships/ctrlProp" Target="../ctrlProps/ctrlProp142.xml"/><Relationship Id="rId4" Type="http://schemas.openxmlformats.org/officeDocument/2006/relationships/ctrlProp" Target="../ctrlProps/ctrlProp14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7.xml"/><Relationship Id="rId5" Type="http://schemas.openxmlformats.org/officeDocument/2006/relationships/ctrlProp" Target="../ctrlProps/ctrlProp146.xml"/><Relationship Id="rId4" Type="http://schemas.openxmlformats.org/officeDocument/2006/relationships/ctrlProp" Target="../ctrlProps/ctrlProp145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62.xml"/><Relationship Id="rId21" Type="http://schemas.openxmlformats.org/officeDocument/2006/relationships/ctrlProp" Target="../ctrlProps/ctrlProp166.xml"/><Relationship Id="rId42" Type="http://schemas.openxmlformats.org/officeDocument/2006/relationships/ctrlProp" Target="../ctrlProps/ctrlProp187.xml"/><Relationship Id="rId63" Type="http://schemas.openxmlformats.org/officeDocument/2006/relationships/ctrlProp" Target="../ctrlProps/ctrlProp208.xml"/><Relationship Id="rId84" Type="http://schemas.openxmlformats.org/officeDocument/2006/relationships/ctrlProp" Target="../ctrlProps/ctrlProp229.xml"/><Relationship Id="rId138" Type="http://schemas.openxmlformats.org/officeDocument/2006/relationships/ctrlProp" Target="../ctrlProps/ctrlProp283.xml"/><Relationship Id="rId107" Type="http://schemas.openxmlformats.org/officeDocument/2006/relationships/ctrlProp" Target="../ctrlProps/ctrlProp252.xml"/><Relationship Id="rId11" Type="http://schemas.openxmlformats.org/officeDocument/2006/relationships/ctrlProp" Target="../ctrlProps/ctrlProp156.xml"/><Relationship Id="rId32" Type="http://schemas.openxmlformats.org/officeDocument/2006/relationships/ctrlProp" Target="../ctrlProps/ctrlProp177.xml"/><Relationship Id="rId37" Type="http://schemas.openxmlformats.org/officeDocument/2006/relationships/ctrlProp" Target="../ctrlProps/ctrlProp182.xml"/><Relationship Id="rId53" Type="http://schemas.openxmlformats.org/officeDocument/2006/relationships/ctrlProp" Target="../ctrlProps/ctrlProp198.xml"/><Relationship Id="rId58" Type="http://schemas.openxmlformats.org/officeDocument/2006/relationships/ctrlProp" Target="../ctrlProps/ctrlProp203.xml"/><Relationship Id="rId74" Type="http://schemas.openxmlformats.org/officeDocument/2006/relationships/ctrlProp" Target="../ctrlProps/ctrlProp219.xml"/><Relationship Id="rId79" Type="http://schemas.openxmlformats.org/officeDocument/2006/relationships/ctrlProp" Target="../ctrlProps/ctrlProp224.xml"/><Relationship Id="rId102" Type="http://schemas.openxmlformats.org/officeDocument/2006/relationships/ctrlProp" Target="../ctrlProps/ctrlProp247.xml"/><Relationship Id="rId123" Type="http://schemas.openxmlformats.org/officeDocument/2006/relationships/ctrlProp" Target="../ctrlProps/ctrlProp268.xml"/><Relationship Id="rId128" Type="http://schemas.openxmlformats.org/officeDocument/2006/relationships/ctrlProp" Target="../ctrlProps/ctrlProp273.xml"/><Relationship Id="rId5" Type="http://schemas.openxmlformats.org/officeDocument/2006/relationships/ctrlProp" Target="../ctrlProps/ctrlProp150.xml"/><Relationship Id="rId90" Type="http://schemas.openxmlformats.org/officeDocument/2006/relationships/ctrlProp" Target="../ctrlProps/ctrlProp235.xml"/><Relationship Id="rId95" Type="http://schemas.openxmlformats.org/officeDocument/2006/relationships/ctrlProp" Target="../ctrlProps/ctrlProp240.xml"/><Relationship Id="rId22" Type="http://schemas.openxmlformats.org/officeDocument/2006/relationships/ctrlProp" Target="../ctrlProps/ctrlProp167.xml"/><Relationship Id="rId27" Type="http://schemas.openxmlformats.org/officeDocument/2006/relationships/ctrlProp" Target="../ctrlProps/ctrlProp172.xml"/><Relationship Id="rId43" Type="http://schemas.openxmlformats.org/officeDocument/2006/relationships/ctrlProp" Target="../ctrlProps/ctrlProp188.xml"/><Relationship Id="rId48" Type="http://schemas.openxmlformats.org/officeDocument/2006/relationships/ctrlProp" Target="../ctrlProps/ctrlProp193.xml"/><Relationship Id="rId64" Type="http://schemas.openxmlformats.org/officeDocument/2006/relationships/ctrlProp" Target="../ctrlProps/ctrlProp209.xml"/><Relationship Id="rId69" Type="http://schemas.openxmlformats.org/officeDocument/2006/relationships/ctrlProp" Target="../ctrlProps/ctrlProp214.xml"/><Relationship Id="rId113" Type="http://schemas.openxmlformats.org/officeDocument/2006/relationships/ctrlProp" Target="../ctrlProps/ctrlProp258.xml"/><Relationship Id="rId118" Type="http://schemas.openxmlformats.org/officeDocument/2006/relationships/ctrlProp" Target="../ctrlProps/ctrlProp263.xml"/><Relationship Id="rId134" Type="http://schemas.openxmlformats.org/officeDocument/2006/relationships/ctrlProp" Target="../ctrlProps/ctrlProp279.xml"/><Relationship Id="rId139" Type="http://schemas.openxmlformats.org/officeDocument/2006/relationships/ctrlProp" Target="../ctrlProps/ctrlProp284.xml"/><Relationship Id="rId80" Type="http://schemas.openxmlformats.org/officeDocument/2006/relationships/ctrlProp" Target="../ctrlProps/ctrlProp225.xml"/><Relationship Id="rId85" Type="http://schemas.openxmlformats.org/officeDocument/2006/relationships/ctrlProp" Target="../ctrlProps/ctrlProp230.xml"/><Relationship Id="rId12" Type="http://schemas.openxmlformats.org/officeDocument/2006/relationships/ctrlProp" Target="../ctrlProps/ctrlProp157.xml"/><Relationship Id="rId17" Type="http://schemas.openxmlformats.org/officeDocument/2006/relationships/ctrlProp" Target="../ctrlProps/ctrlProp162.xml"/><Relationship Id="rId33" Type="http://schemas.openxmlformats.org/officeDocument/2006/relationships/ctrlProp" Target="../ctrlProps/ctrlProp178.xml"/><Relationship Id="rId38" Type="http://schemas.openxmlformats.org/officeDocument/2006/relationships/ctrlProp" Target="../ctrlProps/ctrlProp183.xml"/><Relationship Id="rId59" Type="http://schemas.openxmlformats.org/officeDocument/2006/relationships/ctrlProp" Target="../ctrlProps/ctrlProp204.xml"/><Relationship Id="rId103" Type="http://schemas.openxmlformats.org/officeDocument/2006/relationships/ctrlProp" Target="../ctrlProps/ctrlProp248.xml"/><Relationship Id="rId108" Type="http://schemas.openxmlformats.org/officeDocument/2006/relationships/ctrlProp" Target="../ctrlProps/ctrlProp253.xml"/><Relationship Id="rId124" Type="http://schemas.openxmlformats.org/officeDocument/2006/relationships/ctrlProp" Target="../ctrlProps/ctrlProp269.xml"/><Relationship Id="rId129" Type="http://schemas.openxmlformats.org/officeDocument/2006/relationships/ctrlProp" Target="../ctrlProps/ctrlProp274.xml"/><Relationship Id="rId54" Type="http://schemas.openxmlformats.org/officeDocument/2006/relationships/ctrlProp" Target="../ctrlProps/ctrlProp199.xml"/><Relationship Id="rId70" Type="http://schemas.openxmlformats.org/officeDocument/2006/relationships/ctrlProp" Target="../ctrlProps/ctrlProp215.xml"/><Relationship Id="rId75" Type="http://schemas.openxmlformats.org/officeDocument/2006/relationships/ctrlProp" Target="../ctrlProps/ctrlProp220.xml"/><Relationship Id="rId91" Type="http://schemas.openxmlformats.org/officeDocument/2006/relationships/ctrlProp" Target="../ctrlProps/ctrlProp236.xml"/><Relationship Id="rId96" Type="http://schemas.openxmlformats.org/officeDocument/2006/relationships/ctrlProp" Target="../ctrlProps/ctrlProp241.xml"/><Relationship Id="rId140" Type="http://schemas.openxmlformats.org/officeDocument/2006/relationships/ctrlProp" Target="../ctrlProps/ctrlProp28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1.xml"/><Relationship Id="rId23" Type="http://schemas.openxmlformats.org/officeDocument/2006/relationships/ctrlProp" Target="../ctrlProps/ctrlProp168.xml"/><Relationship Id="rId28" Type="http://schemas.openxmlformats.org/officeDocument/2006/relationships/ctrlProp" Target="../ctrlProps/ctrlProp173.xml"/><Relationship Id="rId49" Type="http://schemas.openxmlformats.org/officeDocument/2006/relationships/ctrlProp" Target="../ctrlProps/ctrlProp194.xml"/><Relationship Id="rId114" Type="http://schemas.openxmlformats.org/officeDocument/2006/relationships/ctrlProp" Target="../ctrlProps/ctrlProp259.xml"/><Relationship Id="rId119" Type="http://schemas.openxmlformats.org/officeDocument/2006/relationships/ctrlProp" Target="../ctrlProps/ctrlProp264.xml"/><Relationship Id="rId44" Type="http://schemas.openxmlformats.org/officeDocument/2006/relationships/ctrlProp" Target="../ctrlProps/ctrlProp189.xml"/><Relationship Id="rId60" Type="http://schemas.openxmlformats.org/officeDocument/2006/relationships/ctrlProp" Target="../ctrlProps/ctrlProp205.xml"/><Relationship Id="rId65" Type="http://schemas.openxmlformats.org/officeDocument/2006/relationships/ctrlProp" Target="../ctrlProps/ctrlProp210.xml"/><Relationship Id="rId81" Type="http://schemas.openxmlformats.org/officeDocument/2006/relationships/ctrlProp" Target="../ctrlProps/ctrlProp226.xml"/><Relationship Id="rId86" Type="http://schemas.openxmlformats.org/officeDocument/2006/relationships/ctrlProp" Target="../ctrlProps/ctrlProp231.xml"/><Relationship Id="rId130" Type="http://schemas.openxmlformats.org/officeDocument/2006/relationships/ctrlProp" Target="../ctrlProps/ctrlProp275.xml"/><Relationship Id="rId135" Type="http://schemas.openxmlformats.org/officeDocument/2006/relationships/ctrlProp" Target="../ctrlProps/ctrlProp280.xml"/><Relationship Id="rId13" Type="http://schemas.openxmlformats.org/officeDocument/2006/relationships/ctrlProp" Target="../ctrlProps/ctrlProp158.xml"/><Relationship Id="rId18" Type="http://schemas.openxmlformats.org/officeDocument/2006/relationships/ctrlProp" Target="../ctrlProps/ctrlProp163.xml"/><Relationship Id="rId39" Type="http://schemas.openxmlformats.org/officeDocument/2006/relationships/ctrlProp" Target="../ctrlProps/ctrlProp184.xml"/><Relationship Id="rId109" Type="http://schemas.openxmlformats.org/officeDocument/2006/relationships/ctrlProp" Target="../ctrlProps/ctrlProp254.xml"/><Relationship Id="rId34" Type="http://schemas.openxmlformats.org/officeDocument/2006/relationships/ctrlProp" Target="../ctrlProps/ctrlProp179.xml"/><Relationship Id="rId50" Type="http://schemas.openxmlformats.org/officeDocument/2006/relationships/ctrlProp" Target="../ctrlProps/ctrlProp195.xml"/><Relationship Id="rId55" Type="http://schemas.openxmlformats.org/officeDocument/2006/relationships/ctrlProp" Target="../ctrlProps/ctrlProp200.xml"/><Relationship Id="rId76" Type="http://schemas.openxmlformats.org/officeDocument/2006/relationships/ctrlProp" Target="../ctrlProps/ctrlProp221.xml"/><Relationship Id="rId97" Type="http://schemas.openxmlformats.org/officeDocument/2006/relationships/ctrlProp" Target="../ctrlProps/ctrlProp242.xml"/><Relationship Id="rId104" Type="http://schemas.openxmlformats.org/officeDocument/2006/relationships/ctrlProp" Target="../ctrlProps/ctrlProp249.xml"/><Relationship Id="rId120" Type="http://schemas.openxmlformats.org/officeDocument/2006/relationships/ctrlProp" Target="../ctrlProps/ctrlProp265.xml"/><Relationship Id="rId125" Type="http://schemas.openxmlformats.org/officeDocument/2006/relationships/ctrlProp" Target="../ctrlProps/ctrlProp270.xml"/><Relationship Id="rId141" Type="http://schemas.openxmlformats.org/officeDocument/2006/relationships/ctrlProp" Target="../ctrlProps/ctrlProp286.xml"/><Relationship Id="rId7" Type="http://schemas.openxmlformats.org/officeDocument/2006/relationships/ctrlProp" Target="../ctrlProps/ctrlProp152.xml"/><Relationship Id="rId71" Type="http://schemas.openxmlformats.org/officeDocument/2006/relationships/ctrlProp" Target="../ctrlProps/ctrlProp216.xml"/><Relationship Id="rId92" Type="http://schemas.openxmlformats.org/officeDocument/2006/relationships/ctrlProp" Target="../ctrlProps/ctrlProp237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174.xml"/><Relationship Id="rId24" Type="http://schemas.openxmlformats.org/officeDocument/2006/relationships/ctrlProp" Target="../ctrlProps/ctrlProp169.xml"/><Relationship Id="rId40" Type="http://schemas.openxmlformats.org/officeDocument/2006/relationships/ctrlProp" Target="../ctrlProps/ctrlProp185.xml"/><Relationship Id="rId45" Type="http://schemas.openxmlformats.org/officeDocument/2006/relationships/ctrlProp" Target="../ctrlProps/ctrlProp190.xml"/><Relationship Id="rId66" Type="http://schemas.openxmlformats.org/officeDocument/2006/relationships/ctrlProp" Target="../ctrlProps/ctrlProp211.xml"/><Relationship Id="rId87" Type="http://schemas.openxmlformats.org/officeDocument/2006/relationships/ctrlProp" Target="../ctrlProps/ctrlProp232.xml"/><Relationship Id="rId110" Type="http://schemas.openxmlformats.org/officeDocument/2006/relationships/ctrlProp" Target="../ctrlProps/ctrlProp255.xml"/><Relationship Id="rId115" Type="http://schemas.openxmlformats.org/officeDocument/2006/relationships/ctrlProp" Target="../ctrlProps/ctrlProp260.xml"/><Relationship Id="rId131" Type="http://schemas.openxmlformats.org/officeDocument/2006/relationships/ctrlProp" Target="../ctrlProps/ctrlProp276.xml"/><Relationship Id="rId136" Type="http://schemas.openxmlformats.org/officeDocument/2006/relationships/ctrlProp" Target="../ctrlProps/ctrlProp281.xml"/><Relationship Id="rId61" Type="http://schemas.openxmlformats.org/officeDocument/2006/relationships/ctrlProp" Target="../ctrlProps/ctrlProp206.xml"/><Relationship Id="rId82" Type="http://schemas.openxmlformats.org/officeDocument/2006/relationships/ctrlProp" Target="../ctrlProps/ctrlProp227.xml"/><Relationship Id="rId19" Type="http://schemas.openxmlformats.org/officeDocument/2006/relationships/ctrlProp" Target="../ctrlProps/ctrlProp164.xml"/><Relationship Id="rId14" Type="http://schemas.openxmlformats.org/officeDocument/2006/relationships/ctrlProp" Target="../ctrlProps/ctrlProp159.xml"/><Relationship Id="rId30" Type="http://schemas.openxmlformats.org/officeDocument/2006/relationships/ctrlProp" Target="../ctrlProps/ctrlProp175.xml"/><Relationship Id="rId35" Type="http://schemas.openxmlformats.org/officeDocument/2006/relationships/ctrlProp" Target="../ctrlProps/ctrlProp180.xml"/><Relationship Id="rId56" Type="http://schemas.openxmlformats.org/officeDocument/2006/relationships/ctrlProp" Target="../ctrlProps/ctrlProp201.xml"/><Relationship Id="rId77" Type="http://schemas.openxmlformats.org/officeDocument/2006/relationships/ctrlProp" Target="../ctrlProps/ctrlProp222.xml"/><Relationship Id="rId100" Type="http://schemas.openxmlformats.org/officeDocument/2006/relationships/ctrlProp" Target="../ctrlProps/ctrlProp245.xml"/><Relationship Id="rId105" Type="http://schemas.openxmlformats.org/officeDocument/2006/relationships/ctrlProp" Target="../ctrlProps/ctrlProp250.xml"/><Relationship Id="rId126" Type="http://schemas.openxmlformats.org/officeDocument/2006/relationships/ctrlProp" Target="../ctrlProps/ctrlProp271.xml"/><Relationship Id="rId8" Type="http://schemas.openxmlformats.org/officeDocument/2006/relationships/ctrlProp" Target="../ctrlProps/ctrlProp153.xml"/><Relationship Id="rId51" Type="http://schemas.openxmlformats.org/officeDocument/2006/relationships/ctrlProp" Target="../ctrlProps/ctrlProp196.xml"/><Relationship Id="rId72" Type="http://schemas.openxmlformats.org/officeDocument/2006/relationships/ctrlProp" Target="../ctrlProps/ctrlProp217.xml"/><Relationship Id="rId93" Type="http://schemas.openxmlformats.org/officeDocument/2006/relationships/ctrlProp" Target="../ctrlProps/ctrlProp238.xml"/><Relationship Id="rId98" Type="http://schemas.openxmlformats.org/officeDocument/2006/relationships/ctrlProp" Target="../ctrlProps/ctrlProp243.xml"/><Relationship Id="rId121" Type="http://schemas.openxmlformats.org/officeDocument/2006/relationships/ctrlProp" Target="../ctrlProps/ctrlProp266.xml"/><Relationship Id="rId142" Type="http://schemas.openxmlformats.org/officeDocument/2006/relationships/ctrlProp" Target="../ctrlProps/ctrlProp287.xml"/><Relationship Id="rId3" Type="http://schemas.openxmlformats.org/officeDocument/2006/relationships/vmlDrawing" Target="../drawings/vmlDrawing4.vml"/><Relationship Id="rId25" Type="http://schemas.openxmlformats.org/officeDocument/2006/relationships/ctrlProp" Target="../ctrlProps/ctrlProp170.xml"/><Relationship Id="rId46" Type="http://schemas.openxmlformats.org/officeDocument/2006/relationships/ctrlProp" Target="../ctrlProps/ctrlProp191.xml"/><Relationship Id="rId67" Type="http://schemas.openxmlformats.org/officeDocument/2006/relationships/ctrlProp" Target="../ctrlProps/ctrlProp212.xml"/><Relationship Id="rId116" Type="http://schemas.openxmlformats.org/officeDocument/2006/relationships/ctrlProp" Target="../ctrlProps/ctrlProp261.xml"/><Relationship Id="rId137" Type="http://schemas.openxmlformats.org/officeDocument/2006/relationships/ctrlProp" Target="../ctrlProps/ctrlProp282.xml"/><Relationship Id="rId20" Type="http://schemas.openxmlformats.org/officeDocument/2006/relationships/ctrlProp" Target="../ctrlProps/ctrlProp165.xml"/><Relationship Id="rId41" Type="http://schemas.openxmlformats.org/officeDocument/2006/relationships/ctrlProp" Target="../ctrlProps/ctrlProp186.xml"/><Relationship Id="rId62" Type="http://schemas.openxmlformats.org/officeDocument/2006/relationships/ctrlProp" Target="../ctrlProps/ctrlProp207.xml"/><Relationship Id="rId83" Type="http://schemas.openxmlformats.org/officeDocument/2006/relationships/ctrlProp" Target="../ctrlProps/ctrlProp228.xml"/><Relationship Id="rId88" Type="http://schemas.openxmlformats.org/officeDocument/2006/relationships/ctrlProp" Target="../ctrlProps/ctrlProp233.xml"/><Relationship Id="rId111" Type="http://schemas.openxmlformats.org/officeDocument/2006/relationships/ctrlProp" Target="../ctrlProps/ctrlProp256.xml"/><Relationship Id="rId132" Type="http://schemas.openxmlformats.org/officeDocument/2006/relationships/ctrlProp" Target="../ctrlProps/ctrlProp277.xml"/><Relationship Id="rId15" Type="http://schemas.openxmlformats.org/officeDocument/2006/relationships/ctrlProp" Target="../ctrlProps/ctrlProp160.xml"/><Relationship Id="rId36" Type="http://schemas.openxmlformats.org/officeDocument/2006/relationships/ctrlProp" Target="../ctrlProps/ctrlProp181.xml"/><Relationship Id="rId57" Type="http://schemas.openxmlformats.org/officeDocument/2006/relationships/ctrlProp" Target="../ctrlProps/ctrlProp202.xml"/><Relationship Id="rId106" Type="http://schemas.openxmlformats.org/officeDocument/2006/relationships/ctrlProp" Target="../ctrlProps/ctrlProp251.xml"/><Relationship Id="rId127" Type="http://schemas.openxmlformats.org/officeDocument/2006/relationships/ctrlProp" Target="../ctrlProps/ctrlProp272.xml"/><Relationship Id="rId10" Type="http://schemas.openxmlformats.org/officeDocument/2006/relationships/ctrlProp" Target="../ctrlProps/ctrlProp155.xml"/><Relationship Id="rId31" Type="http://schemas.openxmlformats.org/officeDocument/2006/relationships/ctrlProp" Target="../ctrlProps/ctrlProp176.xml"/><Relationship Id="rId52" Type="http://schemas.openxmlformats.org/officeDocument/2006/relationships/ctrlProp" Target="../ctrlProps/ctrlProp197.xml"/><Relationship Id="rId73" Type="http://schemas.openxmlformats.org/officeDocument/2006/relationships/ctrlProp" Target="../ctrlProps/ctrlProp218.xml"/><Relationship Id="rId78" Type="http://schemas.openxmlformats.org/officeDocument/2006/relationships/ctrlProp" Target="../ctrlProps/ctrlProp223.xml"/><Relationship Id="rId94" Type="http://schemas.openxmlformats.org/officeDocument/2006/relationships/ctrlProp" Target="../ctrlProps/ctrlProp239.xml"/><Relationship Id="rId99" Type="http://schemas.openxmlformats.org/officeDocument/2006/relationships/ctrlProp" Target="../ctrlProps/ctrlProp244.xml"/><Relationship Id="rId101" Type="http://schemas.openxmlformats.org/officeDocument/2006/relationships/ctrlProp" Target="../ctrlProps/ctrlProp246.xml"/><Relationship Id="rId122" Type="http://schemas.openxmlformats.org/officeDocument/2006/relationships/ctrlProp" Target="../ctrlProps/ctrlProp267.xml"/><Relationship Id="rId143" Type="http://schemas.openxmlformats.org/officeDocument/2006/relationships/ctrlProp" Target="../ctrlProps/ctrlProp288.xml"/><Relationship Id="rId4" Type="http://schemas.openxmlformats.org/officeDocument/2006/relationships/ctrlProp" Target="../ctrlProps/ctrlProp149.xml"/><Relationship Id="rId9" Type="http://schemas.openxmlformats.org/officeDocument/2006/relationships/ctrlProp" Target="../ctrlProps/ctrlProp154.xml"/><Relationship Id="rId26" Type="http://schemas.openxmlformats.org/officeDocument/2006/relationships/ctrlProp" Target="../ctrlProps/ctrlProp171.xml"/><Relationship Id="rId47" Type="http://schemas.openxmlformats.org/officeDocument/2006/relationships/ctrlProp" Target="../ctrlProps/ctrlProp192.xml"/><Relationship Id="rId68" Type="http://schemas.openxmlformats.org/officeDocument/2006/relationships/ctrlProp" Target="../ctrlProps/ctrlProp213.xml"/><Relationship Id="rId89" Type="http://schemas.openxmlformats.org/officeDocument/2006/relationships/ctrlProp" Target="../ctrlProps/ctrlProp234.xml"/><Relationship Id="rId112" Type="http://schemas.openxmlformats.org/officeDocument/2006/relationships/ctrlProp" Target="../ctrlProps/ctrlProp257.xml"/><Relationship Id="rId133" Type="http://schemas.openxmlformats.org/officeDocument/2006/relationships/ctrlProp" Target="../ctrlProps/ctrlProp278.xml"/><Relationship Id="rId16" Type="http://schemas.openxmlformats.org/officeDocument/2006/relationships/ctrlProp" Target="../ctrlProps/ctrlProp161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02.xml"/><Relationship Id="rId21" Type="http://schemas.openxmlformats.org/officeDocument/2006/relationships/ctrlProp" Target="../ctrlProps/ctrlProp306.xml"/><Relationship Id="rId42" Type="http://schemas.openxmlformats.org/officeDocument/2006/relationships/ctrlProp" Target="../ctrlProps/ctrlProp327.xml"/><Relationship Id="rId63" Type="http://schemas.openxmlformats.org/officeDocument/2006/relationships/ctrlProp" Target="../ctrlProps/ctrlProp348.xml"/><Relationship Id="rId84" Type="http://schemas.openxmlformats.org/officeDocument/2006/relationships/ctrlProp" Target="../ctrlProps/ctrlProp369.xml"/><Relationship Id="rId138" Type="http://schemas.openxmlformats.org/officeDocument/2006/relationships/ctrlProp" Target="../ctrlProps/ctrlProp423.xml"/><Relationship Id="rId107" Type="http://schemas.openxmlformats.org/officeDocument/2006/relationships/ctrlProp" Target="../ctrlProps/ctrlProp392.xml"/><Relationship Id="rId11" Type="http://schemas.openxmlformats.org/officeDocument/2006/relationships/ctrlProp" Target="../ctrlProps/ctrlProp296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3" Type="http://schemas.openxmlformats.org/officeDocument/2006/relationships/ctrlProp" Target="../ctrlProps/ctrlProp338.xml"/><Relationship Id="rId58" Type="http://schemas.openxmlformats.org/officeDocument/2006/relationships/ctrlProp" Target="../ctrlProps/ctrlProp343.xml"/><Relationship Id="rId74" Type="http://schemas.openxmlformats.org/officeDocument/2006/relationships/ctrlProp" Target="../ctrlProps/ctrlProp359.xml"/><Relationship Id="rId79" Type="http://schemas.openxmlformats.org/officeDocument/2006/relationships/ctrlProp" Target="../ctrlProps/ctrlProp364.xml"/><Relationship Id="rId102" Type="http://schemas.openxmlformats.org/officeDocument/2006/relationships/ctrlProp" Target="../ctrlProps/ctrlProp387.xml"/><Relationship Id="rId123" Type="http://schemas.openxmlformats.org/officeDocument/2006/relationships/ctrlProp" Target="../ctrlProps/ctrlProp408.xml"/><Relationship Id="rId128" Type="http://schemas.openxmlformats.org/officeDocument/2006/relationships/ctrlProp" Target="../ctrlProps/ctrlProp413.xml"/><Relationship Id="rId5" Type="http://schemas.openxmlformats.org/officeDocument/2006/relationships/ctrlProp" Target="../ctrlProps/ctrlProp290.xml"/><Relationship Id="rId90" Type="http://schemas.openxmlformats.org/officeDocument/2006/relationships/ctrlProp" Target="../ctrlProps/ctrlProp375.xml"/><Relationship Id="rId95" Type="http://schemas.openxmlformats.org/officeDocument/2006/relationships/ctrlProp" Target="../ctrlProps/ctrlProp380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43" Type="http://schemas.openxmlformats.org/officeDocument/2006/relationships/ctrlProp" Target="../ctrlProps/ctrlProp328.xml"/><Relationship Id="rId48" Type="http://schemas.openxmlformats.org/officeDocument/2006/relationships/ctrlProp" Target="../ctrlProps/ctrlProp333.xml"/><Relationship Id="rId64" Type="http://schemas.openxmlformats.org/officeDocument/2006/relationships/ctrlProp" Target="../ctrlProps/ctrlProp349.xml"/><Relationship Id="rId69" Type="http://schemas.openxmlformats.org/officeDocument/2006/relationships/ctrlProp" Target="../ctrlProps/ctrlProp354.xml"/><Relationship Id="rId113" Type="http://schemas.openxmlformats.org/officeDocument/2006/relationships/ctrlProp" Target="../ctrlProps/ctrlProp398.xml"/><Relationship Id="rId118" Type="http://schemas.openxmlformats.org/officeDocument/2006/relationships/ctrlProp" Target="../ctrlProps/ctrlProp403.xml"/><Relationship Id="rId134" Type="http://schemas.openxmlformats.org/officeDocument/2006/relationships/ctrlProp" Target="../ctrlProps/ctrlProp419.xml"/><Relationship Id="rId139" Type="http://schemas.openxmlformats.org/officeDocument/2006/relationships/ctrlProp" Target="../ctrlProps/ctrlProp424.xml"/><Relationship Id="rId80" Type="http://schemas.openxmlformats.org/officeDocument/2006/relationships/ctrlProp" Target="../ctrlProps/ctrlProp365.xml"/><Relationship Id="rId85" Type="http://schemas.openxmlformats.org/officeDocument/2006/relationships/ctrlProp" Target="../ctrlProps/ctrlProp370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59" Type="http://schemas.openxmlformats.org/officeDocument/2006/relationships/ctrlProp" Target="../ctrlProps/ctrlProp344.xml"/><Relationship Id="rId103" Type="http://schemas.openxmlformats.org/officeDocument/2006/relationships/ctrlProp" Target="../ctrlProps/ctrlProp388.xml"/><Relationship Id="rId108" Type="http://schemas.openxmlformats.org/officeDocument/2006/relationships/ctrlProp" Target="../ctrlProps/ctrlProp393.xml"/><Relationship Id="rId124" Type="http://schemas.openxmlformats.org/officeDocument/2006/relationships/ctrlProp" Target="../ctrlProps/ctrlProp409.xml"/><Relationship Id="rId129" Type="http://schemas.openxmlformats.org/officeDocument/2006/relationships/ctrlProp" Target="../ctrlProps/ctrlProp414.xml"/><Relationship Id="rId54" Type="http://schemas.openxmlformats.org/officeDocument/2006/relationships/ctrlProp" Target="../ctrlProps/ctrlProp339.xml"/><Relationship Id="rId70" Type="http://schemas.openxmlformats.org/officeDocument/2006/relationships/ctrlProp" Target="../ctrlProps/ctrlProp355.xml"/><Relationship Id="rId75" Type="http://schemas.openxmlformats.org/officeDocument/2006/relationships/ctrlProp" Target="../ctrlProps/ctrlProp360.xml"/><Relationship Id="rId91" Type="http://schemas.openxmlformats.org/officeDocument/2006/relationships/ctrlProp" Target="../ctrlProps/ctrlProp376.xml"/><Relationship Id="rId96" Type="http://schemas.openxmlformats.org/officeDocument/2006/relationships/ctrlProp" Target="../ctrlProps/ctrlProp381.xml"/><Relationship Id="rId140" Type="http://schemas.openxmlformats.org/officeDocument/2006/relationships/ctrlProp" Target="../ctrlProps/ctrlProp42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1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49" Type="http://schemas.openxmlformats.org/officeDocument/2006/relationships/ctrlProp" Target="../ctrlProps/ctrlProp334.xml"/><Relationship Id="rId114" Type="http://schemas.openxmlformats.org/officeDocument/2006/relationships/ctrlProp" Target="../ctrlProps/ctrlProp399.xml"/><Relationship Id="rId119" Type="http://schemas.openxmlformats.org/officeDocument/2006/relationships/ctrlProp" Target="../ctrlProps/ctrlProp404.xml"/><Relationship Id="rId44" Type="http://schemas.openxmlformats.org/officeDocument/2006/relationships/ctrlProp" Target="../ctrlProps/ctrlProp329.xml"/><Relationship Id="rId60" Type="http://schemas.openxmlformats.org/officeDocument/2006/relationships/ctrlProp" Target="../ctrlProps/ctrlProp345.xml"/><Relationship Id="rId65" Type="http://schemas.openxmlformats.org/officeDocument/2006/relationships/ctrlProp" Target="../ctrlProps/ctrlProp350.xml"/><Relationship Id="rId81" Type="http://schemas.openxmlformats.org/officeDocument/2006/relationships/ctrlProp" Target="../ctrlProps/ctrlProp366.xml"/><Relationship Id="rId86" Type="http://schemas.openxmlformats.org/officeDocument/2006/relationships/ctrlProp" Target="../ctrlProps/ctrlProp371.xml"/><Relationship Id="rId130" Type="http://schemas.openxmlformats.org/officeDocument/2006/relationships/ctrlProp" Target="../ctrlProps/ctrlProp415.xml"/><Relationship Id="rId135" Type="http://schemas.openxmlformats.org/officeDocument/2006/relationships/ctrlProp" Target="../ctrlProps/ctrlProp420.xml"/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39" Type="http://schemas.openxmlformats.org/officeDocument/2006/relationships/ctrlProp" Target="../ctrlProps/ctrlProp324.xml"/><Relationship Id="rId109" Type="http://schemas.openxmlformats.org/officeDocument/2006/relationships/ctrlProp" Target="../ctrlProps/ctrlProp394.xml"/><Relationship Id="rId34" Type="http://schemas.openxmlformats.org/officeDocument/2006/relationships/ctrlProp" Target="../ctrlProps/ctrlProp319.xml"/><Relationship Id="rId50" Type="http://schemas.openxmlformats.org/officeDocument/2006/relationships/ctrlProp" Target="../ctrlProps/ctrlProp335.xml"/><Relationship Id="rId55" Type="http://schemas.openxmlformats.org/officeDocument/2006/relationships/ctrlProp" Target="../ctrlProps/ctrlProp340.xml"/><Relationship Id="rId76" Type="http://schemas.openxmlformats.org/officeDocument/2006/relationships/ctrlProp" Target="../ctrlProps/ctrlProp361.xml"/><Relationship Id="rId97" Type="http://schemas.openxmlformats.org/officeDocument/2006/relationships/ctrlProp" Target="../ctrlProps/ctrlProp382.xml"/><Relationship Id="rId104" Type="http://schemas.openxmlformats.org/officeDocument/2006/relationships/ctrlProp" Target="../ctrlProps/ctrlProp389.xml"/><Relationship Id="rId120" Type="http://schemas.openxmlformats.org/officeDocument/2006/relationships/ctrlProp" Target="../ctrlProps/ctrlProp405.xml"/><Relationship Id="rId125" Type="http://schemas.openxmlformats.org/officeDocument/2006/relationships/ctrlProp" Target="../ctrlProps/ctrlProp410.xml"/><Relationship Id="rId141" Type="http://schemas.openxmlformats.org/officeDocument/2006/relationships/ctrlProp" Target="../ctrlProps/ctrlProp426.xml"/><Relationship Id="rId7" Type="http://schemas.openxmlformats.org/officeDocument/2006/relationships/ctrlProp" Target="../ctrlProps/ctrlProp292.xml"/><Relationship Id="rId71" Type="http://schemas.openxmlformats.org/officeDocument/2006/relationships/ctrlProp" Target="../ctrlProps/ctrlProp356.xml"/><Relationship Id="rId92" Type="http://schemas.openxmlformats.org/officeDocument/2006/relationships/ctrlProp" Target="../ctrlProps/ctrlProp377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4.xml"/><Relationship Id="rId24" Type="http://schemas.openxmlformats.org/officeDocument/2006/relationships/ctrlProp" Target="../ctrlProps/ctrlProp309.xml"/><Relationship Id="rId40" Type="http://schemas.openxmlformats.org/officeDocument/2006/relationships/ctrlProp" Target="../ctrlProps/ctrlProp325.xml"/><Relationship Id="rId45" Type="http://schemas.openxmlformats.org/officeDocument/2006/relationships/ctrlProp" Target="../ctrlProps/ctrlProp330.xml"/><Relationship Id="rId66" Type="http://schemas.openxmlformats.org/officeDocument/2006/relationships/ctrlProp" Target="../ctrlProps/ctrlProp351.xml"/><Relationship Id="rId87" Type="http://schemas.openxmlformats.org/officeDocument/2006/relationships/ctrlProp" Target="../ctrlProps/ctrlProp372.xml"/><Relationship Id="rId110" Type="http://schemas.openxmlformats.org/officeDocument/2006/relationships/ctrlProp" Target="../ctrlProps/ctrlProp395.xml"/><Relationship Id="rId115" Type="http://schemas.openxmlformats.org/officeDocument/2006/relationships/ctrlProp" Target="../ctrlProps/ctrlProp400.xml"/><Relationship Id="rId131" Type="http://schemas.openxmlformats.org/officeDocument/2006/relationships/ctrlProp" Target="../ctrlProps/ctrlProp416.xml"/><Relationship Id="rId136" Type="http://schemas.openxmlformats.org/officeDocument/2006/relationships/ctrlProp" Target="../ctrlProps/ctrlProp421.xml"/><Relationship Id="rId61" Type="http://schemas.openxmlformats.org/officeDocument/2006/relationships/ctrlProp" Target="../ctrlProps/ctrlProp346.xml"/><Relationship Id="rId82" Type="http://schemas.openxmlformats.org/officeDocument/2006/relationships/ctrlProp" Target="../ctrlProps/ctrlProp367.xml"/><Relationship Id="rId19" Type="http://schemas.openxmlformats.org/officeDocument/2006/relationships/ctrlProp" Target="../ctrlProps/ctrlProp304.xml"/><Relationship Id="rId14" Type="http://schemas.openxmlformats.org/officeDocument/2006/relationships/ctrlProp" Target="../ctrlProps/ctrlProp299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56" Type="http://schemas.openxmlformats.org/officeDocument/2006/relationships/ctrlProp" Target="../ctrlProps/ctrlProp341.xml"/><Relationship Id="rId77" Type="http://schemas.openxmlformats.org/officeDocument/2006/relationships/ctrlProp" Target="../ctrlProps/ctrlProp362.xml"/><Relationship Id="rId100" Type="http://schemas.openxmlformats.org/officeDocument/2006/relationships/ctrlProp" Target="../ctrlProps/ctrlProp385.xml"/><Relationship Id="rId105" Type="http://schemas.openxmlformats.org/officeDocument/2006/relationships/ctrlProp" Target="../ctrlProps/ctrlProp390.xml"/><Relationship Id="rId126" Type="http://schemas.openxmlformats.org/officeDocument/2006/relationships/ctrlProp" Target="../ctrlProps/ctrlProp411.xml"/><Relationship Id="rId8" Type="http://schemas.openxmlformats.org/officeDocument/2006/relationships/ctrlProp" Target="../ctrlProps/ctrlProp293.xml"/><Relationship Id="rId51" Type="http://schemas.openxmlformats.org/officeDocument/2006/relationships/ctrlProp" Target="../ctrlProps/ctrlProp336.xml"/><Relationship Id="rId72" Type="http://schemas.openxmlformats.org/officeDocument/2006/relationships/ctrlProp" Target="../ctrlProps/ctrlProp357.xml"/><Relationship Id="rId93" Type="http://schemas.openxmlformats.org/officeDocument/2006/relationships/ctrlProp" Target="../ctrlProps/ctrlProp378.xml"/><Relationship Id="rId98" Type="http://schemas.openxmlformats.org/officeDocument/2006/relationships/ctrlProp" Target="../ctrlProps/ctrlProp383.xml"/><Relationship Id="rId121" Type="http://schemas.openxmlformats.org/officeDocument/2006/relationships/ctrlProp" Target="../ctrlProps/ctrlProp406.xml"/><Relationship Id="rId142" Type="http://schemas.openxmlformats.org/officeDocument/2006/relationships/ctrlProp" Target="../ctrlProps/ctrlProp427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10.xml"/><Relationship Id="rId46" Type="http://schemas.openxmlformats.org/officeDocument/2006/relationships/ctrlProp" Target="../ctrlProps/ctrlProp331.xml"/><Relationship Id="rId67" Type="http://schemas.openxmlformats.org/officeDocument/2006/relationships/ctrlProp" Target="../ctrlProps/ctrlProp352.xml"/><Relationship Id="rId116" Type="http://schemas.openxmlformats.org/officeDocument/2006/relationships/ctrlProp" Target="../ctrlProps/ctrlProp401.xml"/><Relationship Id="rId137" Type="http://schemas.openxmlformats.org/officeDocument/2006/relationships/ctrlProp" Target="../ctrlProps/ctrlProp422.xml"/><Relationship Id="rId20" Type="http://schemas.openxmlformats.org/officeDocument/2006/relationships/ctrlProp" Target="../ctrlProps/ctrlProp305.xml"/><Relationship Id="rId41" Type="http://schemas.openxmlformats.org/officeDocument/2006/relationships/ctrlProp" Target="../ctrlProps/ctrlProp326.xml"/><Relationship Id="rId62" Type="http://schemas.openxmlformats.org/officeDocument/2006/relationships/ctrlProp" Target="../ctrlProps/ctrlProp347.xml"/><Relationship Id="rId83" Type="http://schemas.openxmlformats.org/officeDocument/2006/relationships/ctrlProp" Target="../ctrlProps/ctrlProp368.xml"/><Relationship Id="rId88" Type="http://schemas.openxmlformats.org/officeDocument/2006/relationships/ctrlProp" Target="../ctrlProps/ctrlProp373.xml"/><Relationship Id="rId111" Type="http://schemas.openxmlformats.org/officeDocument/2006/relationships/ctrlProp" Target="../ctrlProps/ctrlProp396.xml"/><Relationship Id="rId132" Type="http://schemas.openxmlformats.org/officeDocument/2006/relationships/ctrlProp" Target="../ctrlProps/ctrlProp417.xml"/><Relationship Id="rId15" Type="http://schemas.openxmlformats.org/officeDocument/2006/relationships/ctrlProp" Target="../ctrlProps/ctrlProp300.xml"/><Relationship Id="rId36" Type="http://schemas.openxmlformats.org/officeDocument/2006/relationships/ctrlProp" Target="../ctrlProps/ctrlProp321.xml"/><Relationship Id="rId57" Type="http://schemas.openxmlformats.org/officeDocument/2006/relationships/ctrlProp" Target="../ctrlProps/ctrlProp342.xml"/><Relationship Id="rId106" Type="http://schemas.openxmlformats.org/officeDocument/2006/relationships/ctrlProp" Target="../ctrlProps/ctrlProp391.xml"/><Relationship Id="rId127" Type="http://schemas.openxmlformats.org/officeDocument/2006/relationships/ctrlProp" Target="../ctrlProps/ctrlProp412.xml"/><Relationship Id="rId10" Type="http://schemas.openxmlformats.org/officeDocument/2006/relationships/ctrlProp" Target="../ctrlProps/ctrlProp295.xml"/><Relationship Id="rId31" Type="http://schemas.openxmlformats.org/officeDocument/2006/relationships/ctrlProp" Target="../ctrlProps/ctrlProp316.xml"/><Relationship Id="rId52" Type="http://schemas.openxmlformats.org/officeDocument/2006/relationships/ctrlProp" Target="../ctrlProps/ctrlProp337.xml"/><Relationship Id="rId73" Type="http://schemas.openxmlformats.org/officeDocument/2006/relationships/ctrlProp" Target="../ctrlProps/ctrlProp358.xml"/><Relationship Id="rId78" Type="http://schemas.openxmlformats.org/officeDocument/2006/relationships/ctrlProp" Target="../ctrlProps/ctrlProp363.xml"/><Relationship Id="rId94" Type="http://schemas.openxmlformats.org/officeDocument/2006/relationships/ctrlProp" Target="../ctrlProps/ctrlProp379.xml"/><Relationship Id="rId99" Type="http://schemas.openxmlformats.org/officeDocument/2006/relationships/ctrlProp" Target="../ctrlProps/ctrlProp384.xml"/><Relationship Id="rId101" Type="http://schemas.openxmlformats.org/officeDocument/2006/relationships/ctrlProp" Target="../ctrlProps/ctrlProp386.xml"/><Relationship Id="rId122" Type="http://schemas.openxmlformats.org/officeDocument/2006/relationships/ctrlProp" Target="../ctrlProps/ctrlProp407.xml"/><Relationship Id="rId143" Type="http://schemas.openxmlformats.org/officeDocument/2006/relationships/ctrlProp" Target="../ctrlProps/ctrlProp428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26" Type="http://schemas.openxmlformats.org/officeDocument/2006/relationships/ctrlProp" Target="../ctrlProps/ctrlProp311.xml"/><Relationship Id="rId47" Type="http://schemas.openxmlformats.org/officeDocument/2006/relationships/ctrlProp" Target="../ctrlProps/ctrlProp332.xml"/><Relationship Id="rId68" Type="http://schemas.openxmlformats.org/officeDocument/2006/relationships/ctrlProp" Target="../ctrlProps/ctrlProp353.xml"/><Relationship Id="rId89" Type="http://schemas.openxmlformats.org/officeDocument/2006/relationships/ctrlProp" Target="../ctrlProps/ctrlProp374.xml"/><Relationship Id="rId112" Type="http://schemas.openxmlformats.org/officeDocument/2006/relationships/ctrlProp" Target="../ctrlProps/ctrlProp397.xml"/><Relationship Id="rId133" Type="http://schemas.openxmlformats.org/officeDocument/2006/relationships/ctrlProp" Target="../ctrlProps/ctrlProp418.xml"/><Relationship Id="rId16" Type="http://schemas.openxmlformats.org/officeDocument/2006/relationships/ctrlProp" Target="../ctrlProps/ctrlProp30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71" zoomScaleNormal="100" workbookViewId="0">
      <selection activeCell="O189" sqref="O189:O19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49" t="s">
        <v>0</v>
      </c>
      <c r="B1" s="150"/>
      <c r="C1" s="150"/>
      <c r="D1" s="150"/>
      <c r="E1" s="150"/>
      <c r="F1" s="151"/>
      <c r="G1" s="180">
        <v>44287</v>
      </c>
      <c r="H1" s="181"/>
      <c r="I1" s="182"/>
      <c r="J1" s="149" t="s">
        <v>1</v>
      </c>
      <c r="K1" s="150"/>
      <c r="L1" s="150"/>
      <c r="M1" s="150"/>
      <c r="N1" s="150"/>
      <c r="O1" s="151"/>
      <c r="Q1" s="149" t="s">
        <v>2</v>
      </c>
      <c r="R1" s="151"/>
    </row>
    <row r="2" spans="1:19" ht="17.25" customHeight="1">
      <c r="A2" s="1" t="s">
        <v>3</v>
      </c>
      <c r="B2" s="177" t="s">
        <v>4</v>
      </c>
      <c r="C2" s="178"/>
      <c r="D2" s="178"/>
      <c r="E2" s="178"/>
      <c r="F2" s="179"/>
      <c r="G2" s="174" t="s">
        <v>46</v>
      </c>
      <c r="H2" s="175"/>
      <c r="I2" s="176"/>
      <c r="J2" s="1" t="s">
        <v>3</v>
      </c>
      <c r="K2" s="177" t="s">
        <v>5</v>
      </c>
      <c r="L2" s="178"/>
      <c r="M2" s="178"/>
      <c r="N2" s="178"/>
      <c r="O2" s="179"/>
      <c r="Q2" s="2" t="s">
        <v>6</v>
      </c>
      <c r="R2" s="3">
        <v>0.375</v>
      </c>
    </row>
    <row r="3" spans="1:19" ht="17.25" customHeight="1" thickBot="1">
      <c r="A3" s="4" t="s">
        <v>7</v>
      </c>
      <c r="B3" s="171" t="s">
        <v>8</v>
      </c>
      <c r="C3" s="172"/>
      <c r="D3" s="172"/>
      <c r="E3" s="172"/>
      <c r="F3" s="173"/>
      <c r="G3" s="1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69"/>
      <c r="I3" s="170"/>
      <c r="J3" s="4" t="s">
        <v>7</v>
      </c>
      <c r="K3" s="171" t="s">
        <v>9</v>
      </c>
      <c r="L3" s="172"/>
      <c r="M3" s="172"/>
      <c r="N3" s="172"/>
      <c r="O3" s="17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1" t="s">
        <v>12</v>
      </c>
      <c r="C4" s="172"/>
      <c r="D4" s="172"/>
      <c r="E4" s="172"/>
      <c r="F4" s="173"/>
      <c r="G4" s="174" t="s">
        <v>44</v>
      </c>
      <c r="H4" s="175"/>
      <c r="I4" s="176"/>
      <c r="J4" s="4" t="s">
        <v>11</v>
      </c>
      <c r="K4" s="171" t="s">
        <v>13</v>
      </c>
      <c r="L4" s="172"/>
      <c r="M4" s="172"/>
      <c r="N4" s="172"/>
      <c r="O4" s="173"/>
      <c r="Q4" s="71" t="s">
        <v>14</v>
      </c>
      <c r="R4" s="5">
        <v>0.95833333333333337</v>
      </c>
    </row>
    <row r="5" spans="1:19" ht="17.25" customHeight="1" thickBot="1">
      <c r="A5" s="4" t="s">
        <v>15</v>
      </c>
      <c r="B5" s="171" t="s">
        <v>16</v>
      </c>
      <c r="C5" s="172"/>
      <c r="D5" s="172"/>
      <c r="E5" s="172"/>
      <c r="F5" s="173"/>
      <c r="G5" s="1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69"/>
      <c r="I5" s="170"/>
      <c r="J5" s="4" t="s">
        <v>15</v>
      </c>
      <c r="K5" s="171" t="s">
        <v>17</v>
      </c>
      <c r="L5" s="172"/>
      <c r="M5" s="172"/>
      <c r="N5" s="172"/>
      <c r="O5" s="173"/>
    </row>
    <row r="6" spans="1:19">
      <c r="A6" s="4" t="s">
        <v>18</v>
      </c>
      <c r="B6" s="171" t="s">
        <v>19</v>
      </c>
      <c r="C6" s="172"/>
      <c r="D6" s="172"/>
      <c r="E6" s="172"/>
      <c r="F6" s="173"/>
      <c r="G6" s="174" t="s">
        <v>45</v>
      </c>
      <c r="H6" s="175"/>
      <c r="I6" s="176"/>
      <c r="J6" s="4" t="s">
        <v>18</v>
      </c>
      <c r="K6" s="171" t="s">
        <v>20</v>
      </c>
      <c r="L6" s="172"/>
      <c r="M6" s="172"/>
      <c r="N6" s="172"/>
      <c r="O6" s="173"/>
    </row>
    <row r="7" spans="1:19" ht="17.25" thickBot="1">
      <c r="A7" s="4" t="s">
        <v>21</v>
      </c>
      <c r="B7" s="171" t="s">
        <v>22</v>
      </c>
      <c r="C7" s="172"/>
      <c r="D7" s="172"/>
      <c r="E7" s="172"/>
      <c r="F7" s="173"/>
      <c r="G7" s="1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69"/>
      <c r="I7" s="170"/>
      <c r="J7" s="4" t="s">
        <v>21</v>
      </c>
      <c r="K7" s="171" t="s">
        <v>23</v>
      </c>
      <c r="L7" s="172"/>
      <c r="M7" s="172"/>
      <c r="N7" s="172"/>
      <c r="O7" s="173"/>
    </row>
    <row r="8" spans="1:19" ht="17.25" thickBot="1">
      <c r="A8" s="4" t="s">
        <v>24</v>
      </c>
      <c r="B8" s="171" t="s">
        <v>25</v>
      </c>
      <c r="C8" s="172"/>
      <c r="D8" s="172"/>
      <c r="E8" s="172"/>
      <c r="F8" s="173"/>
      <c r="G8" s="174" t="s">
        <v>285</v>
      </c>
      <c r="H8" s="175"/>
      <c r="I8" s="176"/>
      <c r="J8" s="4" t="s">
        <v>24</v>
      </c>
      <c r="K8" s="171" t="s">
        <v>26</v>
      </c>
      <c r="L8" s="172"/>
      <c r="M8" s="172"/>
      <c r="N8" s="172"/>
      <c r="O8" s="173"/>
      <c r="Q8" s="149" t="s">
        <v>27</v>
      </c>
      <c r="R8" s="151"/>
    </row>
    <row r="9" spans="1:19" ht="17.25" thickBot="1">
      <c r="A9" s="4" t="s">
        <v>28</v>
      </c>
      <c r="B9" s="171"/>
      <c r="C9" s="172"/>
      <c r="D9" s="172"/>
      <c r="E9" s="172"/>
      <c r="F9" s="173"/>
      <c r="G9" s="1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69"/>
      <c r="I9" s="170"/>
      <c r="J9" s="4" t="s">
        <v>28</v>
      </c>
      <c r="K9" s="171" t="s">
        <v>293</v>
      </c>
      <c r="L9" s="172"/>
      <c r="M9" s="172"/>
      <c r="N9" s="172"/>
      <c r="O9" s="173"/>
      <c r="Q9" s="2" t="s">
        <v>29</v>
      </c>
      <c r="R9" s="6">
        <v>10</v>
      </c>
    </row>
    <row r="10" spans="1:19">
      <c r="A10" s="4" t="s">
        <v>30</v>
      </c>
      <c r="B10" s="171"/>
      <c r="C10" s="172"/>
      <c r="D10" s="172"/>
      <c r="E10" s="172"/>
      <c r="F10" s="173"/>
      <c r="G10" s="174" t="s">
        <v>47</v>
      </c>
      <c r="H10" s="175"/>
      <c r="I10" s="176"/>
      <c r="J10" s="4" t="s">
        <v>30</v>
      </c>
      <c r="K10" s="171"/>
      <c r="L10" s="172"/>
      <c r="M10" s="172"/>
      <c r="N10" s="172"/>
      <c r="O10" s="173"/>
      <c r="Q10" s="2" t="s">
        <v>31</v>
      </c>
      <c r="R10" s="6">
        <v>100</v>
      </c>
    </row>
    <row r="11" spans="1:19" ht="17.25" thickBot="1">
      <c r="A11" s="7" t="s">
        <v>32</v>
      </c>
      <c r="B11" s="165"/>
      <c r="C11" s="166"/>
      <c r="D11" s="166"/>
      <c r="E11" s="166"/>
      <c r="F11" s="167"/>
      <c r="G11" s="1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69"/>
      <c r="I11" s="170"/>
      <c r="J11" s="7" t="s">
        <v>32</v>
      </c>
      <c r="K11" s="165"/>
      <c r="L11" s="166"/>
      <c r="M11" s="166"/>
      <c r="N11" s="166"/>
      <c r="O11" s="167"/>
      <c r="Q11" s="71" t="s">
        <v>33</v>
      </c>
      <c r="R11" s="8">
        <v>1000</v>
      </c>
    </row>
    <row r="12" spans="1:19" ht="17.25" thickBot="1"/>
    <row r="13" spans="1:19" ht="17.25" customHeight="1" thickBot="1">
      <c r="A13" s="149" t="s">
        <v>34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1"/>
      <c r="Q13" s="148"/>
      <c r="R13" s="148"/>
      <c r="S13" s="148"/>
    </row>
    <row r="14" spans="1:19" ht="17.25" customHeight="1" thickBot="1">
      <c r="A14" s="66" t="s">
        <v>35</v>
      </c>
      <c r="B14" s="149" t="s">
        <v>36</v>
      </c>
      <c r="C14" s="151"/>
      <c r="D14" s="149" t="s">
        <v>37</v>
      </c>
      <c r="E14" s="150"/>
      <c r="F14" s="151"/>
      <c r="G14" s="152">
        <f>_xlfn.IFNA(VLOOKUP(B14, 현재가테이블!$B$2:$D$200, 2, FALSE), "-")</f>
        <v>68203000</v>
      </c>
      <c r="H14" s="153"/>
      <c r="I14" s="154"/>
      <c r="J14" s="149" t="s">
        <v>38</v>
      </c>
      <c r="K14" s="150"/>
      <c r="L14" s="151"/>
      <c r="M14" s="155">
        <f>_xlfn.IFNA(VLOOKUP(B14, 현재가테이블!$B$2:$D$200, 3, FALSE), "-")</f>
        <v>-1.22521687E-2</v>
      </c>
      <c r="N14" s="156"/>
      <c r="O14" s="157"/>
      <c r="Q14" s="148"/>
      <c r="R14" s="148"/>
      <c r="S14" s="148"/>
    </row>
    <row r="15" spans="1:19" ht="17.25" customHeight="1" thickBot="1">
      <c r="A15" s="158" t="s">
        <v>39</v>
      </c>
      <c r="B15" s="159" t="str">
        <f>TEXT($G$1, "[$-ko-KR]yyyy-mm-dd(ddd) ") &amp; "오전 00:00"</f>
        <v>2021-04-01(목) 오전 00:00</v>
      </c>
      <c r="C15" s="160"/>
      <c r="D15" s="161" t="str">
        <f>TEXT($G$1, "[$-ko-KR]yyyy-mm-dd(ddd) ") &amp; "오후 14:00"</f>
        <v>2021-04-01(목) 오후 14:00</v>
      </c>
      <c r="E15" s="162"/>
      <c r="F15" s="163"/>
      <c r="G15" s="161" t="str">
        <f>TEXT($G$1, "[$-ko-KR]yyyy-mm-dd(ddd) ") &amp; "오후 19:00"</f>
        <v>2021-04-01(목) 오후 19:00</v>
      </c>
      <c r="H15" s="162"/>
      <c r="I15" s="163"/>
      <c r="J15" s="161" t="str">
        <f>TEXT($G$1, "[$-ko-KR]yyyy-mm-dd(ddd) ") &amp; "오후 21:00"</f>
        <v>2021-04-01(목) 오후 21:00</v>
      </c>
      <c r="K15" s="162"/>
      <c r="L15" s="163"/>
      <c r="M15" s="161" t="str">
        <f>TEXT($G$1+1, "[$-ko-KR]yyyy-mm-dd(ddd) ") &amp; "오전 00:00"</f>
        <v>2021-04-02(금) 오전 00:00</v>
      </c>
      <c r="N15" s="162"/>
      <c r="O15" s="163"/>
      <c r="Q15" s="148"/>
      <c r="R15" s="148"/>
      <c r="S15" s="148"/>
    </row>
    <row r="16" spans="1:19" ht="17.25" customHeight="1" thickBot="1">
      <c r="A16" s="15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67" t="s">
        <v>37</v>
      </c>
      <c r="H16" s="68" t="s">
        <v>40</v>
      </c>
      <c r="I16" s="69" t="s">
        <v>41</v>
      </c>
      <c r="J16" s="10" t="s">
        <v>37</v>
      </c>
      <c r="K16" s="10" t="s">
        <v>40</v>
      </c>
      <c r="L16" s="70" t="s">
        <v>41</v>
      </c>
      <c r="M16" s="2" t="s">
        <v>37</v>
      </c>
      <c r="N16" s="10" t="s">
        <v>40</v>
      </c>
      <c r="O16" s="72" t="s">
        <v>41</v>
      </c>
      <c r="Q16" s="127"/>
      <c r="R16" s="127"/>
      <c r="S16" s="12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7" t="str">
        <f>IF(NOT(ISBLANK(_xlfn.IFNA(VLOOKUP($A17, $A$40:$O$199, 6, FALSE), ))), _xlfn.IFNA(VLOOKUP($A17, $A$40:$O$199, 6, FALSE), ), "")</f>
        <v/>
      </c>
      <c r="G17" s="31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11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7" t="str">
        <f>IF(NOT(ISBLANK(_xlfn.IFNA(VLOOKUP($A17, $A$40:$O$199, 12, FALSE), ))), _xlfn.IFNA(VLOOKUP($A17, $A$40:$O$199, 12, FALSE), ), "")</f>
        <v/>
      </c>
      <c r="M17" s="31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7" t="str">
        <f>IF(NOT(ISBLANK(_xlfn.IFNA(VLOOKUP($A17, $A$40:$O$199, 15, FALSE), ))), _xlfn.IFNA(VLOOKUP($A17, $A$40:$O$199, 15, FALSE), ), "")</f>
        <v/>
      </c>
      <c r="Q17" s="148"/>
      <c r="R17" s="148"/>
      <c r="S17" s="148"/>
    </row>
    <row r="18" spans="1:19" ht="17.25" customHeight="1" thickBot="1">
      <c r="A18" s="18"/>
      <c r="B18" s="15" t="str">
        <f t="shared" ref="B18:B36" si="0">IF(NOT(ISBLANK(_xlfn.IFNA(VLOOKUP($A18, $A$40:$O$199, 2, FALSE), ))), _xlfn.IFNA(VLOOKUP($A18, $A$40:$O$199, 2, FALSE), ), "")</f>
        <v/>
      </c>
      <c r="C18" s="3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7" t="str">
        <f t="shared" ref="E18:E36" si="3">IF(NOT(ISBLANK(_xlfn.IFNA(VLOOKUP($A18, $A$40:$O$199, 5, FALSE), ))), _xlfn.IFNA(VLOOKUP($A18, $A$40:$O$199, 5, FALSE), ), "")</f>
        <v/>
      </c>
      <c r="F18" s="19" t="str">
        <f t="shared" ref="F18:F36" si="4">IF(NOT(ISBLANK(_xlfn.IFNA(VLOOKUP($A18, $A$40:$O$199, 6, FALSE), ))), _xlfn.IFNA(VLOOKUP($A18, $A$40:$O$199, 6, FALSE), ), "")</f>
        <v/>
      </c>
      <c r="G18" s="36" t="str">
        <f t="shared" ref="G18:G36" si="5">IF(NOT(ISBLANK(_xlfn.IFNA(VLOOKUP($A18, $A$40:$O$199, 7, FALSE), ))), _xlfn.IFNA(VLOOKUP($A18, $A$40:$O$199, 7, FALSE), ), "")</f>
        <v/>
      </c>
      <c r="H18" s="37" t="str">
        <f t="shared" ref="H18:H36" si="6">IF(NOT(ISBLANK(_xlfn.IFNA(VLOOKUP($A18, $A$40:$O$199, 8, FALSE), ))), _xlfn.IFNA(VLOOKUP($A18, $A$40:$O$199, 8, FALSE), ), "")</f>
        <v/>
      </c>
      <c r="I18" s="112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7" t="str">
        <f t="shared" ref="K18:K36" si="9">IF(NOT(ISBLANK(_xlfn.IFNA(VLOOKUP($A18, $A$40:$O$199, 11, FALSE), ))), _xlfn.IFNA(VLOOKUP($A18, $A$40:$O$199, 11, FALSE), ), "")</f>
        <v/>
      </c>
      <c r="L18" s="19" t="str">
        <f t="shared" ref="L18:L36" si="10">IF(NOT(ISBLANK(_xlfn.IFNA(VLOOKUP($A18, $A$40:$O$199, 12, FALSE), ))), _xlfn.IFNA(VLOOKUP($A18, $A$40:$O$199, 12, FALSE), ), "")</f>
        <v/>
      </c>
      <c r="M18" s="36" t="str">
        <f t="shared" ref="M18:M36" si="11">IF(NOT(ISBLANK(_xlfn.IFNA(VLOOKUP($A18, $A$40:$O$199, 13, FALSE), ))), _xlfn.IFNA(VLOOKUP($A18, $A$40:$O$199, 13, FALSE), ), "")</f>
        <v/>
      </c>
      <c r="N18" s="37" t="str">
        <f t="shared" ref="N18:N36" si="12">IF(NOT(ISBLANK(_xlfn.IFNA(VLOOKUP($A18, $A$40:$O$199, 14, FALSE), ))), _xlfn.IFNA(VLOOKUP($A18, $A$40:$O$199, 14, FALSE), ), "")</f>
        <v/>
      </c>
      <c r="O18" s="19" t="str">
        <f t="shared" ref="O18:O36" si="13">IF(NOT(ISBLANK(_xlfn.IFNA(VLOOKUP($A18, $A$40:$O$199, 15, FALSE), ))), _xlfn.IFNA(VLOOKUP($A18, $A$40:$O$199, 15, FALSE), ), "")</f>
        <v/>
      </c>
      <c r="Q18" s="148"/>
      <c r="R18" s="148"/>
      <c r="S18" s="148"/>
    </row>
    <row r="19" spans="1:19" ht="17.25" customHeight="1" thickBot="1">
      <c r="A19" s="18"/>
      <c r="B19" s="15" t="str">
        <f t="shared" si="0"/>
        <v/>
      </c>
      <c r="C19" s="37" t="str">
        <f t="shared" si="1"/>
        <v/>
      </c>
      <c r="D19" s="15" t="str">
        <f t="shared" si="2"/>
        <v/>
      </c>
      <c r="E19" s="37" t="str">
        <f t="shared" si="3"/>
        <v/>
      </c>
      <c r="F19" s="19" t="str">
        <f t="shared" si="4"/>
        <v/>
      </c>
      <c r="G19" s="36" t="str">
        <f t="shared" si="5"/>
        <v/>
      </c>
      <c r="H19" s="37" t="str">
        <f t="shared" si="6"/>
        <v/>
      </c>
      <c r="I19" s="112" t="str">
        <f t="shared" si="7"/>
        <v/>
      </c>
      <c r="J19" s="15" t="str">
        <f t="shared" si="8"/>
        <v/>
      </c>
      <c r="K19" s="37" t="str">
        <f t="shared" si="9"/>
        <v/>
      </c>
      <c r="L19" s="19" t="str">
        <f t="shared" si="10"/>
        <v/>
      </c>
      <c r="M19" s="36" t="str">
        <f t="shared" si="11"/>
        <v/>
      </c>
      <c r="N19" s="37" t="str">
        <f t="shared" si="12"/>
        <v/>
      </c>
      <c r="O19" s="19" t="str">
        <f t="shared" si="13"/>
        <v/>
      </c>
      <c r="Q19" s="127"/>
      <c r="R19" s="127"/>
      <c r="S19" s="127"/>
    </row>
    <row r="20" spans="1:19" ht="17.25" customHeight="1" thickBot="1">
      <c r="A20" s="18"/>
      <c r="B20" s="15" t="str">
        <f t="shared" si="0"/>
        <v/>
      </c>
      <c r="C20" s="37" t="str">
        <f t="shared" si="1"/>
        <v/>
      </c>
      <c r="D20" s="15" t="str">
        <f t="shared" si="2"/>
        <v/>
      </c>
      <c r="E20" s="37" t="str">
        <f t="shared" si="3"/>
        <v/>
      </c>
      <c r="F20" s="19" t="str">
        <f t="shared" si="4"/>
        <v/>
      </c>
      <c r="G20" s="36" t="str">
        <f t="shared" si="5"/>
        <v/>
      </c>
      <c r="H20" s="37" t="str">
        <f t="shared" si="6"/>
        <v/>
      </c>
      <c r="I20" s="112" t="str">
        <f t="shared" si="7"/>
        <v/>
      </c>
      <c r="J20" s="15" t="str">
        <f t="shared" si="8"/>
        <v/>
      </c>
      <c r="K20" s="37" t="str">
        <f t="shared" si="9"/>
        <v/>
      </c>
      <c r="L20" s="19" t="str">
        <f t="shared" si="10"/>
        <v/>
      </c>
      <c r="M20" s="36" t="str">
        <f t="shared" si="11"/>
        <v/>
      </c>
      <c r="N20" s="37" t="str">
        <f t="shared" si="12"/>
        <v/>
      </c>
      <c r="O20" s="19" t="str">
        <f t="shared" si="13"/>
        <v/>
      </c>
      <c r="Q20" s="127"/>
      <c r="R20" s="127"/>
      <c r="S20" s="127"/>
    </row>
    <row r="21" spans="1:19" ht="17.25" customHeight="1" thickBot="1">
      <c r="A21" s="20"/>
      <c r="B21" s="21" t="str">
        <f t="shared" si="0"/>
        <v/>
      </c>
      <c r="C21" s="22" t="str">
        <f t="shared" si="1"/>
        <v/>
      </c>
      <c r="D21" s="21" t="str">
        <f t="shared" si="2"/>
        <v/>
      </c>
      <c r="E21" s="22" t="str">
        <f t="shared" si="3"/>
        <v/>
      </c>
      <c r="F21" s="23" t="str">
        <f t="shared" si="4"/>
        <v/>
      </c>
      <c r="G21" s="35" t="str">
        <f t="shared" si="5"/>
        <v/>
      </c>
      <c r="H21" s="22" t="str">
        <f t="shared" si="6"/>
        <v/>
      </c>
      <c r="I21" s="116" t="str">
        <f t="shared" si="7"/>
        <v/>
      </c>
      <c r="J21" s="21" t="str">
        <f t="shared" si="8"/>
        <v/>
      </c>
      <c r="K21" s="22" t="str">
        <f t="shared" si="9"/>
        <v/>
      </c>
      <c r="L21" s="23" t="str">
        <f t="shared" si="10"/>
        <v/>
      </c>
      <c r="M21" s="35" t="str">
        <f t="shared" si="11"/>
        <v/>
      </c>
      <c r="N21" s="22" t="str">
        <f t="shared" si="12"/>
        <v/>
      </c>
      <c r="O21" s="23" t="str">
        <f t="shared" si="13"/>
        <v/>
      </c>
      <c r="Q21" s="127"/>
      <c r="R21" s="127"/>
      <c r="S21" s="127"/>
    </row>
    <row r="22" spans="1:19" ht="17.25" customHeight="1" thickBot="1">
      <c r="A22" s="18"/>
      <c r="B22" s="117" t="str">
        <f t="shared" si="0"/>
        <v/>
      </c>
      <c r="C22" s="118" t="str">
        <f t="shared" si="1"/>
        <v/>
      </c>
      <c r="D22" s="117" t="str">
        <f t="shared" si="2"/>
        <v/>
      </c>
      <c r="E22" s="118" t="str">
        <f t="shared" si="3"/>
        <v/>
      </c>
      <c r="F22" s="119" t="str">
        <f t="shared" si="4"/>
        <v/>
      </c>
      <c r="G22" s="120" t="str">
        <f t="shared" si="5"/>
        <v/>
      </c>
      <c r="H22" s="118" t="str">
        <f t="shared" si="6"/>
        <v/>
      </c>
      <c r="I22" s="121" t="str">
        <f t="shared" si="7"/>
        <v/>
      </c>
      <c r="J22" s="117" t="str">
        <f t="shared" si="8"/>
        <v/>
      </c>
      <c r="K22" s="118" t="str">
        <f t="shared" si="9"/>
        <v/>
      </c>
      <c r="L22" s="119" t="str">
        <f t="shared" si="10"/>
        <v/>
      </c>
      <c r="M22" s="120" t="str">
        <f t="shared" si="11"/>
        <v/>
      </c>
      <c r="N22" s="118" t="str">
        <f t="shared" si="12"/>
        <v/>
      </c>
      <c r="O22" s="119" t="str">
        <f t="shared" si="13"/>
        <v/>
      </c>
      <c r="Q22" s="127"/>
      <c r="R22" s="127"/>
      <c r="S22" s="127"/>
    </row>
    <row r="23" spans="1:19" ht="17.25" customHeight="1" thickBot="1">
      <c r="A23" s="18"/>
      <c r="B23" s="15" t="str">
        <f t="shared" si="0"/>
        <v/>
      </c>
      <c r="C23" s="37" t="str">
        <f t="shared" si="1"/>
        <v/>
      </c>
      <c r="D23" s="15" t="str">
        <f t="shared" si="2"/>
        <v/>
      </c>
      <c r="E23" s="37" t="str">
        <f t="shared" si="3"/>
        <v/>
      </c>
      <c r="F23" s="19" t="str">
        <f t="shared" si="4"/>
        <v/>
      </c>
      <c r="G23" s="36" t="str">
        <f t="shared" si="5"/>
        <v/>
      </c>
      <c r="H23" s="37" t="str">
        <f t="shared" si="6"/>
        <v/>
      </c>
      <c r="I23" s="112" t="str">
        <f t="shared" si="7"/>
        <v/>
      </c>
      <c r="J23" s="15" t="str">
        <f t="shared" si="8"/>
        <v/>
      </c>
      <c r="K23" s="37" t="str">
        <f t="shared" si="9"/>
        <v/>
      </c>
      <c r="L23" s="19" t="str">
        <f t="shared" si="10"/>
        <v/>
      </c>
      <c r="M23" s="36" t="str">
        <f t="shared" si="11"/>
        <v/>
      </c>
      <c r="N23" s="37" t="str">
        <f t="shared" si="12"/>
        <v/>
      </c>
      <c r="O23" s="19" t="str">
        <f t="shared" si="13"/>
        <v/>
      </c>
      <c r="Q23" s="127"/>
      <c r="R23" s="127"/>
      <c r="S23" s="127"/>
    </row>
    <row r="24" spans="1:19" ht="17.25" customHeight="1" thickBot="1">
      <c r="A24" s="18"/>
      <c r="B24" s="15" t="str">
        <f t="shared" si="0"/>
        <v/>
      </c>
      <c r="C24" s="37" t="str">
        <f t="shared" si="1"/>
        <v/>
      </c>
      <c r="D24" s="15" t="str">
        <f t="shared" si="2"/>
        <v/>
      </c>
      <c r="E24" s="37" t="str">
        <f t="shared" si="3"/>
        <v/>
      </c>
      <c r="F24" s="19" t="str">
        <f t="shared" si="4"/>
        <v/>
      </c>
      <c r="G24" s="36" t="str">
        <f t="shared" si="5"/>
        <v/>
      </c>
      <c r="H24" s="37" t="str">
        <f t="shared" si="6"/>
        <v/>
      </c>
      <c r="I24" s="112" t="str">
        <f t="shared" si="7"/>
        <v/>
      </c>
      <c r="J24" s="15" t="str">
        <f t="shared" si="8"/>
        <v/>
      </c>
      <c r="K24" s="37" t="str">
        <f t="shared" si="9"/>
        <v/>
      </c>
      <c r="L24" s="19" t="str">
        <f t="shared" si="10"/>
        <v/>
      </c>
      <c r="M24" s="36" t="str">
        <f t="shared" si="11"/>
        <v/>
      </c>
      <c r="N24" s="37" t="str">
        <f t="shared" si="12"/>
        <v/>
      </c>
      <c r="O24" s="19" t="str">
        <f t="shared" si="13"/>
        <v/>
      </c>
      <c r="Q24" s="127"/>
      <c r="R24" s="127"/>
      <c r="S24" s="127"/>
    </row>
    <row r="25" spans="1:19" ht="17.25" customHeight="1" thickBot="1">
      <c r="A25" s="18"/>
      <c r="B25" s="15" t="str">
        <f t="shared" si="0"/>
        <v/>
      </c>
      <c r="C25" s="37" t="str">
        <f t="shared" si="1"/>
        <v/>
      </c>
      <c r="D25" s="15" t="str">
        <f t="shared" si="2"/>
        <v/>
      </c>
      <c r="E25" s="37" t="str">
        <f t="shared" si="3"/>
        <v/>
      </c>
      <c r="F25" s="19" t="str">
        <f t="shared" si="4"/>
        <v/>
      </c>
      <c r="G25" s="36" t="str">
        <f t="shared" si="5"/>
        <v/>
      </c>
      <c r="H25" s="37" t="str">
        <f t="shared" si="6"/>
        <v/>
      </c>
      <c r="I25" s="112" t="str">
        <f t="shared" si="7"/>
        <v/>
      </c>
      <c r="J25" s="15" t="str">
        <f t="shared" si="8"/>
        <v/>
      </c>
      <c r="K25" s="37" t="str">
        <f t="shared" si="9"/>
        <v/>
      </c>
      <c r="L25" s="19" t="str">
        <f t="shared" si="10"/>
        <v/>
      </c>
      <c r="M25" s="36" t="str">
        <f t="shared" si="11"/>
        <v/>
      </c>
      <c r="N25" s="37" t="str">
        <f t="shared" si="12"/>
        <v/>
      </c>
      <c r="O25" s="19" t="str">
        <f t="shared" si="13"/>
        <v/>
      </c>
      <c r="Q25" s="38"/>
      <c r="R25" s="38"/>
    </row>
    <row r="26" spans="1:19" ht="17.25" customHeight="1" thickBot="1">
      <c r="A26" s="24"/>
      <c r="B26" s="25" t="str">
        <f t="shared" si="0"/>
        <v/>
      </c>
      <c r="C26" s="26" t="str">
        <f t="shared" si="1"/>
        <v/>
      </c>
      <c r="D26" s="25" t="str">
        <f t="shared" si="2"/>
        <v/>
      </c>
      <c r="E26" s="26" t="str">
        <f t="shared" si="3"/>
        <v/>
      </c>
      <c r="F26" s="115" t="str">
        <f t="shared" si="4"/>
        <v/>
      </c>
      <c r="G26" s="113" t="str">
        <f t="shared" si="5"/>
        <v/>
      </c>
      <c r="H26" s="26" t="str">
        <f t="shared" si="6"/>
        <v/>
      </c>
      <c r="I26" s="114" t="str">
        <f t="shared" si="7"/>
        <v/>
      </c>
      <c r="J26" s="25" t="str">
        <f t="shared" si="8"/>
        <v/>
      </c>
      <c r="K26" s="26" t="str">
        <f t="shared" si="9"/>
        <v/>
      </c>
      <c r="L26" s="115" t="str">
        <f t="shared" si="10"/>
        <v/>
      </c>
      <c r="M26" s="113" t="str">
        <f t="shared" si="11"/>
        <v/>
      </c>
      <c r="N26" s="26" t="str">
        <f t="shared" si="12"/>
        <v/>
      </c>
      <c r="O26" s="115" t="str">
        <f t="shared" si="13"/>
        <v/>
      </c>
      <c r="Q26" s="139"/>
      <c r="R26" s="140"/>
      <c r="S26" s="14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7" t="str">
        <f t="shared" si="4"/>
        <v/>
      </c>
      <c r="G27" s="31" t="str">
        <f t="shared" si="5"/>
        <v/>
      </c>
      <c r="H27" s="14" t="str">
        <f t="shared" si="6"/>
        <v/>
      </c>
      <c r="I27" s="111" t="str">
        <f t="shared" si="7"/>
        <v/>
      </c>
      <c r="J27" s="13" t="str">
        <f t="shared" si="8"/>
        <v/>
      </c>
      <c r="K27" s="14" t="str">
        <f t="shared" si="9"/>
        <v/>
      </c>
      <c r="L27" s="17" t="str">
        <f t="shared" si="10"/>
        <v/>
      </c>
      <c r="M27" s="31" t="str">
        <f t="shared" si="11"/>
        <v/>
      </c>
      <c r="N27" s="14" t="str">
        <f t="shared" si="12"/>
        <v/>
      </c>
      <c r="O27" s="17" t="str">
        <f t="shared" si="13"/>
        <v/>
      </c>
      <c r="Q27" s="142"/>
      <c r="R27" s="143"/>
      <c r="S27" s="144"/>
    </row>
    <row r="28" spans="1:19" ht="17.25" customHeight="1" thickBot="1">
      <c r="A28" s="18"/>
      <c r="B28" s="15" t="str">
        <f t="shared" si="0"/>
        <v/>
      </c>
      <c r="C28" s="37" t="str">
        <f t="shared" si="1"/>
        <v/>
      </c>
      <c r="D28" s="15" t="str">
        <f t="shared" si="2"/>
        <v/>
      </c>
      <c r="E28" s="37" t="str">
        <f t="shared" si="3"/>
        <v/>
      </c>
      <c r="F28" s="19" t="str">
        <f t="shared" si="4"/>
        <v/>
      </c>
      <c r="G28" s="36" t="str">
        <f t="shared" si="5"/>
        <v/>
      </c>
      <c r="H28" s="37" t="str">
        <f t="shared" si="6"/>
        <v/>
      </c>
      <c r="I28" s="112" t="str">
        <f t="shared" si="7"/>
        <v/>
      </c>
      <c r="J28" s="15" t="str">
        <f t="shared" si="8"/>
        <v/>
      </c>
      <c r="K28" s="37" t="str">
        <f t="shared" si="9"/>
        <v/>
      </c>
      <c r="L28" s="19" t="str">
        <f t="shared" si="10"/>
        <v/>
      </c>
      <c r="M28" s="36" t="str">
        <f t="shared" si="11"/>
        <v/>
      </c>
      <c r="N28" s="37" t="str">
        <f t="shared" si="12"/>
        <v/>
      </c>
      <c r="O28" s="19" t="str">
        <f t="shared" si="13"/>
        <v/>
      </c>
      <c r="Q28" s="145"/>
      <c r="R28" s="146"/>
      <c r="S28" s="147"/>
    </row>
    <row r="29" spans="1:19" ht="17.25" customHeight="1" thickBot="1">
      <c r="A29" s="18"/>
      <c r="B29" s="15" t="str">
        <f t="shared" si="0"/>
        <v/>
      </c>
      <c r="C29" s="37" t="str">
        <f t="shared" si="1"/>
        <v/>
      </c>
      <c r="D29" s="15" t="str">
        <f t="shared" si="2"/>
        <v/>
      </c>
      <c r="E29" s="37" t="str">
        <f t="shared" si="3"/>
        <v/>
      </c>
      <c r="F29" s="19" t="str">
        <f t="shared" si="4"/>
        <v/>
      </c>
      <c r="G29" s="36" t="str">
        <f t="shared" si="5"/>
        <v/>
      </c>
      <c r="H29" s="37" t="str">
        <f t="shared" si="6"/>
        <v/>
      </c>
      <c r="I29" s="112" t="str">
        <f t="shared" si="7"/>
        <v/>
      </c>
      <c r="J29" s="15" t="str">
        <f t="shared" si="8"/>
        <v/>
      </c>
      <c r="K29" s="37" t="str">
        <f t="shared" si="9"/>
        <v/>
      </c>
      <c r="L29" s="19" t="str">
        <f t="shared" si="10"/>
        <v/>
      </c>
      <c r="M29" s="36" t="str">
        <f t="shared" si="11"/>
        <v/>
      </c>
      <c r="N29" s="37" t="str">
        <f t="shared" si="12"/>
        <v/>
      </c>
      <c r="O29" s="19" t="str">
        <f t="shared" si="13"/>
        <v/>
      </c>
      <c r="Q29" s="127"/>
      <c r="R29" s="127"/>
      <c r="S29" s="127"/>
    </row>
    <row r="30" spans="1:19" ht="17.25" customHeight="1" thickBot="1">
      <c r="A30" s="18"/>
      <c r="B30" s="15" t="str">
        <f t="shared" si="0"/>
        <v/>
      </c>
      <c r="C30" s="37" t="str">
        <f t="shared" si="1"/>
        <v/>
      </c>
      <c r="D30" s="15" t="str">
        <f t="shared" si="2"/>
        <v/>
      </c>
      <c r="E30" s="37" t="str">
        <f t="shared" si="3"/>
        <v/>
      </c>
      <c r="F30" s="19" t="str">
        <f t="shared" si="4"/>
        <v/>
      </c>
      <c r="G30" s="36" t="str">
        <f t="shared" si="5"/>
        <v/>
      </c>
      <c r="H30" s="37" t="str">
        <f t="shared" si="6"/>
        <v/>
      </c>
      <c r="I30" s="112" t="str">
        <f t="shared" si="7"/>
        <v/>
      </c>
      <c r="J30" s="15" t="str">
        <f t="shared" si="8"/>
        <v/>
      </c>
      <c r="K30" s="37" t="str">
        <f t="shared" si="9"/>
        <v/>
      </c>
      <c r="L30" s="19" t="str">
        <f t="shared" si="10"/>
        <v/>
      </c>
      <c r="M30" s="36" t="str">
        <f t="shared" si="11"/>
        <v/>
      </c>
      <c r="N30" s="37" t="str">
        <f t="shared" si="12"/>
        <v/>
      </c>
      <c r="O30" s="19" t="str">
        <f t="shared" si="13"/>
        <v/>
      </c>
      <c r="Q30" s="148"/>
      <c r="R30" s="148"/>
      <c r="S30" s="148"/>
    </row>
    <row r="31" spans="1:19" ht="17.25" customHeight="1" thickBot="1">
      <c r="A31" s="20"/>
      <c r="B31" s="21" t="str">
        <f t="shared" si="0"/>
        <v/>
      </c>
      <c r="C31" s="22" t="str">
        <f t="shared" si="1"/>
        <v/>
      </c>
      <c r="D31" s="21" t="str">
        <f t="shared" si="2"/>
        <v/>
      </c>
      <c r="E31" s="22" t="str">
        <f t="shared" si="3"/>
        <v/>
      </c>
      <c r="F31" s="23" t="str">
        <f t="shared" si="4"/>
        <v/>
      </c>
      <c r="G31" s="35" t="str">
        <f t="shared" si="5"/>
        <v/>
      </c>
      <c r="H31" s="22" t="str">
        <f t="shared" si="6"/>
        <v/>
      </c>
      <c r="I31" s="116" t="str">
        <f t="shared" si="7"/>
        <v/>
      </c>
      <c r="J31" s="21" t="str">
        <f t="shared" si="8"/>
        <v/>
      </c>
      <c r="K31" s="22" t="str">
        <f t="shared" si="9"/>
        <v/>
      </c>
      <c r="L31" s="23" t="str">
        <f t="shared" si="10"/>
        <v/>
      </c>
      <c r="M31" s="35" t="str">
        <f t="shared" si="11"/>
        <v/>
      </c>
      <c r="N31" s="22" t="str">
        <f t="shared" si="12"/>
        <v/>
      </c>
      <c r="O31" s="23" t="str">
        <f t="shared" si="13"/>
        <v/>
      </c>
      <c r="Q31" s="148"/>
      <c r="R31" s="148"/>
      <c r="S31" s="148"/>
    </row>
    <row r="32" spans="1:19" ht="17.25" customHeight="1" thickBot="1">
      <c r="A32" s="18"/>
      <c r="B32" s="117" t="str">
        <f t="shared" si="0"/>
        <v/>
      </c>
      <c r="C32" s="118" t="str">
        <f t="shared" si="1"/>
        <v/>
      </c>
      <c r="D32" s="117" t="str">
        <f t="shared" si="2"/>
        <v/>
      </c>
      <c r="E32" s="118" t="str">
        <f t="shared" si="3"/>
        <v/>
      </c>
      <c r="F32" s="119" t="str">
        <f t="shared" si="4"/>
        <v/>
      </c>
      <c r="G32" s="120" t="str">
        <f t="shared" si="5"/>
        <v/>
      </c>
      <c r="H32" s="118" t="str">
        <f t="shared" si="6"/>
        <v/>
      </c>
      <c r="I32" s="121" t="str">
        <f t="shared" si="7"/>
        <v/>
      </c>
      <c r="J32" s="117" t="str">
        <f t="shared" si="8"/>
        <v/>
      </c>
      <c r="K32" s="118" t="str">
        <f t="shared" si="9"/>
        <v/>
      </c>
      <c r="L32" s="119" t="str">
        <f t="shared" si="10"/>
        <v/>
      </c>
      <c r="M32" s="120" t="str">
        <f t="shared" si="11"/>
        <v/>
      </c>
      <c r="N32" s="118" t="str">
        <f t="shared" si="12"/>
        <v/>
      </c>
      <c r="O32" s="119" t="str">
        <f t="shared" si="13"/>
        <v/>
      </c>
      <c r="Q32" s="127"/>
      <c r="R32" s="127"/>
      <c r="S32" s="127"/>
    </row>
    <row r="33" spans="1:19" ht="17.25" customHeight="1" thickBot="1">
      <c r="A33" s="18"/>
      <c r="B33" s="15" t="str">
        <f t="shared" si="0"/>
        <v/>
      </c>
      <c r="C33" s="37" t="str">
        <f t="shared" si="1"/>
        <v/>
      </c>
      <c r="D33" s="15" t="str">
        <f t="shared" si="2"/>
        <v/>
      </c>
      <c r="E33" s="37" t="str">
        <f t="shared" si="3"/>
        <v/>
      </c>
      <c r="F33" s="19" t="str">
        <f t="shared" si="4"/>
        <v/>
      </c>
      <c r="G33" s="36" t="str">
        <f t="shared" si="5"/>
        <v/>
      </c>
      <c r="H33" s="37" t="str">
        <f t="shared" si="6"/>
        <v/>
      </c>
      <c r="I33" s="112" t="str">
        <f t="shared" si="7"/>
        <v/>
      </c>
      <c r="J33" s="15" t="str">
        <f t="shared" si="8"/>
        <v/>
      </c>
      <c r="K33" s="37" t="str">
        <f t="shared" si="9"/>
        <v/>
      </c>
      <c r="L33" s="19" t="str">
        <f t="shared" si="10"/>
        <v/>
      </c>
      <c r="M33" s="36" t="str">
        <f t="shared" si="11"/>
        <v/>
      </c>
      <c r="N33" s="37" t="str">
        <f t="shared" si="12"/>
        <v/>
      </c>
      <c r="O33" s="19" t="str">
        <f t="shared" si="13"/>
        <v/>
      </c>
      <c r="Q33" s="127"/>
      <c r="R33" s="127"/>
      <c r="S33" s="127"/>
    </row>
    <row r="34" spans="1:19" ht="17.25" customHeight="1" thickBot="1">
      <c r="A34" s="18"/>
      <c r="B34" s="15" t="str">
        <f t="shared" si="0"/>
        <v/>
      </c>
      <c r="C34" s="37" t="str">
        <f t="shared" si="1"/>
        <v/>
      </c>
      <c r="D34" s="15" t="str">
        <f t="shared" si="2"/>
        <v/>
      </c>
      <c r="E34" s="37" t="str">
        <f t="shared" si="3"/>
        <v/>
      </c>
      <c r="F34" s="19" t="str">
        <f t="shared" si="4"/>
        <v/>
      </c>
      <c r="G34" s="36" t="str">
        <f t="shared" si="5"/>
        <v/>
      </c>
      <c r="H34" s="37" t="str">
        <f t="shared" si="6"/>
        <v/>
      </c>
      <c r="I34" s="112" t="str">
        <f t="shared" si="7"/>
        <v/>
      </c>
      <c r="J34" s="15" t="str">
        <f t="shared" si="8"/>
        <v/>
      </c>
      <c r="K34" s="37" t="str">
        <f t="shared" si="9"/>
        <v/>
      </c>
      <c r="L34" s="19" t="str">
        <f t="shared" si="10"/>
        <v/>
      </c>
      <c r="M34" s="36" t="str">
        <f t="shared" si="11"/>
        <v/>
      </c>
      <c r="N34" s="37" t="str">
        <f t="shared" si="12"/>
        <v/>
      </c>
      <c r="O34" s="19" t="str">
        <f t="shared" si="13"/>
        <v/>
      </c>
      <c r="Q34" s="127"/>
      <c r="R34" s="127"/>
      <c r="S34" s="127"/>
    </row>
    <row r="35" spans="1:19" ht="17.25" customHeight="1">
      <c r="A35" s="18"/>
      <c r="B35" s="15" t="str">
        <f t="shared" si="0"/>
        <v/>
      </c>
      <c r="C35" s="37" t="str">
        <f t="shared" si="1"/>
        <v/>
      </c>
      <c r="D35" s="15" t="str">
        <f t="shared" si="2"/>
        <v/>
      </c>
      <c r="E35" s="37" t="str">
        <f t="shared" si="3"/>
        <v/>
      </c>
      <c r="F35" s="19" t="str">
        <f t="shared" si="4"/>
        <v/>
      </c>
      <c r="G35" s="36" t="str">
        <f t="shared" si="5"/>
        <v/>
      </c>
      <c r="H35" s="37" t="str">
        <f t="shared" si="6"/>
        <v/>
      </c>
      <c r="I35" s="112" t="str">
        <f t="shared" si="7"/>
        <v/>
      </c>
      <c r="J35" s="15" t="str">
        <f t="shared" si="8"/>
        <v/>
      </c>
      <c r="K35" s="37" t="str">
        <f t="shared" si="9"/>
        <v/>
      </c>
      <c r="L35" s="19" t="str">
        <f t="shared" si="10"/>
        <v/>
      </c>
      <c r="M35" s="36" t="str">
        <f t="shared" si="11"/>
        <v/>
      </c>
      <c r="N35" s="37" t="str">
        <f t="shared" si="12"/>
        <v/>
      </c>
      <c r="O35" s="19" t="str">
        <f t="shared" si="13"/>
        <v/>
      </c>
      <c r="Q35" s="128"/>
      <c r="R35" s="129"/>
      <c r="S35" s="130"/>
    </row>
    <row r="36" spans="1:19" ht="17.25" customHeight="1" thickBot="1">
      <c r="A36" s="24"/>
      <c r="B36" s="25" t="str">
        <f t="shared" si="0"/>
        <v/>
      </c>
      <c r="C36" s="26" t="str">
        <f t="shared" si="1"/>
        <v/>
      </c>
      <c r="D36" s="25" t="str">
        <f t="shared" si="2"/>
        <v/>
      </c>
      <c r="E36" s="26" t="str">
        <f t="shared" si="3"/>
        <v/>
      </c>
      <c r="F36" s="115" t="str">
        <f t="shared" si="4"/>
        <v/>
      </c>
      <c r="G36" s="113" t="str">
        <f t="shared" si="5"/>
        <v/>
      </c>
      <c r="H36" s="26" t="str">
        <f t="shared" si="6"/>
        <v/>
      </c>
      <c r="I36" s="114" t="str">
        <f t="shared" si="7"/>
        <v/>
      </c>
      <c r="J36" s="25" t="str">
        <f t="shared" si="8"/>
        <v/>
      </c>
      <c r="K36" s="26" t="str">
        <f t="shared" si="9"/>
        <v/>
      </c>
      <c r="L36" s="115" t="str">
        <f t="shared" si="10"/>
        <v/>
      </c>
      <c r="M36" s="113" t="str">
        <f t="shared" si="11"/>
        <v/>
      </c>
      <c r="N36" s="26" t="str">
        <f t="shared" si="12"/>
        <v/>
      </c>
      <c r="O36" s="115" t="str">
        <f t="shared" si="13"/>
        <v/>
      </c>
      <c r="Q36" s="131"/>
      <c r="R36" s="132"/>
      <c r="S36" s="133"/>
    </row>
    <row r="37" spans="1:19" ht="17.25" customHeight="1" thickBot="1">
      <c r="A37" s="27" t="s">
        <v>42</v>
      </c>
      <c r="B37" s="137">
        <v>300000</v>
      </c>
      <c r="C37" s="138"/>
      <c r="D37" s="27" t="s">
        <v>43</v>
      </c>
      <c r="E37" s="28">
        <f>IF(COUNT(E17:E26), SUM(E17:E26) / COUNT(E17:E26), 0)</f>
        <v>0</v>
      </c>
      <c r="F37" s="29">
        <f>SUM(F17:F26)</f>
        <v>0</v>
      </c>
      <c r="G37" s="27" t="s">
        <v>43</v>
      </c>
      <c r="H37" s="28">
        <f>IF(COUNT(H17:H26), SUM(H17:H26) / COUNT(H17:H26), 0)</f>
        <v>0</v>
      </c>
      <c r="I37" s="29">
        <f>SUM(I17:I26)</f>
        <v>0</v>
      </c>
      <c r="J37" s="27" t="s">
        <v>43</v>
      </c>
      <c r="K37" s="28">
        <f>IF(COUNT(K17:K26), SUM(K17:K26) / COUNT(K17:K26), 0)</f>
        <v>0</v>
      </c>
      <c r="L37" s="29">
        <f>SUM(L17:L26)</f>
        <v>0</v>
      </c>
      <c r="M37" s="27" t="s">
        <v>43</v>
      </c>
      <c r="N37" s="28">
        <f>IF(COUNT(N17:N26), SUM(N17:N26) / COUNT(N17:N26), 0)</f>
        <v>0</v>
      </c>
      <c r="O37" s="29">
        <f>SUM(O17:O26)</f>
        <v>0</v>
      </c>
      <c r="Q37" s="134"/>
      <c r="R37" s="135"/>
      <c r="S37" s="136"/>
    </row>
    <row r="38" spans="1:19" ht="17.25" customHeight="1"/>
    <row r="39" spans="1:19" ht="17.25" customHeight="1" thickBot="1"/>
    <row r="40" spans="1:19" ht="17.25" customHeight="1" thickBot="1">
      <c r="A40" s="149" t="s">
        <v>44</v>
      </c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1"/>
      <c r="Q40" s="148"/>
      <c r="R40" s="148"/>
      <c r="S40" s="148"/>
    </row>
    <row r="41" spans="1:19" ht="17.25" customHeight="1" thickBot="1">
      <c r="A41" s="66" t="s">
        <v>35</v>
      </c>
      <c r="B41" s="149" t="s">
        <v>36</v>
      </c>
      <c r="C41" s="151"/>
      <c r="D41" s="149" t="s">
        <v>37</v>
      </c>
      <c r="E41" s="150"/>
      <c r="F41" s="151"/>
      <c r="G41" s="152">
        <f>_xlfn.IFNA(VLOOKUP(B41, 현재가테이블!$B$2:$D$200, 2, FALSE), "-")</f>
        <v>68203000</v>
      </c>
      <c r="H41" s="153"/>
      <c r="I41" s="154"/>
      <c r="J41" s="149" t="s">
        <v>38</v>
      </c>
      <c r="K41" s="150"/>
      <c r="L41" s="151"/>
      <c r="M41" s="155">
        <f>_xlfn.IFNA(VLOOKUP(B41, 현재가테이블!$B$2:$D$200, 3, FALSE), "-")</f>
        <v>-1.22521687E-2</v>
      </c>
      <c r="N41" s="156"/>
      <c r="O41" s="157"/>
      <c r="Q41" s="148"/>
      <c r="R41" s="148"/>
      <c r="S41" s="148"/>
    </row>
    <row r="42" spans="1:19" ht="17.25" customHeight="1" thickBot="1">
      <c r="A42" s="158" t="s">
        <v>39</v>
      </c>
      <c r="B42" s="159" t="str">
        <f>TEXT($G$1, "[$-ko-KR]yyyy-mm-dd(ddd) ") &amp; "오전 00:00"</f>
        <v>2021-04-01(목) 오전 00:00</v>
      </c>
      <c r="C42" s="160"/>
      <c r="D42" s="161" t="str">
        <f>TEXT($G$1, "[$-ko-KR]yyyy-mm-dd(ddd) ") &amp; "오후 14:00"</f>
        <v>2021-04-01(목) 오후 14:00</v>
      </c>
      <c r="E42" s="162"/>
      <c r="F42" s="163"/>
      <c r="G42" s="161" t="str">
        <f>TEXT($G$1, "[$-ko-KR]yyyy-mm-dd(ddd) ") &amp; "오후 19:00"</f>
        <v>2021-04-01(목) 오후 19:00</v>
      </c>
      <c r="H42" s="162"/>
      <c r="I42" s="163"/>
      <c r="J42" s="164" t="str">
        <f>TEXT($G$1, "[$-ko-KR]yyyy-mm-dd(ddd) ") &amp; "오후 21:00"</f>
        <v>2021-04-01(목) 오후 21:00</v>
      </c>
      <c r="K42" s="164"/>
      <c r="L42" s="164"/>
      <c r="M42" s="161" t="str">
        <f>TEXT($G$1+1, "[$-ko-KR]yyyy-mm-dd(ddd) ") &amp; "오전 00:00"</f>
        <v>2021-04-02(금) 오전 00:00</v>
      </c>
      <c r="N42" s="162"/>
      <c r="O42" s="163"/>
      <c r="Q42" s="148"/>
      <c r="R42" s="148"/>
      <c r="S42" s="148"/>
    </row>
    <row r="43" spans="1:19" ht="17.25" customHeight="1" thickBot="1">
      <c r="A43" s="158"/>
      <c r="B43" s="2" t="s">
        <v>37</v>
      </c>
      <c r="C43" s="10" t="s">
        <v>38</v>
      </c>
      <c r="D43" s="2" t="s">
        <v>37</v>
      </c>
      <c r="E43" s="10" t="s">
        <v>40</v>
      </c>
      <c r="F43" s="11" t="s">
        <v>41</v>
      </c>
      <c r="G43" s="2" t="s">
        <v>37</v>
      </c>
      <c r="H43" s="10" t="s">
        <v>40</v>
      </c>
      <c r="I43" s="11" t="s">
        <v>41</v>
      </c>
      <c r="J43" s="10" t="s">
        <v>37</v>
      </c>
      <c r="K43" s="10" t="s">
        <v>40</v>
      </c>
      <c r="L43" s="70" t="s">
        <v>41</v>
      </c>
      <c r="M43" s="2" t="s">
        <v>37</v>
      </c>
      <c r="N43" s="10" t="s">
        <v>40</v>
      </c>
      <c r="O43" s="72" t="s">
        <v>41</v>
      </c>
      <c r="Q43" s="127"/>
      <c r="R43" s="127"/>
      <c r="S43" s="127"/>
    </row>
    <row r="44" spans="1:19" ht="17.25" customHeight="1" thickBot="1">
      <c r="A44" s="30"/>
      <c r="B44" s="31"/>
      <c r="C44" s="14"/>
      <c r="D44" s="13"/>
      <c r="E44" s="14" t="str">
        <f>IF(ISNUMBER(D44), (D44 - $B44) / $B44, "")</f>
        <v/>
      </c>
      <c r="F44" s="17" t="str">
        <f>IF(ISNUMBER(D44), $B64 * E44, "")</f>
        <v/>
      </c>
      <c r="G44" s="13"/>
      <c r="H44" s="14" t="str">
        <f>IF(ISNUMBER(G44), (G44 - $B44) / $B44, "")</f>
        <v/>
      </c>
      <c r="I44" s="17" t="str">
        <f>IF(ISNUMBER(G44), $B64 * H44, "")</f>
        <v/>
      </c>
      <c r="J44" s="13"/>
      <c r="K44" s="14" t="str">
        <f>IF(ISNUMBER(J44), (J44 - $B44) / $B44, "")</f>
        <v/>
      </c>
      <c r="L44" s="17" t="str">
        <f>IF(ISNUMBER(J44), $B64 * K44, "")</f>
        <v/>
      </c>
      <c r="M44" s="13"/>
      <c r="N44" s="14" t="str">
        <f>IF(ISNUMBER(M44), (M44 - $B44) / $B44, "")</f>
        <v/>
      </c>
      <c r="O44" s="17" t="str">
        <f>IF(ISNUMBER(M44), $B64 * N44, "")</f>
        <v/>
      </c>
      <c r="Q44" s="148"/>
      <c r="R44" s="148"/>
      <c r="S44" s="148"/>
    </row>
    <row r="45" spans="1:19" ht="17.25" customHeight="1" thickBot="1">
      <c r="A45" s="32"/>
      <c r="B45" s="33"/>
      <c r="C45" s="16"/>
      <c r="D45" s="15"/>
      <c r="E45" s="16" t="str">
        <f t="shared" ref="E45:E48" si="14">IF(ISNUMBER(D45), (D45 - $B45) / $B45, "")</f>
        <v/>
      </c>
      <c r="F45" s="19" t="str">
        <f>IF(ISNUMBER(D45), $B64 * E45, "")</f>
        <v/>
      </c>
      <c r="G45" s="15"/>
      <c r="H45" s="16" t="str">
        <f t="shared" ref="H45:H48" si="15">IF(ISNUMBER(G45), (G45 - $B45) / $B45, "")</f>
        <v/>
      </c>
      <c r="I45" s="19" t="str">
        <f>IF(ISNUMBER(G45), $B64 * H45, "")</f>
        <v/>
      </c>
      <c r="J45" s="15"/>
      <c r="K45" s="16" t="str">
        <f t="shared" ref="K45:K48" si="16">IF(ISNUMBER(J45), (J45 - $B45) / $B45, "")</f>
        <v/>
      </c>
      <c r="L45" s="19" t="str">
        <f>IF(ISNUMBER(J45), $B64 * K45, "")</f>
        <v/>
      </c>
      <c r="M45" s="15"/>
      <c r="N45" s="16" t="str">
        <f t="shared" ref="N45:N48" si="17">IF(ISNUMBER(M45), (M45 - $B45) / $B45, "")</f>
        <v/>
      </c>
      <c r="O45" s="19" t="str">
        <f>IF(ISNUMBER(M45), $B64 * N45, "")</f>
        <v/>
      </c>
      <c r="Q45" s="148"/>
      <c r="R45" s="148"/>
      <c r="S45" s="148"/>
    </row>
    <row r="46" spans="1:19" ht="17.25" customHeight="1" thickBot="1">
      <c r="A46" s="32"/>
      <c r="B46" s="33"/>
      <c r="C46" s="16"/>
      <c r="D46" s="15"/>
      <c r="E46" s="16" t="str">
        <f t="shared" si="14"/>
        <v/>
      </c>
      <c r="F46" s="19" t="str">
        <f>IF(ISNUMBER(D46), $B64 * E46, "")</f>
        <v/>
      </c>
      <c r="G46" s="15"/>
      <c r="H46" s="16" t="str">
        <f t="shared" si="15"/>
        <v/>
      </c>
      <c r="I46" s="19" t="str">
        <f>IF(ISNUMBER(G46), $B64 * H46, "")</f>
        <v/>
      </c>
      <c r="J46" s="15"/>
      <c r="K46" s="16" t="str">
        <f t="shared" si="16"/>
        <v/>
      </c>
      <c r="L46" s="19" t="str">
        <f>IF(ISNUMBER(J46), $B64 * K46, "")</f>
        <v/>
      </c>
      <c r="M46" s="15"/>
      <c r="N46" s="16" t="str">
        <f t="shared" si="17"/>
        <v/>
      </c>
      <c r="O46" s="19" t="str">
        <f>IF(ISNUMBER(M46), $B64 * N46, "")</f>
        <v/>
      </c>
      <c r="Q46" s="127"/>
      <c r="R46" s="127"/>
      <c r="S46" s="127"/>
    </row>
    <row r="47" spans="1:19" ht="17.25" customHeight="1" thickBot="1">
      <c r="A47" s="32"/>
      <c r="B47" s="33"/>
      <c r="C47" s="16"/>
      <c r="D47" s="15"/>
      <c r="E47" s="16" t="str">
        <f t="shared" si="14"/>
        <v/>
      </c>
      <c r="F47" s="19" t="str">
        <f>IF(ISNUMBER(D47), $B64 * E47, "")</f>
        <v/>
      </c>
      <c r="G47" s="15"/>
      <c r="H47" s="16" t="str">
        <f t="shared" si="15"/>
        <v/>
      </c>
      <c r="I47" s="19" t="str">
        <f>IF(ISNUMBER(G47), $B64 * H47, "")</f>
        <v/>
      </c>
      <c r="J47" s="15"/>
      <c r="K47" s="16" t="str">
        <f t="shared" si="16"/>
        <v/>
      </c>
      <c r="L47" s="19" t="str">
        <f>IF(ISNUMBER(J47), $B64 * K47, "")</f>
        <v/>
      </c>
      <c r="M47" s="15"/>
      <c r="N47" s="16" t="str">
        <f t="shared" si="17"/>
        <v/>
      </c>
      <c r="O47" s="19" t="str">
        <f>IF(ISNUMBER(M47), $B64 * N47, "")</f>
        <v/>
      </c>
      <c r="Q47" s="127"/>
      <c r="R47" s="127"/>
      <c r="S47" s="127"/>
    </row>
    <row r="48" spans="1:19" ht="17.25" customHeight="1" thickBot="1">
      <c r="A48" s="34"/>
      <c r="B48" s="35"/>
      <c r="C48" s="22"/>
      <c r="D48" s="21"/>
      <c r="E48" s="22" t="str">
        <f t="shared" si="14"/>
        <v/>
      </c>
      <c r="F48" s="23" t="str">
        <f>IF(ISNUMBER(D48), $B64 * E48, "")</f>
        <v/>
      </c>
      <c r="G48" s="21"/>
      <c r="H48" s="22" t="str">
        <f t="shared" si="15"/>
        <v/>
      </c>
      <c r="I48" s="23" t="str">
        <f>IF(ISNUMBER(G48), $B64 * H48, "")</f>
        <v/>
      </c>
      <c r="J48" s="21"/>
      <c r="K48" s="22" t="str">
        <f t="shared" si="16"/>
        <v/>
      </c>
      <c r="L48" s="23" t="str">
        <f>IF(ISNUMBER(J48), $B64 * K48, "")</f>
        <v/>
      </c>
      <c r="M48" s="21"/>
      <c r="N48" s="22" t="str">
        <f t="shared" si="17"/>
        <v/>
      </c>
      <c r="O48" s="23" t="str">
        <f>IF(ISNUMBER(M48), $B64 * N48, "")</f>
        <v/>
      </c>
      <c r="Q48" s="127"/>
      <c r="R48" s="127"/>
      <c r="S48" s="127"/>
    </row>
    <row r="49" spans="1:19" ht="17.25" customHeight="1" thickBot="1">
      <c r="A49" s="32"/>
      <c r="B49" s="36"/>
      <c r="C49" s="37"/>
      <c r="D49" s="15"/>
      <c r="E49" s="37" t="str">
        <f>IF(ISNUMBER(D49), (D49 - $B49) / $B49, "")</f>
        <v/>
      </c>
      <c r="F49" s="19" t="str">
        <f>IF(ISNUMBER(D49), $B64 * E49, "")</f>
        <v/>
      </c>
      <c r="G49" s="15"/>
      <c r="H49" s="37" t="str">
        <f>IF(ISNUMBER(G49), (G49 - $B49) / $B49, "")</f>
        <v/>
      </c>
      <c r="I49" s="19" t="str">
        <f>IF(ISNUMBER(G49), $B64 * H49, "")</f>
        <v/>
      </c>
      <c r="J49" s="15"/>
      <c r="K49" s="37" t="str">
        <f>IF(ISNUMBER(J49), (J49 - $B49) / $B49, "")</f>
        <v/>
      </c>
      <c r="L49" s="19" t="str">
        <f>IF(ISNUMBER(J49), $B64 * K49, "")</f>
        <v/>
      </c>
      <c r="M49" s="15"/>
      <c r="N49" s="37" t="str">
        <f>IF(ISNUMBER(M49), (M49 - $B49) / $B49, "")</f>
        <v/>
      </c>
      <c r="O49" s="19" t="str">
        <f>IF(ISNUMBER(M49), $B64 * N49, "")</f>
        <v/>
      </c>
      <c r="Q49" s="127"/>
      <c r="R49" s="127"/>
      <c r="S49" s="127"/>
    </row>
    <row r="50" spans="1:19" ht="17.25" customHeight="1" thickBot="1">
      <c r="A50" s="32"/>
      <c r="B50" s="33"/>
      <c r="C50" s="16"/>
      <c r="D50" s="15"/>
      <c r="E50" s="16" t="str">
        <f t="shared" ref="E50:E53" si="18">IF(ISNUMBER(D50), (D50 - $B50) / $B50, "")</f>
        <v/>
      </c>
      <c r="F50" s="19" t="str">
        <f>IF(ISNUMBER(D50), $B64 * E50, "")</f>
        <v/>
      </c>
      <c r="G50" s="15"/>
      <c r="H50" s="16" t="str">
        <f t="shared" ref="H50:H53" si="19">IF(ISNUMBER(G50), (G50 - $B50) / $B50, "")</f>
        <v/>
      </c>
      <c r="I50" s="19" t="str">
        <f>IF(ISNUMBER(G50), $B64 * H50, "")</f>
        <v/>
      </c>
      <c r="J50" s="15"/>
      <c r="K50" s="16" t="str">
        <f t="shared" ref="K50:K53" si="20">IF(ISNUMBER(J50), (J50 - $B50) / $B50, "")</f>
        <v/>
      </c>
      <c r="L50" s="19" t="str">
        <f>IF(ISNUMBER(J50), $B64 * K50, "")</f>
        <v/>
      </c>
      <c r="M50" s="15"/>
      <c r="N50" s="16" t="str">
        <f t="shared" ref="N50:N53" si="21">IF(ISNUMBER(M50), (M50 - $B50) / $B50, "")</f>
        <v/>
      </c>
      <c r="O50" s="19" t="str">
        <f>IF(ISNUMBER(M50), $B64 * N50, "")</f>
        <v/>
      </c>
      <c r="Q50" s="127"/>
      <c r="R50" s="127"/>
      <c r="S50" s="127"/>
    </row>
    <row r="51" spans="1:19" ht="17.25" customHeight="1" thickBot="1">
      <c r="A51" s="32"/>
      <c r="B51" s="33"/>
      <c r="C51" s="16"/>
      <c r="D51" s="15"/>
      <c r="E51" s="16" t="str">
        <f t="shared" si="18"/>
        <v/>
      </c>
      <c r="F51" s="19" t="str">
        <f>IF(ISNUMBER(D51), $B64 * E51, "")</f>
        <v/>
      </c>
      <c r="G51" s="15"/>
      <c r="H51" s="16" t="str">
        <f t="shared" si="19"/>
        <v/>
      </c>
      <c r="I51" s="19" t="str">
        <f>IF(ISNUMBER(G51), $B64 * H51, "")</f>
        <v/>
      </c>
      <c r="J51" s="15"/>
      <c r="K51" s="16" t="str">
        <f t="shared" si="20"/>
        <v/>
      </c>
      <c r="L51" s="19" t="str">
        <f>IF(ISNUMBER(J51), $B64 * K51, "")</f>
        <v/>
      </c>
      <c r="M51" s="15"/>
      <c r="N51" s="16" t="str">
        <f t="shared" si="21"/>
        <v/>
      </c>
      <c r="O51" s="19" t="str">
        <f>IF(ISNUMBER(M51), $B64 * N51, "")</f>
        <v/>
      </c>
      <c r="Q51" s="127"/>
      <c r="R51" s="127"/>
      <c r="S51" s="127"/>
    </row>
    <row r="52" spans="1:19" ht="17.25" customHeight="1" thickBot="1">
      <c r="A52" s="32"/>
      <c r="B52" s="33"/>
      <c r="C52" s="16"/>
      <c r="D52" s="15"/>
      <c r="E52" s="16" t="str">
        <f t="shared" si="18"/>
        <v/>
      </c>
      <c r="F52" s="19" t="str">
        <f>IF(ISNUMBER(D52), $B64 * E52, "")</f>
        <v/>
      </c>
      <c r="G52" s="15"/>
      <c r="H52" s="16" t="str">
        <f t="shared" si="19"/>
        <v/>
      </c>
      <c r="I52" s="19" t="str">
        <f>IF(ISNUMBER(G52), $B64 * H52, "")</f>
        <v/>
      </c>
      <c r="J52" s="15"/>
      <c r="K52" s="16" t="str">
        <f t="shared" si="20"/>
        <v/>
      </c>
      <c r="L52" s="19" t="str">
        <f>IF(ISNUMBER(J52), $B64 * K52, "")</f>
        <v/>
      </c>
      <c r="M52" s="15"/>
      <c r="N52" s="16" t="str">
        <f t="shared" si="21"/>
        <v/>
      </c>
      <c r="O52" s="19" t="str">
        <f>IF(ISNUMBER(M52), $B64 * N52, "")</f>
        <v/>
      </c>
      <c r="Q52" s="38"/>
      <c r="R52" s="38"/>
    </row>
    <row r="53" spans="1:19" ht="17.25" customHeight="1" thickBot="1">
      <c r="A53" s="34"/>
      <c r="B53" s="35"/>
      <c r="C53" s="22"/>
      <c r="D53" s="21"/>
      <c r="E53" s="22" t="str">
        <f t="shared" si="18"/>
        <v/>
      </c>
      <c r="F53" s="19" t="str">
        <f>IF(ISNUMBER(D53), $B64 * E53, "")</f>
        <v/>
      </c>
      <c r="G53" s="21"/>
      <c r="H53" s="22" t="str">
        <f t="shared" si="19"/>
        <v/>
      </c>
      <c r="I53" s="19" t="str">
        <f>IF(ISNUMBER(G53), $B64 * H53, "")</f>
        <v/>
      </c>
      <c r="J53" s="21"/>
      <c r="K53" s="22" t="str">
        <f t="shared" si="20"/>
        <v/>
      </c>
      <c r="L53" s="19" t="str">
        <f>IF(ISNUMBER(J53), $B64 * K53, "")</f>
        <v/>
      </c>
      <c r="M53" s="21"/>
      <c r="N53" s="22" t="str">
        <f t="shared" si="21"/>
        <v/>
      </c>
      <c r="O53" s="19" t="str">
        <f>IF(ISNUMBER(M53), $B64 * N53, "")</f>
        <v/>
      </c>
      <c r="Q53" s="139"/>
      <c r="R53" s="140"/>
      <c r="S53" s="141"/>
    </row>
    <row r="54" spans="1:19" ht="17.25" customHeight="1">
      <c r="A54" s="30"/>
      <c r="B54" s="31"/>
      <c r="C54" s="14"/>
      <c r="D54" s="13"/>
      <c r="E54" s="14" t="str">
        <f>IF(ISNUMBER(D54), (D54 - $B54) / $B54, "")</f>
        <v/>
      </c>
      <c r="F54" s="17" t="str">
        <f>IF(ISNUMBER(D54), $B64 * E54, "")</f>
        <v/>
      </c>
      <c r="G54" s="13"/>
      <c r="H54" s="14" t="str">
        <f>IF(ISNUMBER(G54), (G54 - $B54) / $B54, "")</f>
        <v/>
      </c>
      <c r="I54" s="17" t="str">
        <f>IF(ISNUMBER(G54), $B64 * H54, "")</f>
        <v/>
      </c>
      <c r="J54" s="13"/>
      <c r="K54" s="14" t="str">
        <f>IF(ISNUMBER(J54), (J54 - $B54) / $B54, "")</f>
        <v/>
      </c>
      <c r="L54" s="17" t="str">
        <f>IF(ISNUMBER(J54), $B64 * K54, "")</f>
        <v/>
      </c>
      <c r="M54" s="13"/>
      <c r="N54" s="14" t="str">
        <f>IF(ISNUMBER(M54), (M54 - $B54) / $B54, "")</f>
        <v/>
      </c>
      <c r="O54" s="17" t="str">
        <f>IF(ISNUMBER(M54), $B64 * N54, "")</f>
        <v/>
      </c>
      <c r="Q54" s="142"/>
      <c r="R54" s="143"/>
      <c r="S54" s="144"/>
    </row>
    <row r="55" spans="1:19" ht="17.25" customHeight="1" thickBot="1">
      <c r="A55" s="32"/>
      <c r="B55" s="33"/>
      <c r="C55" s="16"/>
      <c r="D55" s="15"/>
      <c r="E55" s="16" t="str">
        <f t="shared" ref="E55:E58" si="22">IF(ISNUMBER(D55), (D55 - $B55) / $B55, "")</f>
        <v/>
      </c>
      <c r="F55" s="19" t="str">
        <f>IF(ISNUMBER(D55), $B64 * E55, "")</f>
        <v/>
      </c>
      <c r="G55" s="15"/>
      <c r="H55" s="16" t="str">
        <f t="shared" ref="H55:H58" si="23">IF(ISNUMBER(G55), (G55 - $B55) / $B55, "")</f>
        <v/>
      </c>
      <c r="I55" s="19" t="str">
        <f>IF(ISNUMBER(G55), $B64 * H55, "")</f>
        <v/>
      </c>
      <c r="J55" s="15"/>
      <c r="K55" s="16" t="str">
        <f t="shared" ref="K55:K58" si="24">IF(ISNUMBER(J55), (J55 - $B55) / $B55, "")</f>
        <v/>
      </c>
      <c r="L55" s="19" t="str">
        <f>IF(ISNUMBER(J55), $B64 * K55, "")</f>
        <v/>
      </c>
      <c r="M55" s="15"/>
      <c r="N55" s="16" t="str">
        <f t="shared" ref="N55:N58" si="25">IF(ISNUMBER(M55), (M55 - $B55) / $B55, "")</f>
        <v/>
      </c>
      <c r="O55" s="19" t="str">
        <f>IF(ISNUMBER(M55), $B64 * N55, "")</f>
        <v/>
      </c>
      <c r="Q55" s="145"/>
      <c r="R55" s="146"/>
      <c r="S55" s="147"/>
    </row>
    <row r="56" spans="1:19" ht="17.25" customHeight="1" thickBot="1">
      <c r="A56" s="32"/>
      <c r="B56" s="33"/>
      <c r="C56" s="16"/>
      <c r="D56" s="15"/>
      <c r="E56" s="16" t="str">
        <f t="shared" si="22"/>
        <v/>
      </c>
      <c r="F56" s="19" t="str">
        <f>IF(ISNUMBER(D56), $B64 * E56, "")</f>
        <v/>
      </c>
      <c r="G56" s="15"/>
      <c r="H56" s="16" t="str">
        <f t="shared" si="23"/>
        <v/>
      </c>
      <c r="I56" s="19" t="str">
        <f>IF(ISNUMBER(G56), $B64 * H56, "")</f>
        <v/>
      </c>
      <c r="J56" s="15"/>
      <c r="K56" s="16" t="str">
        <f t="shared" si="24"/>
        <v/>
      </c>
      <c r="L56" s="19" t="str">
        <f>IF(ISNUMBER(J56), $B64 * K56, "")</f>
        <v/>
      </c>
      <c r="M56" s="15"/>
      <c r="N56" s="16" t="str">
        <f t="shared" si="25"/>
        <v/>
      </c>
      <c r="O56" s="19" t="str">
        <f>IF(ISNUMBER(M56), $B64 * N56, "")</f>
        <v/>
      </c>
      <c r="Q56" s="127"/>
      <c r="R56" s="127"/>
      <c r="S56" s="127"/>
    </row>
    <row r="57" spans="1:19" ht="17.25" customHeight="1" thickBot="1">
      <c r="A57" s="32"/>
      <c r="B57" s="33"/>
      <c r="C57" s="16"/>
      <c r="D57" s="15"/>
      <c r="E57" s="16" t="str">
        <f t="shared" si="22"/>
        <v/>
      </c>
      <c r="F57" s="19" t="str">
        <f>IF(ISNUMBER(D57), $B64 * E57, "")</f>
        <v/>
      </c>
      <c r="G57" s="15"/>
      <c r="H57" s="16" t="str">
        <f t="shared" si="23"/>
        <v/>
      </c>
      <c r="I57" s="19" t="str">
        <f>IF(ISNUMBER(G57), $B64 * H57, "")</f>
        <v/>
      </c>
      <c r="J57" s="15"/>
      <c r="K57" s="16" t="str">
        <f t="shared" si="24"/>
        <v/>
      </c>
      <c r="L57" s="19" t="str">
        <f>IF(ISNUMBER(J57), $B64 * K57, "")</f>
        <v/>
      </c>
      <c r="M57" s="15"/>
      <c r="N57" s="16" t="str">
        <f t="shared" si="25"/>
        <v/>
      </c>
      <c r="O57" s="19" t="str">
        <f>IF(ISNUMBER(M57), $B64 * N57, "")</f>
        <v/>
      </c>
      <c r="Q57" s="148"/>
      <c r="R57" s="148"/>
      <c r="S57" s="148"/>
    </row>
    <row r="58" spans="1:19" ht="17.25" customHeight="1" thickBot="1">
      <c r="A58" s="34"/>
      <c r="B58" s="35"/>
      <c r="C58" s="22"/>
      <c r="D58" s="21"/>
      <c r="E58" s="22" t="str">
        <f t="shared" si="22"/>
        <v/>
      </c>
      <c r="F58" s="23" t="str">
        <f>IF(ISNUMBER(D58), $B64 * E58, "")</f>
        <v/>
      </c>
      <c r="G58" s="21"/>
      <c r="H58" s="22" t="str">
        <f t="shared" si="23"/>
        <v/>
      </c>
      <c r="I58" s="23" t="str">
        <f>IF(ISNUMBER(G58), $B64 * H58, "")</f>
        <v/>
      </c>
      <c r="J58" s="21"/>
      <c r="K58" s="22" t="str">
        <f t="shared" si="24"/>
        <v/>
      </c>
      <c r="L58" s="23" t="str">
        <f>IF(ISNUMBER(J58), $B64 * K58, "")</f>
        <v/>
      </c>
      <c r="M58" s="21"/>
      <c r="N58" s="22" t="str">
        <f t="shared" si="25"/>
        <v/>
      </c>
      <c r="O58" s="23" t="str">
        <f>IF(ISNUMBER(M58), $B64 * N58, "")</f>
        <v/>
      </c>
      <c r="Q58" s="148"/>
      <c r="R58" s="148"/>
      <c r="S58" s="148"/>
    </row>
    <row r="59" spans="1:19" ht="17.25" customHeight="1" thickBot="1">
      <c r="A59" s="32"/>
      <c r="B59" s="36"/>
      <c r="C59" s="37"/>
      <c r="D59" s="15"/>
      <c r="E59" s="37" t="str">
        <f>IF(ISNUMBER(D59), (D59 - $B59) / $B59, "")</f>
        <v/>
      </c>
      <c r="F59" s="19" t="str">
        <f>IF(ISNUMBER(D59), $B64 * E59, "")</f>
        <v/>
      </c>
      <c r="G59" s="15"/>
      <c r="H59" s="37" t="str">
        <f>IF(ISNUMBER(G59), (G59 - $B59) / $B59, "")</f>
        <v/>
      </c>
      <c r="I59" s="19" t="str">
        <f>IF(ISNUMBER(G59), $B64 * H59, "")</f>
        <v/>
      </c>
      <c r="J59" s="15"/>
      <c r="K59" s="37" t="str">
        <f>IF(ISNUMBER(J59), (J59 - $B59) / $B59, "")</f>
        <v/>
      </c>
      <c r="L59" s="19" t="str">
        <f>IF(ISNUMBER(J59), $B64 * K59, "")</f>
        <v/>
      </c>
      <c r="M59" s="15"/>
      <c r="N59" s="37" t="str">
        <f>IF(ISNUMBER(M59), (M59 - $B59) / $B59, "")</f>
        <v/>
      </c>
      <c r="O59" s="19" t="str">
        <f>IF(ISNUMBER(M59), $B64 * N59, "")</f>
        <v/>
      </c>
      <c r="Q59" s="127"/>
      <c r="R59" s="127"/>
      <c r="S59" s="127"/>
    </row>
    <row r="60" spans="1:19" ht="17.25" customHeight="1" thickBot="1">
      <c r="A60" s="32"/>
      <c r="B60" s="33"/>
      <c r="C60" s="16"/>
      <c r="D60" s="15"/>
      <c r="E60" s="16" t="str">
        <f t="shared" ref="E60:E63" si="26">IF(ISNUMBER(D60), (D60 - $B60) / $B60, "")</f>
        <v/>
      </c>
      <c r="F60" s="19" t="str">
        <f>IF(ISNUMBER(D60), $B64 * E60, "")</f>
        <v/>
      </c>
      <c r="G60" s="15"/>
      <c r="H60" s="16" t="str">
        <f t="shared" ref="H60:H63" si="27">IF(ISNUMBER(G60), (G60 - $B60) / $B60, "")</f>
        <v/>
      </c>
      <c r="I60" s="19" t="str">
        <f>IF(ISNUMBER(G60), $B64 * H60, "")</f>
        <v/>
      </c>
      <c r="J60" s="15"/>
      <c r="K60" s="16" t="str">
        <f t="shared" ref="K60:K63" si="28">IF(ISNUMBER(J60), (J60 - $B60) / $B60, "")</f>
        <v/>
      </c>
      <c r="L60" s="19" t="str">
        <f>IF(ISNUMBER(J60), $B64 * K60, "")</f>
        <v/>
      </c>
      <c r="M60" s="15"/>
      <c r="N60" s="16" t="str">
        <f t="shared" ref="N60:N63" si="29">IF(ISNUMBER(M60), (M60 - $B60) / $B60, "")</f>
        <v/>
      </c>
      <c r="O60" s="19" t="str">
        <f>IF(ISNUMBER(M60), $B64 * N60, "")</f>
        <v/>
      </c>
      <c r="Q60" s="127"/>
      <c r="R60" s="127"/>
      <c r="S60" s="127"/>
    </row>
    <row r="61" spans="1:19" ht="17.25" customHeight="1" thickBot="1">
      <c r="A61" s="32"/>
      <c r="B61" s="33"/>
      <c r="C61" s="16"/>
      <c r="D61" s="15"/>
      <c r="E61" s="16" t="str">
        <f t="shared" si="26"/>
        <v/>
      </c>
      <c r="F61" s="19" t="str">
        <f>IF(ISNUMBER(D61), $B64 * E61, "")</f>
        <v/>
      </c>
      <c r="G61" s="15"/>
      <c r="H61" s="16" t="str">
        <f t="shared" si="27"/>
        <v/>
      </c>
      <c r="I61" s="19" t="str">
        <f>IF(ISNUMBER(G61), $B64 * H61, "")</f>
        <v/>
      </c>
      <c r="J61" s="15"/>
      <c r="K61" s="16" t="str">
        <f t="shared" si="28"/>
        <v/>
      </c>
      <c r="L61" s="19" t="str">
        <f>IF(ISNUMBER(J61), $B64 * K61, "")</f>
        <v/>
      </c>
      <c r="M61" s="15"/>
      <c r="N61" s="16" t="str">
        <f t="shared" si="29"/>
        <v/>
      </c>
      <c r="O61" s="19" t="str">
        <f>IF(ISNUMBER(M61), $B64 * N61, "")</f>
        <v/>
      </c>
      <c r="Q61" s="127"/>
      <c r="R61" s="127"/>
      <c r="S61" s="127"/>
    </row>
    <row r="62" spans="1:19" ht="17.25" customHeight="1">
      <c r="A62" s="32"/>
      <c r="B62" s="33"/>
      <c r="C62" s="16"/>
      <c r="D62" s="15"/>
      <c r="E62" s="16" t="str">
        <f t="shared" si="26"/>
        <v/>
      </c>
      <c r="F62" s="19" t="str">
        <f>IF(ISNUMBER(D62), $B64 * E62, "")</f>
        <v/>
      </c>
      <c r="G62" s="15"/>
      <c r="H62" s="16" t="str">
        <f t="shared" si="27"/>
        <v/>
      </c>
      <c r="I62" s="19" t="str">
        <f>IF(ISNUMBER(G62), $B64 * H62, "")</f>
        <v/>
      </c>
      <c r="J62" s="15"/>
      <c r="K62" s="16" t="str">
        <f t="shared" si="28"/>
        <v/>
      </c>
      <c r="L62" s="19" t="str">
        <f>IF(ISNUMBER(J62), $B64 * K62, "")</f>
        <v/>
      </c>
      <c r="M62" s="15"/>
      <c r="N62" s="16" t="str">
        <f t="shared" si="29"/>
        <v/>
      </c>
      <c r="O62" s="19" t="str">
        <f>IF(ISNUMBER(M62), $B64 * N62, "")</f>
        <v/>
      </c>
      <c r="Q62" s="128"/>
      <c r="R62" s="129"/>
      <c r="S62" s="130"/>
    </row>
    <row r="63" spans="1:19" ht="17.25" customHeight="1" thickBot="1">
      <c r="A63" s="34"/>
      <c r="B63" s="35"/>
      <c r="C63" s="22"/>
      <c r="D63" s="21"/>
      <c r="E63" s="22" t="str">
        <f t="shared" si="26"/>
        <v/>
      </c>
      <c r="F63" s="19" t="str">
        <f>IF(ISNUMBER(D63), $B64 * E63, "")</f>
        <v/>
      </c>
      <c r="G63" s="21"/>
      <c r="H63" s="22" t="str">
        <f t="shared" si="27"/>
        <v/>
      </c>
      <c r="I63" s="19" t="str">
        <f>IF(ISNUMBER(G63), $B64 * H63, "")</f>
        <v/>
      </c>
      <c r="J63" s="21"/>
      <c r="K63" s="22" t="str">
        <f t="shared" si="28"/>
        <v/>
      </c>
      <c r="L63" s="19" t="str">
        <f>IF(ISNUMBER(J63), $B64 * K63, "")</f>
        <v/>
      </c>
      <c r="M63" s="21"/>
      <c r="N63" s="22" t="str">
        <f t="shared" si="29"/>
        <v/>
      </c>
      <c r="O63" s="19" t="str">
        <f>IF(ISNUMBER(M63), $B64 * N63, "")</f>
        <v/>
      </c>
      <c r="Q63" s="131"/>
      <c r="R63" s="132"/>
      <c r="S63" s="133"/>
    </row>
    <row r="64" spans="1:19" ht="17.25" customHeight="1" thickBot="1">
      <c r="A64" s="27" t="s">
        <v>42</v>
      </c>
      <c r="B64" s="137">
        <f>$B$37</f>
        <v>300000</v>
      </c>
      <c r="C64" s="138"/>
      <c r="D64" s="27" t="s">
        <v>43</v>
      </c>
      <c r="E64" s="28">
        <f>IF(COUNT(E44:E63), SUM(E44:E63) / COUNT(E44:E63), 0)</f>
        <v>0</v>
      </c>
      <c r="F64" s="29">
        <f>SUM(F44:F63)</f>
        <v>0</v>
      </c>
      <c r="G64" s="27" t="s">
        <v>43</v>
      </c>
      <c r="H64" s="28">
        <f>IF(COUNT(H44:H63), SUM(H44:H63) / COUNT(H44:H63), 0)</f>
        <v>0</v>
      </c>
      <c r="I64" s="29">
        <f>SUM(I44:I63)</f>
        <v>0</v>
      </c>
      <c r="J64" s="27" t="s">
        <v>43</v>
      </c>
      <c r="K64" s="28">
        <f>IF(COUNT(K44:K63), SUM(K44:K63) / COUNT(K44:K63), 0)</f>
        <v>0</v>
      </c>
      <c r="L64" s="29">
        <f>SUM(L44:L63)</f>
        <v>0</v>
      </c>
      <c r="M64" s="27" t="s">
        <v>43</v>
      </c>
      <c r="N64" s="28">
        <f>IF(COUNT(N44:N63), SUM(N44:N63) / COUNT(N44:N63), 0)</f>
        <v>0</v>
      </c>
      <c r="O64" s="29">
        <f>SUM(O44:O63)</f>
        <v>0</v>
      </c>
      <c r="Q64" s="134"/>
      <c r="R64" s="135"/>
      <c r="S64" s="136"/>
    </row>
    <row r="65" spans="1:19" ht="17.25" customHeight="1"/>
    <row r="66" spans="1:19" ht="17.25" customHeight="1" thickBot="1"/>
    <row r="67" spans="1:19" ht="17.25" thickBot="1">
      <c r="A67" s="149" t="s">
        <v>45</v>
      </c>
      <c r="B67" s="150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1"/>
      <c r="Q67" s="148"/>
      <c r="R67" s="148"/>
      <c r="S67" s="148"/>
    </row>
    <row r="68" spans="1:19" ht="17.25" thickBot="1">
      <c r="A68" s="66" t="s">
        <v>35</v>
      </c>
      <c r="B68" s="149" t="s">
        <v>36</v>
      </c>
      <c r="C68" s="151"/>
      <c r="D68" s="149" t="s">
        <v>37</v>
      </c>
      <c r="E68" s="150"/>
      <c r="F68" s="151"/>
      <c r="G68" s="152">
        <f>_xlfn.IFNA(VLOOKUP(B68, 현재가테이블!$B$2:$D$200, 2, FALSE), "-")</f>
        <v>68203000</v>
      </c>
      <c r="H68" s="153"/>
      <c r="I68" s="154"/>
      <c r="J68" s="149" t="s">
        <v>38</v>
      </c>
      <c r="K68" s="150"/>
      <c r="L68" s="151"/>
      <c r="M68" s="155">
        <f>_xlfn.IFNA(VLOOKUP(B68, 현재가테이블!$B$2:$D$200, 3, FALSE), "-")</f>
        <v>-1.22521687E-2</v>
      </c>
      <c r="N68" s="156"/>
      <c r="O68" s="157"/>
      <c r="Q68" s="148"/>
      <c r="R68" s="148"/>
      <c r="S68" s="148"/>
    </row>
    <row r="69" spans="1:19" ht="17.25" thickBot="1">
      <c r="A69" s="158" t="s">
        <v>39</v>
      </c>
      <c r="B69" s="159" t="str">
        <f>TEXT($G$1, "[$-ko-KR]yyyy-mm-dd(ddd) ") &amp; "오전 00:00"</f>
        <v>2021-04-01(목) 오전 00:00</v>
      </c>
      <c r="C69" s="160"/>
      <c r="D69" s="161" t="str">
        <f>TEXT($G$1, "[$-ko-KR]yyyy-mm-dd(ddd) ") &amp; "오후 14:00"</f>
        <v>2021-04-01(목) 오후 14:00</v>
      </c>
      <c r="E69" s="162"/>
      <c r="F69" s="163"/>
      <c r="G69" s="161" t="str">
        <f>TEXT($G$1, "[$-ko-KR]yyyy-mm-dd(ddd) ") &amp; "오후 19:00"</f>
        <v>2021-04-01(목) 오후 19:00</v>
      </c>
      <c r="H69" s="162"/>
      <c r="I69" s="163"/>
      <c r="J69" s="164" t="str">
        <f>TEXT($G$1, "[$-ko-KR]yyyy-mm-dd(ddd) ") &amp; "오후 21:00"</f>
        <v>2021-04-01(목) 오후 21:00</v>
      </c>
      <c r="K69" s="164"/>
      <c r="L69" s="164"/>
      <c r="M69" s="161" t="str">
        <f>TEXT($G$1+1, "[$-ko-KR]yyyy-mm-dd(ddd) ") &amp; "오전 00:00"</f>
        <v>2021-04-02(금) 오전 00:00</v>
      </c>
      <c r="N69" s="162"/>
      <c r="O69" s="163"/>
      <c r="Q69" s="148"/>
      <c r="R69" s="148"/>
      <c r="S69" s="148"/>
    </row>
    <row r="70" spans="1:19" ht="17.25" thickBot="1">
      <c r="A70" s="158"/>
      <c r="B70" s="2" t="s">
        <v>37</v>
      </c>
      <c r="C70" s="10" t="s">
        <v>38</v>
      </c>
      <c r="D70" s="2" t="s">
        <v>37</v>
      </c>
      <c r="E70" s="10" t="s">
        <v>40</v>
      </c>
      <c r="F70" s="11" t="s">
        <v>41</v>
      </c>
      <c r="G70" s="2" t="s">
        <v>37</v>
      </c>
      <c r="H70" s="10" t="s">
        <v>40</v>
      </c>
      <c r="I70" s="11" t="s">
        <v>41</v>
      </c>
      <c r="J70" s="10" t="s">
        <v>37</v>
      </c>
      <c r="K70" s="10" t="s">
        <v>40</v>
      </c>
      <c r="L70" s="70" t="s">
        <v>41</v>
      </c>
      <c r="M70" s="2" t="s">
        <v>37</v>
      </c>
      <c r="N70" s="10" t="s">
        <v>40</v>
      </c>
      <c r="O70" s="72" t="s">
        <v>41</v>
      </c>
      <c r="Q70" s="127"/>
      <c r="R70" s="127"/>
      <c r="S70" s="127"/>
    </row>
    <row r="71" spans="1:19" ht="17.25" thickBot="1">
      <c r="A71" s="30"/>
      <c r="B71" s="31"/>
      <c r="C71" s="14"/>
      <c r="D71" s="13"/>
      <c r="E71" s="14" t="str">
        <f>IF(ISNUMBER(D71), (D71 - $B71) / $B71, "")</f>
        <v/>
      </c>
      <c r="F71" s="17" t="str">
        <f>IF(ISNUMBER(D71), $B91 * E71, "")</f>
        <v/>
      </c>
      <c r="G71" s="13"/>
      <c r="H71" s="14" t="str">
        <f>IF(ISNUMBER(G71), (G71 - $B71) / $B71, "")</f>
        <v/>
      </c>
      <c r="I71" s="17" t="str">
        <f>IF(ISNUMBER(G71), $B91 * H71, "")</f>
        <v/>
      </c>
      <c r="J71" s="13"/>
      <c r="K71" s="14" t="str">
        <f>IF(ISNUMBER(J71), (J71 - $B71) / $B71, "")</f>
        <v/>
      </c>
      <c r="L71" s="17" t="str">
        <f>IF(ISNUMBER(J71), $B91 * K71, "")</f>
        <v/>
      </c>
      <c r="M71" s="13"/>
      <c r="N71" s="14" t="str">
        <f>IF(ISNUMBER(M71), (M71 - $B71) / $B71, "")</f>
        <v/>
      </c>
      <c r="O71" s="17" t="str">
        <f>IF(ISNUMBER(M71), $B91 * N71, "")</f>
        <v/>
      </c>
      <c r="Q71" s="148"/>
      <c r="R71" s="148"/>
      <c r="S71" s="148"/>
    </row>
    <row r="72" spans="1:19" ht="17.25" thickBot="1">
      <c r="A72" s="32"/>
      <c r="B72" s="33"/>
      <c r="C72" s="16"/>
      <c r="D72" s="15"/>
      <c r="E72" s="16" t="str">
        <f t="shared" ref="E72:E75" si="30">IF(ISNUMBER(D72), (D72 - $B72) / $B72, "")</f>
        <v/>
      </c>
      <c r="F72" s="19" t="str">
        <f>IF(ISNUMBER(D72), $B91 * E72, "")</f>
        <v/>
      </c>
      <c r="G72" s="15"/>
      <c r="H72" s="16" t="str">
        <f t="shared" ref="H72:H75" si="31">IF(ISNUMBER(G72), (G72 - $B72) / $B72, "")</f>
        <v/>
      </c>
      <c r="I72" s="19" t="str">
        <f>IF(ISNUMBER(G72), $B91 * H72, "")</f>
        <v/>
      </c>
      <c r="J72" s="15"/>
      <c r="K72" s="16" t="str">
        <f t="shared" ref="K72:K75" si="32">IF(ISNUMBER(J72), (J72 - $B72) / $B72, "")</f>
        <v/>
      </c>
      <c r="L72" s="19" t="str">
        <f>IF(ISNUMBER(J72), $B91 * K72, "")</f>
        <v/>
      </c>
      <c r="M72" s="15"/>
      <c r="N72" s="16" t="str">
        <f t="shared" ref="N72:N75" si="33">IF(ISNUMBER(M72), (M72 - $B72) / $B72, "")</f>
        <v/>
      </c>
      <c r="O72" s="19" t="str">
        <f>IF(ISNUMBER(M72), $B91 * N72, "")</f>
        <v/>
      </c>
      <c r="Q72" s="148"/>
      <c r="R72" s="148"/>
      <c r="S72" s="148"/>
    </row>
    <row r="73" spans="1:19" ht="17.25" thickBot="1">
      <c r="A73" s="32"/>
      <c r="B73" s="33"/>
      <c r="C73" s="16"/>
      <c r="D73" s="15"/>
      <c r="E73" s="16" t="str">
        <f t="shared" si="30"/>
        <v/>
      </c>
      <c r="F73" s="19" t="str">
        <f>IF(ISNUMBER(D73), $B91 * E73, "")</f>
        <v/>
      </c>
      <c r="G73" s="15"/>
      <c r="H73" s="16" t="str">
        <f t="shared" si="31"/>
        <v/>
      </c>
      <c r="I73" s="19" t="str">
        <f>IF(ISNUMBER(G73), $B91 * H73, "")</f>
        <v/>
      </c>
      <c r="J73" s="15"/>
      <c r="K73" s="16" t="str">
        <f t="shared" si="32"/>
        <v/>
      </c>
      <c r="L73" s="19" t="str">
        <f>IF(ISNUMBER(J73), $B91 * K73, "")</f>
        <v/>
      </c>
      <c r="M73" s="15"/>
      <c r="N73" s="16" t="str">
        <f t="shared" si="33"/>
        <v/>
      </c>
      <c r="O73" s="19" t="str">
        <f>IF(ISNUMBER(M73), $B91 * N73, "")</f>
        <v/>
      </c>
      <c r="Q73" s="127"/>
      <c r="R73" s="127"/>
      <c r="S73" s="127"/>
    </row>
    <row r="74" spans="1:19" ht="17.25" thickBot="1">
      <c r="A74" s="32"/>
      <c r="B74" s="33"/>
      <c r="C74" s="16"/>
      <c r="D74" s="15"/>
      <c r="E74" s="16" t="str">
        <f t="shared" si="30"/>
        <v/>
      </c>
      <c r="F74" s="19" t="str">
        <f>IF(ISNUMBER(D74), $B91 * E74, "")</f>
        <v/>
      </c>
      <c r="G74" s="15"/>
      <c r="H74" s="16" t="str">
        <f t="shared" si="31"/>
        <v/>
      </c>
      <c r="I74" s="19" t="str">
        <f>IF(ISNUMBER(G74), $B91 * H74, "")</f>
        <v/>
      </c>
      <c r="J74" s="15"/>
      <c r="K74" s="16" t="str">
        <f t="shared" si="32"/>
        <v/>
      </c>
      <c r="L74" s="19" t="str">
        <f>IF(ISNUMBER(J74), $B91 * K74, "")</f>
        <v/>
      </c>
      <c r="M74" s="15"/>
      <c r="N74" s="16" t="str">
        <f t="shared" si="33"/>
        <v/>
      </c>
      <c r="O74" s="19" t="str">
        <f>IF(ISNUMBER(M74), $B91 * N74, "")</f>
        <v/>
      </c>
      <c r="Q74" s="127"/>
      <c r="R74" s="127"/>
      <c r="S74" s="127"/>
    </row>
    <row r="75" spans="1:19" ht="17.25" thickBot="1">
      <c r="A75" s="34"/>
      <c r="B75" s="35"/>
      <c r="C75" s="22"/>
      <c r="D75" s="21"/>
      <c r="E75" s="22" t="str">
        <f t="shared" si="30"/>
        <v/>
      </c>
      <c r="F75" s="23" t="str">
        <f>IF(ISNUMBER(D75), $B91 * E75, "")</f>
        <v/>
      </c>
      <c r="G75" s="21"/>
      <c r="H75" s="22" t="str">
        <f t="shared" si="31"/>
        <v/>
      </c>
      <c r="I75" s="23" t="str">
        <f>IF(ISNUMBER(G75), $B91 * H75, "")</f>
        <v/>
      </c>
      <c r="J75" s="21"/>
      <c r="K75" s="22" t="str">
        <f t="shared" si="32"/>
        <v/>
      </c>
      <c r="L75" s="23" t="str">
        <f>IF(ISNUMBER(J75), $B91 * K75, "")</f>
        <v/>
      </c>
      <c r="M75" s="21"/>
      <c r="N75" s="22" t="str">
        <f t="shared" si="33"/>
        <v/>
      </c>
      <c r="O75" s="23" t="str">
        <f>IF(ISNUMBER(M75), $B91 * N75, "")</f>
        <v/>
      </c>
      <c r="Q75" s="127"/>
      <c r="R75" s="127"/>
      <c r="S75" s="127"/>
    </row>
    <row r="76" spans="1:19" ht="17.25" thickBot="1">
      <c r="A76" s="32"/>
      <c r="B76" s="36"/>
      <c r="C76" s="37"/>
      <c r="D76" s="15"/>
      <c r="E76" s="37" t="str">
        <f>IF(ISNUMBER(D76), (D76 - $B76) / $B76, "")</f>
        <v/>
      </c>
      <c r="F76" s="19" t="str">
        <f>IF(ISNUMBER(D76), $B91 * E76, "")</f>
        <v/>
      </c>
      <c r="G76" s="15"/>
      <c r="H76" s="37" t="str">
        <f>IF(ISNUMBER(G76), (G76 - $B76) / $B76, "")</f>
        <v/>
      </c>
      <c r="I76" s="19" t="str">
        <f>IF(ISNUMBER(G76), $B91 * H76, "")</f>
        <v/>
      </c>
      <c r="J76" s="15"/>
      <c r="K76" s="37" t="str">
        <f>IF(ISNUMBER(J76), (J76 - $B76) / $B76, "")</f>
        <v/>
      </c>
      <c r="L76" s="19" t="str">
        <f>IF(ISNUMBER(J76), $B91 * K76, "")</f>
        <v/>
      </c>
      <c r="M76" s="15"/>
      <c r="N76" s="37" t="str">
        <f>IF(ISNUMBER(M76), (M76 - $B76) / $B76, "")</f>
        <v/>
      </c>
      <c r="O76" s="19" t="str">
        <f>IF(ISNUMBER(M76), $B91 * N76, "")</f>
        <v/>
      </c>
      <c r="Q76" s="127"/>
      <c r="R76" s="127"/>
      <c r="S76" s="127"/>
    </row>
    <row r="77" spans="1:19" ht="17.25" thickBot="1">
      <c r="A77" s="32"/>
      <c r="B77" s="33"/>
      <c r="C77" s="16"/>
      <c r="D77" s="15"/>
      <c r="E77" s="16" t="str">
        <f t="shared" ref="E77:E80" si="34">IF(ISNUMBER(D77), (D77 - $B77) / $B77, "")</f>
        <v/>
      </c>
      <c r="F77" s="19" t="str">
        <f>IF(ISNUMBER(D77), $B91 * E77, "")</f>
        <v/>
      </c>
      <c r="G77" s="15"/>
      <c r="H77" s="16" t="str">
        <f t="shared" ref="H77:H80" si="35">IF(ISNUMBER(G77), (G77 - $B77) / $B77, "")</f>
        <v/>
      </c>
      <c r="I77" s="19" t="str">
        <f>IF(ISNUMBER(G77), $B91 * H77, "")</f>
        <v/>
      </c>
      <c r="J77" s="15"/>
      <c r="K77" s="16" t="str">
        <f t="shared" ref="K77:K80" si="36">IF(ISNUMBER(J77), (J77 - $B77) / $B77, "")</f>
        <v/>
      </c>
      <c r="L77" s="19" t="str">
        <f>IF(ISNUMBER(J77), $B91 * K77, "")</f>
        <v/>
      </c>
      <c r="M77" s="15"/>
      <c r="N77" s="16" t="str">
        <f t="shared" ref="N77:N80" si="37">IF(ISNUMBER(M77), (M77 - $B77) / $B77, "")</f>
        <v/>
      </c>
      <c r="O77" s="19" t="str">
        <f>IF(ISNUMBER(M77), $B91 * N77, "")</f>
        <v/>
      </c>
      <c r="Q77" s="127"/>
      <c r="R77" s="127"/>
      <c r="S77" s="127"/>
    </row>
    <row r="78" spans="1:19" ht="17.25" thickBot="1">
      <c r="A78" s="32"/>
      <c r="B78" s="33"/>
      <c r="C78" s="16"/>
      <c r="D78" s="15"/>
      <c r="E78" s="16" t="str">
        <f t="shared" si="34"/>
        <v/>
      </c>
      <c r="F78" s="19" t="str">
        <f>IF(ISNUMBER(D78), $B91 * E78, "")</f>
        <v/>
      </c>
      <c r="G78" s="15"/>
      <c r="H78" s="16" t="str">
        <f t="shared" si="35"/>
        <v/>
      </c>
      <c r="I78" s="19" t="str">
        <f>IF(ISNUMBER(G78), $B91 * H78, "")</f>
        <v/>
      </c>
      <c r="J78" s="15"/>
      <c r="K78" s="16" t="str">
        <f t="shared" si="36"/>
        <v/>
      </c>
      <c r="L78" s="19" t="str">
        <f>IF(ISNUMBER(J78), $B91 * K78, "")</f>
        <v/>
      </c>
      <c r="M78" s="15"/>
      <c r="N78" s="16" t="str">
        <f t="shared" si="37"/>
        <v/>
      </c>
      <c r="O78" s="19" t="str">
        <f>IF(ISNUMBER(M78), $B91 * N78, "")</f>
        <v/>
      </c>
      <c r="Q78" s="127"/>
      <c r="R78" s="127"/>
      <c r="S78" s="127"/>
    </row>
    <row r="79" spans="1:19" ht="17.25" thickBot="1">
      <c r="A79" s="32"/>
      <c r="B79" s="33"/>
      <c r="C79" s="16"/>
      <c r="D79" s="15"/>
      <c r="E79" s="16" t="str">
        <f t="shared" si="34"/>
        <v/>
      </c>
      <c r="F79" s="19" t="str">
        <f>IF(ISNUMBER(D79), $B91 * E79, "")</f>
        <v/>
      </c>
      <c r="G79" s="15"/>
      <c r="H79" s="16" t="str">
        <f t="shared" si="35"/>
        <v/>
      </c>
      <c r="I79" s="19" t="str">
        <f>IF(ISNUMBER(G79), $B91 * H79, "")</f>
        <v/>
      </c>
      <c r="J79" s="15"/>
      <c r="K79" s="16" t="str">
        <f t="shared" si="36"/>
        <v/>
      </c>
      <c r="L79" s="19" t="str">
        <f>IF(ISNUMBER(J79), $B91 * K79, "")</f>
        <v/>
      </c>
      <c r="M79" s="15"/>
      <c r="N79" s="16" t="str">
        <f t="shared" si="37"/>
        <v/>
      </c>
      <c r="O79" s="19" t="str">
        <f>IF(ISNUMBER(M79), $B91 * N79, "")</f>
        <v/>
      </c>
      <c r="Q79" s="38"/>
      <c r="R79" s="38"/>
    </row>
    <row r="80" spans="1:19" ht="17.25" thickBot="1">
      <c r="A80" s="34"/>
      <c r="B80" s="35"/>
      <c r="C80" s="22"/>
      <c r="D80" s="21"/>
      <c r="E80" s="22" t="str">
        <f t="shared" si="34"/>
        <v/>
      </c>
      <c r="F80" s="19" t="str">
        <f>IF(ISNUMBER(D80), $B91 * E80, "")</f>
        <v/>
      </c>
      <c r="G80" s="21"/>
      <c r="H80" s="22" t="str">
        <f t="shared" si="35"/>
        <v/>
      </c>
      <c r="I80" s="19" t="str">
        <f>IF(ISNUMBER(G80), $B91 * H80, "")</f>
        <v/>
      </c>
      <c r="J80" s="21"/>
      <c r="K80" s="22" t="str">
        <f t="shared" si="36"/>
        <v/>
      </c>
      <c r="L80" s="19" t="str">
        <f>IF(ISNUMBER(J80), $B91 * K80, "")</f>
        <v/>
      </c>
      <c r="M80" s="21"/>
      <c r="N80" s="22" t="str">
        <f t="shared" si="37"/>
        <v/>
      </c>
      <c r="O80" s="19" t="str">
        <f>IF(ISNUMBER(M80), $B91 * N80, "")</f>
        <v/>
      </c>
      <c r="Q80" s="139"/>
      <c r="R80" s="140"/>
      <c r="S80" s="141"/>
    </row>
    <row r="81" spans="1:19">
      <c r="A81" s="30"/>
      <c r="B81" s="31"/>
      <c r="C81" s="14"/>
      <c r="D81" s="13"/>
      <c r="E81" s="14" t="str">
        <f>IF(ISNUMBER(D81), (D81 - $B81) / $B81, "")</f>
        <v/>
      </c>
      <c r="F81" s="17" t="str">
        <f>IF(ISNUMBER(D81), $B91 * E81, "")</f>
        <v/>
      </c>
      <c r="G81" s="13"/>
      <c r="H81" s="14" t="str">
        <f>IF(ISNUMBER(G81), (G81 - $B81) / $B81, "")</f>
        <v/>
      </c>
      <c r="I81" s="17" t="str">
        <f>IF(ISNUMBER(G81), $B91 * H81, "")</f>
        <v/>
      </c>
      <c r="J81" s="13"/>
      <c r="K81" s="14" t="str">
        <f>IF(ISNUMBER(J81), (J81 - $B81) / $B81, "")</f>
        <v/>
      </c>
      <c r="L81" s="17" t="str">
        <f>IF(ISNUMBER(J81), $B91 * K81, "")</f>
        <v/>
      </c>
      <c r="M81" s="13"/>
      <c r="N81" s="14" t="str">
        <f>IF(ISNUMBER(M81), (M81 - $B81) / $B81, "")</f>
        <v/>
      </c>
      <c r="O81" s="17" t="str">
        <f>IF(ISNUMBER(M81), $B91 * N81, "")</f>
        <v/>
      </c>
      <c r="Q81" s="142"/>
      <c r="R81" s="143"/>
      <c r="S81" s="144"/>
    </row>
    <row r="82" spans="1:19" ht="17.25" thickBot="1">
      <c r="A82" s="32"/>
      <c r="B82" s="33"/>
      <c r="C82" s="16"/>
      <c r="D82" s="15"/>
      <c r="E82" s="16" t="str">
        <f t="shared" ref="E82:E85" si="38">IF(ISNUMBER(D82), (D82 - $B82) / $B82, "")</f>
        <v/>
      </c>
      <c r="F82" s="19" t="str">
        <f>IF(ISNUMBER(D82), $B91 * E82, "")</f>
        <v/>
      </c>
      <c r="G82" s="15"/>
      <c r="H82" s="16" t="str">
        <f t="shared" ref="H82:H85" si="39">IF(ISNUMBER(G82), (G82 - $B82) / $B82, "")</f>
        <v/>
      </c>
      <c r="I82" s="19" t="str">
        <f>IF(ISNUMBER(G82), $B91 * H82, "")</f>
        <v/>
      </c>
      <c r="J82" s="15"/>
      <c r="K82" s="16" t="str">
        <f t="shared" ref="K82:K85" si="40">IF(ISNUMBER(J82), (J82 - $B82) / $B82, "")</f>
        <v/>
      </c>
      <c r="L82" s="19" t="str">
        <f>IF(ISNUMBER(J82), $B91 * K82, "")</f>
        <v/>
      </c>
      <c r="M82" s="15"/>
      <c r="N82" s="16" t="str">
        <f t="shared" ref="N82:N85" si="41">IF(ISNUMBER(M82), (M82 - $B82) / $B82, "")</f>
        <v/>
      </c>
      <c r="O82" s="19" t="str">
        <f>IF(ISNUMBER(M82), $B91 * N82, "")</f>
        <v/>
      </c>
      <c r="Q82" s="145"/>
      <c r="R82" s="146"/>
      <c r="S82" s="147"/>
    </row>
    <row r="83" spans="1:19" ht="17.25" thickBot="1">
      <c r="A83" s="32"/>
      <c r="B83" s="33"/>
      <c r="C83" s="16"/>
      <c r="D83" s="15"/>
      <c r="E83" s="16" t="str">
        <f t="shared" si="38"/>
        <v/>
      </c>
      <c r="F83" s="19" t="str">
        <f>IF(ISNUMBER(D83), $B91 * E83, "")</f>
        <v/>
      </c>
      <c r="G83" s="15"/>
      <c r="H83" s="16" t="str">
        <f t="shared" si="39"/>
        <v/>
      </c>
      <c r="I83" s="19" t="str">
        <f>IF(ISNUMBER(G83), $B91 * H83, "")</f>
        <v/>
      </c>
      <c r="J83" s="15"/>
      <c r="K83" s="16" t="str">
        <f t="shared" si="40"/>
        <v/>
      </c>
      <c r="L83" s="19" t="str">
        <f>IF(ISNUMBER(J83), $B91 * K83, "")</f>
        <v/>
      </c>
      <c r="M83" s="15"/>
      <c r="N83" s="16" t="str">
        <f t="shared" si="41"/>
        <v/>
      </c>
      <c r="O83" s="19" t="str">
        <f>IF(ISNUMBER(M83), $B91 * N83, "")</f>
        <v/>
      </c>
      <c r="Q83" s="127"/>
      <c r="R83" s="127"/>
      <c r="S83" s="127"/>
    </row>
    <row r="84" spans="1:19" ht="17.25" thickBot="1">
      <c r="A84" s="32"/>
      <c r="B84" s="33"/>
      <c r="C84" s="16"/>
      <c r="D84" s="15"/>
      <c r="E84" s="16" t="str">
        <f t="shared" si="38"/>
        <v/>
      </c>
      <c r="F84" s="19" t="str">
        <f>IF(ISNUMBER(D84), $B91 * E84, "")</f>
        <v/>
      </c>
      <c r="G84" s="15"/>
      <c r="H84" s="16" t="str">
        <f t="shared" si="39"/>
        <v/>
      </c>
      <c r="I84" s="19" t="str">
        <f>IF(ISNUMBER(G84), $B91 * H84, "")</f>
        <v/>
      </c>
      <c r="J84" s="15"/>
      <c r="K84" s="16" t="str">
        <f t="shared" si="40"/>
        <v/>
      </c>
      <c r="L84" s="19" t="str">
        <f>IF(ISNUMBER(J84), $B91 * K84, "")</f>
        <v/>
      </c>
      <c r="M84" s="15"/>
      <c r="N84" s="16" t="str">
        <f t="shared" si="41"/>
        <v/>
      </c>
      <c r="O84" s="19" t="str">
        <f>IF(ISNUMBER(M84), $B91 * N84, "")</f>
        <v/>
      </c>
      <c r="Q84" s="148"/>
      <c r="R84" s="148"/>
      <c r="S84" s="148"/>
    </row>
    <row r="85" spans="1:19" ht="17.25" thickBot="1">
      <c r="A85" s="34"/>
      <c r="B85" s="35"/>
      <c r="C85" s="22"/>
      <c r="D85" s="21"/>
      <c r="E85" s="22" t="str">
        <f t="shared" si="38"/>
        <v/>
      </c>
      <c r="F85" s="23" t="str">
        <f>IF(ISNUMBER(D85), $B91 * E85, "")</f>
        <v/>
      </c>
      <c r="G85" s="21"/>
      <c r="H85" s="22" t="str">
        <f t="shared" si="39"/>
        <v/>
      </c>
      <c r="I85" s="23" t="str">
        <f>IF(ISNUMBER(G85), $B91 * H85, "")</f>
        <v/>
      </c>
      <c r="J85" s="21"/>
      <c r="K85" s="22" t="str">
        <f t="shared" si="40"/>
        <v/>
      </c>
      <c r="L85" s="23" t="str">
        <f>IF(ISNUMBER(J85), $B91 * K85, "")</f>
        <v/>
      </c>
      <c r="M85" s="21"/>
      <c r="N85" s="22" t="str">
        <f t="shared" si="41"/>
        <v/>
      </c>
      <c r="O85" s="23" t="str">
        <f>IF(ISNUMBER(M85), $B91 * N85, "")</f>
        <v/>
      </c>
      <c r="Q85" s="148"/>
      <c r="R85" s="148"/>
      <c r="S85" s="148"/>
    </row>
    <row r="86" spans="1:19" ht="17.25" thickBot="1">
      <c r="A86" s="32"/>
      <c r="B86" s="36"/>
      <c r="C86" s="37"/>
      <c r="D86" s="15"/>
      <c r="E86" s="37" t="str">
        <f>IF(ISNUMBER(D86), (D86 - $B86) / $B86, "")</f>
        <v/>
      </c>
      <c r="F86" s="19" t="str">
        <f>IF(ISNUMBER(D86), $B91 * E86, "")</f>
        <v/>
      </c>
      <c r="G86" s="15"/>
      <c r="H86" s="37" t="str">
        <f>IF(ISNUMBER(G86), (G86 - $B86) / $B86, "")</f>
        <v/>
      </c>
      <c r="I86" s="19" t="str">
        <f>IF(ISNUMBER(G86), $B91 * H86, "")</f>
        <v/>
      </c>
      <c r="J86" s="15"/>
      <c r="K86" s="37" t="str">
        <f>IF(ISNUMBER(J86), (J86 - $B86) / $B86, "")</f>
        <v/>
      </c>
      <c r="L86" s="19" t="str">
        <f>IF(ISNUMBER(J86), $B91 * K86, "")</f>
        <v/>
      </c>
      <c r="M86" s="15"/>
      <c r="N86" s="37" t="str">
        <f>IF(ISNUMBER(M86), (M86 - $B86) / $B86, "")</f>
        <v/>
      </c>
      <c r="O86" s="19" t="str">
        <f>IF(ISNUMBER(M86), $B91 * N86, "")</f>
        <v/>
      </c>
      <c r="Q86" s="127"/>
      <c r="R86" s="127"/>
      <c r="S86" s="127"/>
    </row>
    <row r="87" spans="1:19" ht="17.25" thickBot="1">
      <c r="A87" s="32"/>
      <c r="B87" s="33"/>
      <c r="C87" s="16"/>
      <c r="D87" s="15"/>
      <c r="E87" s="16" t="str">
        <f t="shared" ref="E87:E90" si="42">IF(ISNUMBER(D87), (D87 - $B87) / $B87, "")</f>
        <v/>
      </c>
      <c r="F87" s="19" t="str">
        <f>IF(ISNUMBER(D87), $B91 * E87, "")</f>
        <v/>
      </c>
      <c r="G87" s="15"/>
      <c r="H87" s="16" t="str">
        <f t="shared" ref="H87:H90" si="43">IF(ISNUMBER(G87), (G87 - $B87) / $B87, "")</f>
        <v/>
      </c>
      <c r="I87" s="19" t="str">
        <f>IF(ISNUMBER(G87), $B91 * H87, "")</f>
        <v/>
      </c>
      <c r="J87" s="15"/>
      <c r="K87" s="16" t="str">
        <f t="shared" ref="K87:K90" si="44">IF(ISNUMBER(J87), (J87 - $B87) / $B87, "")</f>
        <v/>
      </c>
      <c r="L87" s="19" t="str">
        <f>IF(ISNUMBER(J87), $B91 * K87, "")</f>
        <v/>
      </c>
      <c r="M87" s="15"/>
      <c r="N87" s="16" t="str">
        <f t="shared" ref="N87:N90" si="45">IF(ISNUMBER(M87), (M87 - $B87) / $B87, "")</f>
        <v/>
      </c>
      <c r="O87" s="19" t="str">
        <f>IF(ISNUMBER(M87), $B91 * N87, "")</f>
        <v/>
      </c>
      <c r="Q87" s="127"/>
      <c r="R87" s="127"/>
      <c r="S87" s="127"/>
    </row>
    <row r="88" spans="1:19" ht="17.25" thickBot="1">
      <c r="A88" s="32"/>
      <c r="B88" s="33"/>
      <c r="C88" s="16"/>
      <c r="D88" s="15"/>
      <c r="E88" s="16" t="str">
        <f t="shared" si="42"/>
        <v/>
      </c>
      <c r="F88" s="19" t="str">
        <f>IF(ISNUMBER(D88), $B91 * E88, "")</f>
        <v/>
      </c>
      <c r="G88" s="15"/>
      <c r="H88" s="16" t="str">
        <f t="shared" si="43"/>
        <v/>
      </c>
      <c r="I88" s="19" t="str">
        <f>IF(ISNUMBER(G88), $B91 * H88, "")</f>
        <v/>
      </c>
      <c r="J88" s="15"/>
      <c r="K88" s="16" t="str">
        <f t="shared" si="44"/>
        <v/>
      </c>
      <c r="L88" s="19" t="str">
        <f>IF(ISNUMBER(J88), $B91 * K88, "")</f>
        <v/>
      </c>
      <c r="M88" s="15"/>
      <c r="N88" s="16" t="str">
        <f t="shared" si="45"/>
        <v/>
      </c>
      <c r="O88" s="19" t="str">
        <f>IF(ISNUMBER(M88), $B91 * N88, "")</f>
        <v/>
      </c>
      <c r="Q88" s="127"/>
      <c r="R88" s="127"/>
      <c r="S88" s="127"/>
    </row>
    <row r="89" spans="1:19">
      <c r="A89" s="32"/>
      <c r="B89" s="33"/>
      <c r="C89" s="16"/>
      <c r="D89" s="15"/>
      <c r="E89" s="16" t="str">
        <f t="shared" si="42"/>
        <v/>
      </c>
      <c r="F89" s="19" t="str">
        <f>IF(ISNUMBER(D89), $B91 * E89, "")</f>
        <v/>
      </c>
      <c r="G89" s="15"/>
      <c r="H89" s="16" t="str">
        <f t="shared" si="43"/>
        <v/>
      </c>
      <c r="I89" s="19" t="str">
        <f>IF(ISNUMBER(G89), $B91 * H89, "")</f>
        <v/>
      </c>
      <c r="J89" s="15"/>
      <c r="K89" s="16" t="str">
        <f t="shared" si="44"/>
        <v/>
      </c>
      <c r="L89" s="19" t="str">
        <f>IF(ISNUMBER(J89), $B91 * K89, "")</f>
        <v/>
      </c>
      <c r="M89" s="15"/>
      <c r="N89" s="16" t="str">
        <f t="shared" si="45"/>
        <v/>
      </c>
      <c r="O89" s="19" t="str">
        <f>IF(ISNUMBER(M89), $B91 * N89, "")</f>
        <v/>
      </c>
      <c r="Q89" s="128"/>
      <c r="R89" s="129"/>
      <c r="S89" s="130"/>
    </row>
    <row r="90" spans="1:19" ht="17.25" thickBot="1">
      <c r="A90" s="34"/>
      <c r="B90" s="35"/>
      <c r="C90" s="22"/>
      <c r="D90" s="21"/>
      <c r="E90" s="22" t="str">
        <f t="shared" si="42"/>
        <v/>
      </c>
      <c r="F90" s="19" t="str">
        <f>IF(ISNUMBER(D90), $B91 * E90, "")</f>
        <v/>
      </c>
      <c r="G90" s="21"/>
      <c r="H90" s="22" t="str">
        <f t="shared" si="43"/>
        <v/>
      </c>
      <c r="I90" s="19" t="str">
        <f>IF(ISNUMBER(G90), $B91 * H90, "")</f>
        <v/>
      </c>
      <c r="J90" s="21"/>
      <c r="K90" s="22" t="str">
        <f t="shared" si="44"/>
        <v/>
      </c>
      <c r="L90" s="19" t="str">
        <f>IF(ISNUMBER(J90), $B91 * K90, "")</f>
        <v/>
      </c>
      <c r="M90" s="21"/>
      <c r="N90" s="22" t="str">
        <f t="shared" si="45"/>
        <v/>
      </c>
      <c r="O90" s="19" t="str">
        <f>IF(ISNUMBER(M90), $B91 * N90, "")</f>
        <v/>
      </c>
      <c r="Q90" s="131"/>
      <c r="R90" s="132"/>
      <c r="S90" s="133"/>
    </row>
    <row r="91" spans="1:19" ht="17.25" thickBot="1">
      <c r="A91" s="27" t="s">
        <v>42</v>
      </c>
      <c r="B91" s="137">
        <f>$B$37</f>
        <v>300000</v>
      </c>
      <c r="C91" s="138"/>
      <c r="D91" s="27" t="s">
        <v>43</v>
      </c>
      <c r="E91" s="28">
        <f>IF(COUNT(E71:E90), SUM(E71:E90) / COUNT(E71:E90), 0)</f>
        <v>0</v>
      </c>
      <c r="F91" s="29">
        <f>SUM(F71:F90)</f>
        <v>0</v>
      </c>
      <c r="G91" s="27" t="s">
        <v>43</v>
      </c>
      <c r="H91" s="28">
        <f>IF(COUNT(H71:H90), SUM(H71:H90) / COUNT(H71:H90), 0)</f>
        <v>0</v>
      </c>
      <c r="I91" s="29">
        <f>SUM(I71:I90)</f>
        <v>0</v>
      </c>
      <c r="J91" s="27" t="s">
        <v>43</v>
      </c>
      <c r="K91" s="28">
        <f>IF(COUNT(K71:K90), SUM(K71:K90) / COUNT(K71:K90), 0)</f>
        <v>0</v>
      </c>
      <c r="L91" s="29">
        <f>SUM(L71:L90)</f>
        <v>0</v>
      </c>
      <c r="M91" s="27" t="s">
        <v>43</v>
      </c>
      <c r="N91" s="28">
        <f>IF(COUNT(N71:N90), SUM(N71:N90) / COUNT(N71:N90), 0)</f>
        <v>0</v>
      </c>
      <c r="O91" s="29">
        <f>SUM(O71:O90)</f>
        <v>0</v>
      </c>
      <c r="Q91" s="134"/>
      <c r="R91" s="135"/>
      <c r="S91" s="136"/>
    </row>
    <row r="93" spans="1:19" ht="17.25" thickBot="1"/>
    <row r="94" spans="1:19" ht="17.25" thickBot="1">
      <c r="A94" s="149" t="s">
        <v>46</v>
      </c>
      <c r="B94" s="150"/>
      <c r="C94" s="150"/>
      <c r="D94" s="150"/>
      <c r="E94" s="150"/>
      <c r="F94" s="150"/>
      <c r="G94" s="150"/>
      <c r="H94" s="150"/>
      <c r="I94" s="150"/>
      <c r="J94" s="150"/>
      <c r="K94" s="150"/>
      <c r="L94" s="150"/>
      <c r="M94" s="150"/>
      <c r="N94" s="150"/>
      <c r="O94" s="151"/>
      <c r="Q94" s="148"/>
      <c r="R94" s="148"/>
      <c r="S94" s="148"/>
    </row>
    <row r="95" spans="1:19" ht="17.25" thickBot="1">
      <c r="A95" s="66" t="s">
        <v>35</v>
      </c>
      <c r="B95" s="149" t="s">
        <v>36</v>
      </c>
      <c r="C95" s="151"/>
      <c r="D95" s="149" t="s">
        <v>37</v>
      </c>
      <c r="E95" s="150"/>
      <c r="F95" s="151"/>
      <c r="G95" s="152">
        <f>_xlfn.IFNA(VLOOKUP(B95, 현재가테이블!$B$2:$D$200, 2, FALSE), "-")</f>
        <v>68203000</v>
      </c>
      <c r="H95" s="153"/>
      <c r="I95" s="154"/>
      <c r="J95" s="149" t="s">
        <v>38</v>
      </c>
      <c r="K95" s="150"/>
      <c r="L95" s="151"/>
      <c r="M95" s="155">
        <f>_xlfn.IFNA(VLOOKUP(B95, 현재가테이블!$B$2:$D$200, 3, FALSE), "-")</f>
        <v>-1.22521687E-2</v>
      </c>
      <c r="N95" s="156"/>
      <c r="O95" s="157"/>
      <c r="Q95" s="148"/>
      <c r="R95" s="148"/>
      <c r="S95" s="148"/>
    </row>
    <row r="96" spans="1:19" ht="17.25" thickBot="1">
      <c r="A96" s="158" t="s">
        <v>39</v>
      </c>
      <c r="B96" s="159" t="str">
        <f>TEXT($G$1, "[$-ko-KR]yyyy-mm-dd(ddd) ") &amp; "오전 00:00"</f>
        <v>2021-04-01(목) 오전 00:00</v>
      </c>
      <c r="C96" s="160"/>
      <c r="D96" s="161" t="str">
        <f>TEXT($G$1, "[$-ko-KR]yyyy-mm-dd(ddd) ") &amp; "오후 14:00"</f>
        <v>2021-04-01(목) 오후 14:00</v>
      </c>
      <c r="E96" s="162"/>
      <c r="F96" s="163"/>
      <c r="G96" s="161" t="str">
        <f>TEXT($G$1, "[$-ko-KR]yyyy-mm-dd(ddd) ") &amp; "오후 19:00"</f>
        <v>2021-04-01(목) 오후 19:00</v>
      </c>
      <c r="H96" s="162"/>
      <c r="I96" s="163"/>
      <c r="J96" s="164" t="str">
        <f>TEXT($G$1, "[$-ko-KR]yyyy-mm-dd(ddd) ") &amp; "오후 21:00"</f>
        <v>2021-04-01(목) 오후 21:00</v>
      </c>
      <c r="K96" s="164"/>
      <c r="L96" s="164"/>
      <c r="M96" s="161" t="str">
        <f>TEXT($G$1+1, "[$-ko-KR]yyyy-mm-dd(ddd) ") &amp; "오전 00:00"</f>
        <v>2021-04-02(금) 오전 00:00</v>
      </c>
      <c r="N96" s="162"/>
      <c r="O96" s="163"/>
      <c r="Q96" s="148"/>
      <c r="R96" s="148"/>
      <c r="S96" s="148"/>
    </row>
    <row r="97" spans="1:19" ht="17.25" thickBot="1">
      <c r="A97" s="158"/>
      <c r="B97" s="2" t="s">
        <v>37</v>
      </c>
      <c r="C97" s="10" t="s">
        <v>38</v>
      </c>
      <c r="D97" s="2" t="s">
        <v>37</v>
      </c>
      <c r="E97" s="10" t="s">
        <v>40</v>
      </c>
      <c r="F97" s="11" t="s">
        <v>41</v>
      </c>
      <c r="G97" s="2" t="s">
        <v>37</v>
      </c>
      <c r="H97" s="10" t="s">
        <v>40</v>
      </c>
      <c r="I97" s="11" t="s">
        <v>41</v>
      </c>
      <c r="J97" s="10" t="s">
        <v>37</v>
      </c>
      <c r="K97" s="10" t="s">
        <v>40</v>
      </c>
      <c r="L97" s="70" t="s">
        <v>41</v>
      </c>
      <c r="M97" s="2" t="s">
        <v>37</v>
      </c>
      <c r="N97" s="10" t="s">
        <v>40</v>
      </c>
      <c r="O97" s="72" t="s">
        <v>41</v>
      </c>
      <c r="Q97" s="127"/>
      <c r="R97" s="127"/>
      <c r="S97" s="127"/>
    </row>
    <row r="98" spans="1:19" ht="17.25" thickBot="1">
      <c r="A98" s="30"/>
      <c r="B98" s="31"/>
      <c r="C98" s="14"/>
      <c r="D98" s="13"/>
      <c r="E98" s="14" t="str">
        <f>IF(ISNUMBER(D98), (D98 - $B98) / $B98, "")</f>
        <v/>
      </c>
      <c r="F98" s="17" t="str">
        <f>IF(ISNUMBER(D98), $B118 * E98, "")</f>
        <v/>
      </c>
      <c r="G98" s="13"/>
      <c r="H98" s="14" t="str">
        <f>IF(ISNUMBER(G98), (G98 - $B98) / $B98, "")</f>
        <v/>
      </c>
      <c r="I98" s="17" t="str">
        <f>IF(ISNUMBER(G98), $B118 * H98, "")</f>
        <v/>
      </c>
      <c r="J98" s="13"/>
      <c r="K98" s="14" t="str">
        <f>IF(ISNUMBER(J98), (J98 - $B98) / $B98, "")</f>
        <v/>
      </c>
      <c r="L98" s="17" t="str">
        <f>IF(ISNUMBER(J98), $B118 * K98, "")</f>
        <v/>
      </c>
      <c r="M98" s="13"/>
      <c r="N98" s="14" t="str">
        <f>IF(ISNUMBER(M98), (M98 - $B98) / $B98, "")</f>
        <v/>
      </c>
      <c r="O98" s="17" t="str">
        <f>IF(ISNUMBER(M98), $B118 * N98, "")</f>
        <v/>
      </c>
      <c r="Q98" s="148"/>
      <c r="R98" s="148"/>
      <c r="S98" s="148"/>
    </row>
    <row r="99" spans="1:19" ht="17.25" thickBot="1">
      <c r="A99" s="32"/>
      <c r="B99" s="33"/>
      <c r="C99" s="16"/>
      <c r="D99" s="15"/>
      <c r="E99" s="16" t="str">
        <f t="shared" ref="E99:E102" si="46">IF(ISNUMBER(D99), (D99 - $B99) / $B99, "")</f>
        <v/>
      </c>
      <c r="F99" s="19" t="str">
        <f>IF(ISNUMBER(D99), $B118 * E99, "")</f>
        <v/>
      </c>
      <c r="G99" s="15"/>
      <c r="H99" s="16" t="str">
        <f t="shared" ref="H99:H102" si="47">IF(ISNUMBER(G99), (G99 - $B99) / $B99, "")</f>
        <v/>
      </c>
      <c r="I99" s="19" t="str">
        <f>IF(ISNUMBER(G99), $B118 * H99, "")</f>
        <v/>
      </c>
      <c r="J99" s="15"/>
      <c r="K99" s="16" t="str">
        <f t="shared" ref="K99:K102" si="48">IF(ISNUMBER(J99), (J99 - $B99) / $B99, "")</f>
        <v/>
      </c>
      <c r="L99" s="19" t="str">
        <f>IF(ISNUMBER(J99), $B118 * K99, "")</f>
        <v/>
      </c>
      <c r="M99" s="15"/>
      <c r="N99" s="16" t="str">
        <f t="shared" ref="N99:N102" si="49">IF(ISNUMBER(M99), (M99 - $B99) / $B99, "")</f>
        <v/>
      </c>
      <c r="O99" s="19" t="str">
        <f>IF(ISNUMBER(M99), $B118 * N99, "")</f>
        <v/>
      </c>
      <c r="Q99" s="148"/>
      <c r="R99" s="148"/>
      <c r="S99" s="148"/>
    </row>
    <row r="100" spans="1:19" ht="17.25" thickBot="1">
      <c r="A100" s="32"/>
      <c r="B100" s="33"/>
      <c r="C100" s="16"/>
      <c r="D100" s="15"/>
      <c r="E100" s="16" t="str">
        <f t="shared" si="46"/>
        <v/>
      </c>
      <c r="F100" s="19" t="str">
        <f>IF(ISNUMBER(D100), $B118 * E100, "")</f>
        <v/>
      </c>
      <c r="G100" s="15"/>
      <c r="H100" s="16" t="str">
        <f t="shared" si="47"/>
        <v/>
      </c>
      <c r="I100" s="19" t="str">
        <f>IF(ISNUMBER(G100), $B118 * H100, "")</f>
        <v/>
      </c>
      <c r="J100" s="15"/>
      <c r="K100" s="16" t="str">
        <f t="shared" si="48"/>
        <v/>
      </c>
      <c r="L100" s="19" t="str">
        <f>IF(ISNUMBER(J100), $B118 * K100, "")</f>
        <v/>
      </c>
      <c r="M100" s="15"/>
      <c r="N100" s="16" t="str">
        <f t="shared" si="49"/>
        <v/>
      </c>
      <c r="O100" s="19" t="str">
        <f>IF(ISNUMBER(M100), $B118 * N100, "")</f>
        <v/>
      </c>
      <c r="Q100" s="127"/>
      <c r="R100" s="127"/>
      <c r="S100" s="127"/>
    </row>
    <row r="101" spans="1:19" ht="17.25" thickBot="1">
      <c r="A101" s="32"/>
      <c r="B101" s="33"/>
      <c r="C101" s="16"/>
      <c r="D101" s="15"/>
      <c r="E101" s="16" t="str">
        <f t="shared" si="46"/>
        <v/>
      </c>
      <c r="F101" s="19" t="str">
        <f>IF(ISNUMBER(D101), $B118 * E101, "")</f>
        <v/>
      </c>
      <c r="G101" s="15"/>
      <c r="H101" s="16" t="str">
        <f t="shared" si="47"/>
        <v/>
      </c>
      <c r="I101" s="19" t="str">
        <f>IF(ISNUMBER(G101), $B118 * H101, "")</f>
        <v/>
      </c>
      <c r="J101" s="15"/>
      <c r="K101" s="16" t="str">
        <f t="shared" si="48"/>
        <v/>
      </c>
      <c r="L101" s="19" t="str">
        <f>IF(ISNUMBER(J101), $B118 * K101, "")</f>
        <v/>
      </c>
      <c r="M101" s="15"/>
      <c r="N101" s="16" t="str">
        <f t="shared" si="49"/>
        <v/>
      </c>
      <c r="O101" s="19" t="str">
        <f>IF(ISNUMBER(M101), $B118 * N101, "")</f>
        <v/>
      </c>
      <c r="Q101" s="127"/>
      <c r="R101" s="127"/>
      <c r="S101" s="127"/>
    </row>
    <row r="102" spans="1:19" ht="17.25" thickBot="1">
      <c r="A102" s="34"/>
      <c r="B102" s="35"/>
      <c r="C102" s="22"/>
      <c r="D102" s="21"/>
      <c r="E102" s="22" t="str">
        <f t="shared" si="46"/>
        <v/>
      </c>
      <c r="F102" s="23" t="str">
        <f>IF(ISNUMBER(D102), $B118 * E102, "")</f>
        <v/>
      </c>
      <c r="G102" s="21"/>
      <c r="H102" s="22" t="str">
        <f t="shared" si="47"/>
        <v/>
      </c>
      <c r="I102" s="23" t="str">
        <f>IF(ISNUMBER(G102), $B118 * H102, "")</f>
        <v/>
      </c>
      <c r="J102" s="21"/>
      <c r="K102" s="22" t="str">
        <f t="shared" si="48"/>
        <v/>
      </c>
      <c r="L102" s="23" t="str">
        <f>IF(ISNUMBER(J102), $B118 * K102, "")</f>
        <v/>
      </c>
      <c r="M102" s="21"/>
      <c r="N102" s="22" t="str">
        <f t="shared" si="49"/>
        <v/>
      </c>
      <c r="O102" s="23" t="str">
        <f>IF(ISNUMBER(M102), $B118 * N102, "")</f>
        <v/>
      </c>
      <c r="Q102" s="127"/>
      <c r="R102" s="127"/>
      <c r="S102" s="127"/>
    </row>
    <row r="103" spans="1:19" ht="17.25" thickBot="1">
      <c r="A103" s="32"/>
      <c r="B103" s="36"/>
      <c r="C103" s="37"/>
      <c r="D103" s="15"/>
      <c r="E103" s="37" t="str">
        <f>IF(ISNUMBER(D103), (D103 - $B103) / $B103, "")</f>
        <v/>
      </c>
      <c r="F103" s="19" t="str">
        <f>IF(ISNUMBER(D103), $B118 * E103, "")</f>
        <v/>
      </c>
      <c r="G103" s="15"/>
      <c r="H103" s="37" t="str">
        <f>IF(ISNUMBER(G103), (G103 - $B103) / $B103, "")</f>
        <v/>
      </c>
      <c r="I103" s="19" t="str">
        <f>IF(ISNUMBER(G103), $B118 * H103, "")</f>
        <v/>
      </c>
      <c r="J103" s="15"/>
      <c r="K103" s="37" t="str">
        <f>IF(ISNUMBER(J103), (J103 - $B103) / $B103, "")</f>
        <v/>
      </c>
      <c r="L103" s="19" t="str">
        <f>IF(ISNUMBER(J103), $B118 * K103, "")</f>
        <v/>
      </c>
      <c r="M103" s="15"/>
      <c r="N103" s="37" t="str">
        <f>IF(ISNUMBER(M103), (M103 - $B103) / $B103, "")</f>
        <v/>
      </c>
      <c r="O103" s="19" t="str">
        <f>IF(ISNUMBER(M103), $B118 * N103, "")</f>
        <v/>
      </c>
      <c r="Q103" s="127"/>
      <c r="R103" s="127"/>
      <c r="S103" s="127"/>
    </row>
    <row r="104" spans="1:19" ht="17.25" thickBot="1">
      <c r="A104" s="32"/>
      <c r="B104" s="33"/>
      <c r="C104" s="16"/>
      <c r="D104" s="15"/>
      <c r="E104" s="16" t="str">
        <f t="shared" ref="E104:E107" si="50">IF(ISNUMBER(D104), (D104 - $B104) / $B104, "")</f>
        <v/>
      </c>
      <c r="F104" s="19" t="str">
        <f>IF(ISNUMBER(D104), $B118 * E104, "")</f>
        <v/>
      </c>
      <c r="G104" s="15"/>
      <c r="H104" s="16" t="str">
        <f t="shared" ref="H104:H107" si="51">IF(ISNUMBER(G104), (G104 - $B104) / $B104, "")</f>
        <v/>
      </c>
      <c r="I104" s="19" t="str">
        <f>IF(ISNUMBER(G104), $B118 * H104, "")</f>
        <v/>
      </c>
      <c r="J104" s="15"/>
      <c r="K104" s="16" t="str">
        <f t="shared" ref="K104:K107" si="52">IF(ISNUMBER(J104), (J104 - $B104) / $B104, "")</f>
        <v/>
      </c>
      <c r="L104" s="19" t="str">
        <f>IF(ISNUMBER(J104), $B118 * K104, "")</f>
        <v/>
      </c>
      <c r="M104" s="15"/>
      <c r="N104" s="16" t="str">
        <f t="shared" ref="N104:N107" si="53">IF(ISNUMBER(M104), (M104 - $B104) / $B104, "")</f>
        <v/>
      </c>
      <c r="O104" s="19" t="str">
        <f>IF(ISNUMBER(M104), $B118 * N104, "")</f>
        <v/>
      </c>
      <c r="Q104" s="127"/>
      <c r="R104" s="127"/>
      <c r="S104" s="127"/>
    </row>
    <row r="105" spans="1:19" ht="17.25" thickBot="1">
      <c r="A105" s="32"/>
      <c r="B105" s="33"/>
      <c r="C105" s="16"/>
      <c r="D105" s="15"/>
      <c r="E105" s="16" t="str">
        <f t="shared" si="50"/>
        <v/>
      </c>
      <c r="F105" s="19" t="str">
        <f>IF(ISNUMBER(D105), $B118 * E105, "")</f>
        <v/>
      </c>
      <c r="G105" s="15"/>
      <c r="H105" s="16" t="str">
        <f t="shared" si="51"/>
        <v/>
      </c>
      <c r="I105" s="19" t="str">
        <f>IF(ISNUMBER(G105), $B118 * H105, "")</f>
        <v/>
      </c>
      <c r="J105" s="15"/>
      <c r="K105" s="16" t="str">
        <f t="shared" si="52"/>
        <v/>
      </c>
      <c r="L105" s="19" t="str">
        <f>IF(ISNUMBER(J105), $B118 * K105, "")</f>
        <v/>
      </c>
      <c r="M105" s="15"/>
      <c r="N105" s="16" t="str">
        <f t="shared" si="53"/>
        <v/>
      </c>
      <c r="O105" s="19" t="str">
        <f>IF(ISNUMBER(M105), $B118 * N105, "")</f>
        <v/>
      </c>
      <c r="Q105" s="127"/>
      <c r="R105" s="127"/>
      <c r="S105" s="127"/>
    </row>
    <row r="106" spans="1:19" ht="17.25" thickBot="1">
      <c r="A106" s="32"/>
      <c r="B106" s="33"/>
      <c r="C106" s="16"/>
      <c r="D106" s="15"/>
      <c r="E106" s="16" t="str">
        <f t="shared" si="50"/>
        <v/>
      </c>
      <c r="F106" s="19" t="str">
        <f>IF(ISNUMBER(D106), $B118 * E106, "")</f>
        <v/>
      </c>
      <c r="G106" s="15"/>
      <c r="H106" s="16" t="str">
        <f t="shared" si="51"/>
        <v/>
      </c>
      <c r="I106" s="19" t="str">
        <f>IF(ISNUMBER(G106), $B118 * H106, "")</f>
        <v/>
      </c>
      <c r="J106" s="15"/>
      <c r="K106" s="16" t="str">
        <f t="shared" si="52"/>
        <v/>
      </c>
      <c r="L106" s="19" t="str">
        <f>IF(ISNUMBER(J106), $B118 * K106, "")</f>
        <v/>
      </c>
      <c r="M106" s="15"/>
      <c r="N106" s="16" t="str">
        <f t="shared" si="53"/>
        <v/>
      </c>
      <c r="O106" s="19" t="str">
        <f>IF(ISNUMBER(M106), $B118 * N106, "")</f>
        <v/>
      </c>
      <c r="Q106" s="38"/>
      <c r="R106" s="38"/>
    </row>
    <row r="107" spans="1:19" ht="17.25" thickBot="1">
      <c r="A107" s="34"/>
      <c r="B107" s="35"/>
      <c r="C107" s="22"/>
      <c r="D107" s="21"/>
      <c r="E107" s="22" t="str">
        <f t="shared" si="50"/>
        <v/>
      </c>
      <c r="F107" s="19" t="str">
        <f>IF(ISNUMBER(D107), $B118 * E107, "")</f>
        <v/>
      </c>
      <c r="G107" s="21"/>
      <c r="H107" s="22" t="str">
        <f t="shared" si="51"/>
        <v/>
      </c>
      <c r="I107" s="19" t="str">
        <f>IF(ISNUMBER(G107), $B118 * H107, "")</f>
        <v/>
      </c>
      <c r="J107" s="21"/>
      <c r="K107" s="22" t="str">
        <f t="shared" si="52"/>
        <v/>
      </c>
      <c r="L107" s="19" t="str">
        <f>IF(ISNUMBER(J107), $B118 * K107, "")</f>
        <v/>
      </c>
      <c r="M107" s="21"/>
      <c r="N107" s="22" t="str">
        <f t="shared" si="53"/>
        <v/>
      </c>
      <c r="O107" s="19" t="str">
        <f>IF(ISNUMBER(M107), $B118 * N107, "")</f>
        <v/>
      </c>
      <c r="Q107" s="139"/>
      <c r="R107" s="140"/>
      <c r="S107" s="141"/>
    </row>
    <row r="108" spans="1:19">
      <c r="A108" s="30"/>
      <c r="B108" s="31"/>
      <c r="C108" s="14"/>
      <c r="D108" s="13"/>
      <c r="E108" s="14" t="str">
        <f>IF(ISNUMBER(D108), (D108 - $B108) / $B108, "")</f>
        <v/>
      </c>
      <c r="F108" s="17" t="str">
        <f>IF(ISNUMBER(D108), $B118 * E108, "")</f>
        <v/>
      </c>
      <c r="G108" s="13"/>
      <c r="H108" s="14" t="str">
        <f>IF(ISNUMBER(G108), (G108 - $B108) / $B108, "")</f>
        <v/>
      </c>
      <c r="I108" s="17" t="str">
        <f>IF(ISNUMBER(G108), $B118 * H108, "")</f>
        <v/>
      </c>
      <c r="J108" s="13"/>
      <c r="K108" s="14" t="str">
        <f>IF(ISNUMBER(J108), (J108 - $B108) / $B108, "")</f>
        <v/>
      </c>
      <c r="L108" s="17" t="str">
        <f>IF(ISNUMBER(J108), $B118 * K108, "")</f>
        <v/>
      </c>
      <c r="M108" s="13"/>
      <c r="N108" s="14" t="str">
        <f>IF(ISNUMBER(M108), (M108 - $B108) / $B108, "")</f>
        <v/>
      </c>
      <c r="O108" s="17" t="str">
        <f>IF(ISNUMBER(M108), $B118 * N108, "")</f>
        <v/>
      </c>
      <c r="Q108" s="142"/>
      <c r="R108" s="143"/>
      <c r="S108" s="144"/>
    </row>
    <row r="109" spans="1:19" ht="17.25" thickBot="1">
      <c r="A109" s="32"/>
      <c r="B109" s="33"/>
      <c r="C109" s="16"/>
      <c r="D109" s="15"/>
      <c r="E109" s="16" t="str">
        <f t="shared" ref="E109:E112" si="54">IF(ISNUMBER(D109), (D109 - $B109) / $B109, "")</f>
        <v/>
      </c>
      <c r="F109" s="19" t="str">
        <f>IF(ISNUMBER(D109), $B118 * E109, "")</f>
        <v/>
      </c>
      <c r="G109" s="15"/>
      <c r="H109" s="16" t="str">
        <f t="shared" ref="H109:H112" si="55">IF(ISNUMBER(G109), (G109 - $B109) / $B109, "")</f>
        <v/>
      </c>
      <c r="I109" s="19" t="str">
        <f>IF(ISNUMBER(G109), $B118 * H109, "")</f>
        <v/>
      </c>
      <c r="J109" s="15"/>
      <c r="K109" s="16" t="str">
        <f t="shared" ref="K109:K112" si="56">IF(ISNUMBER(J109), (J109 - $B109) / $B109, "")</f>
        <v/>
      </c>
      <c r="L109" s="19" t="str">
        <f>IF(ISNUMBER(J109), $B118 * K109, "")</f>
        <v/>
      </c>
      <c r="M109" s="15"/>
      <c r="N109" s="16" t="str">
        <f t="shared" ref="N109:N112" si="57">IF(ISNUMBER(M109), (M109 - $B109) / $B109, "")</f>
        <v/>
      </c>
      <c r="O109" s="19" t="str">
        <f>IF(ISNUMBER(M109), $B118 * N109, "")</f>
        <v/>
      </c>
      <c r="Q109" s="145"/>
      <c r="R109" s="146"/>
      <c r="S109" s="147"/>
    </row>
    <row r="110" spans="1:19" ht="17.25" thickBot="1">
      <c r="A110" s="32"/>
      <c r="B110" s="33"/>
      <c r="C110" s="16"/>
      <c r="D110" s="15"/>
      <c r="E110" s="16" t="str">
        <f t="shared" si="54"/>
        <v/>
      </c>
      <c r="F110" s="19" t="str">
        <f>IF(ISNUMBER(D110), $B118 * E110, "")</f>
        <v/>
      </c>
      <c r="G110" s="15"/>
      <c r="H110" s="16" t="str">
        <f t="shared" si="55"/>
        <v/>
      </c>
      <c r="I110" s="19" t="str">
        <f>IF(ISNUMBER(G110), $B118 * H110, "")</f>
        <v/>
      </c>
      <c r="J110" s="15"/>
      <c r="K110" s="16" t="str">
        <f t="shared" si="56"/>
        <v/>
      </c>
      <c r="L110" s="19" t="str">
        <f>IF(ISNUMBER(J110), $B118 * K110, "")</f>
        <v/>
      </c>
      <c r="M110" s="15"/>
      <c r="N110" s="16" t="str">
        <f t="shared" si="57"/>
        <v/>
      </c>
      <c r="O110" s="19" t="str">
        <f>IF(ISNUMBER(M110), $B118 * N110, "")</f>
        <v/>
      </c>
      <c r="Q110" s="127"/>
      <c r="R110" s="127"/>
      <c r="S110" s="127"/>
    </row>
    <row r="111" spans="1:19" ht="17.25" thickBot="1">
      <c r="A111" s="32"/>
      <c r="B111" s="33"/>
      <c r="C111" s="16"/>
      <c r="D111" s="15"/>
      <c r="E111" s="16" t="str">
        <f t="shared" si="54"/>
        <v/>
      </c>
      <c r="F111" s="19" t="str">
        <f>IF(ISNUMBER(D111), $B118 * E111, "")</f>
        <v/>
      </c>
      <c r="G111" s="15"/>
      <c r="H111" s="16" t="str">
        <f t="shared" si="55"/>
        <v/>
      </c>
      <c r="I111" s="19" t="str">
        <f>IF(ISNUMBER(G111), $B118 * H111, "")</f>
        <v/>
      </c>
      <c r="J111" s="15"/>
      <c r="K111" s="16" t="str">
        <f t="shared" si="56"/>
        <v/>
      </c>
      <c r="L111" s="19" t="str">
        <f>IF(ISNUMBER(J111), $B118 * K111, "")</f>
        <v/>
      </c>
      <c r="M111" s="15"/>
      <c r="N111" s="16" t="str">
        <f t="shared" si="57"/>
        <v/>
      </c>
      <c r="O111" s="19" t="str">
        <f>IF(ISNUMBER(M111), $B118 * N111, "")</f>
        <v/>
      </c>
      <c r="Q111" s="148"/>
      <c r="R111" s="148"/>
      <c r="S111" s="148"/>
    </row>
    <row r="112" spans="1:19" ht="17.25" thickBot="1">
      <c r="A112" s="34"/>
      <c r="B112" s="35"/>
      <c r="C112" s="22"/>
      <c r="D112" s="21"/>
      <c r="E112" s="22" t="str">
        <f t="shared" si="54"/>
        <v/>
      </c>
      <c r="F112" s="23" t="str">
        <f>IF(ISNUMBER(D112), $B118 * E112, "")</f>
        <v/>
      </c>
      <c r="G112" s="21"/>
      <c r="H112" s="22" t="str">
        <f t="shared" si="55"/>
        <v/>
      </c>
      <c r="I112" s="23" t="str">
        <f>IF(ISNUMBER(G112), $B118 * H112, "")</f>
        <v/>
      </c>
      <c r="J112" s="21"/>
      <c r="K112" s="22" t="str">
        <f t="shared" si="56"/>
        <v/>
      </c>
      <c r="L112" s="23" t="str">
        <f>IF(ISNUMBER(J112), $B118 * K112, "")</f>
        <v/>
      </c>
      <c r="M112" s="21"/>
      <c r="N112" s="22" t="str">
        <f t="shared" si="57"/>
        <v/>
      </c>
      <c r="O112" s="23" t="str">
        <f>IF(ISNUMBER(M112), $B118 * N112, "")</f>
        <v/>
      </c>
      <c r="Q112" s="148"/>
      <c r="R112" s="148"/>
      <c r="S112" s="148"/>
    </row>
    <row r="113" spans="1:19" ht="17.25" thickBot="1">
      <c r="A113" s="32"/>
      <c r="B113" s="36"/>
      <c r="C113" s="37"/>
      <c r="D113" s="15"/>
      <c r="E113" s="37" t="str">
        <f>IF(ISNUMBER(D113), (D113 - $B113) / $B113, "")</f>
        <v/>
      </c>
      <c r="F113" s="19" t="str">
        <f>IF(ISNUMBER(D113), $B118 * E113, "")</f>
        <v/>
      </c>
      <c r="G113" s="15"/>
      <c r="H113" s="37" t="str">
        <f>IF(ISNUMBER(G113), (G113 - $B113) / $B113, "")</f>
        <v/>
      </c>
      <c r="I113" s="19" t="str">
        <f>IF(ISNUMBER(G113), $B118 * H113, "")</f>
        <v/>
      </c>
      <c r="J113" s="15"/>
      <c r="K113" s="37" t="str">
        <f>IF(ISNUMBER(J113), (J113 - $B113) / $B113, "")</f>
        <v/>
      </c>
      <c r="L113" s="19" t="str">
        <f>IF(ISNUMBER(J113), $B118 * K113, "")</f>
        <v/>
      </c>
      <c r="M113" s="15"/>
      <c r="N113" s="37" t="str">
        <f>IF(ISNUMBER(M113), (M113 - $B113) / $B113, "")</f>
        <v/>
      </c>
      <c r="O113" s="19" t="str">
        <f>IF(ISNUMBER(M113), $B118 * N113, "")</f>
        <v/>
      </c>
      <c r="Q113" s="127"/>
      <c r="R113" s="127"/>
      <c r="S113" s="127"/>
    </row>
    <row r="114" spans="1:19" ht="17.25" thickBot="1">
      <c r="A114" s="32"/>
      <c r="B114" s="33"/>
      <c r="C114" s="16"/>
      <c r="D114" s="15"/>
      <c r="E114" s="16" t="str">
        <f t="shared" ref="E114:E117" si="58">IF(ISNUMBER(D114), (D114 - $B114) / $B114, "")</f>
        <v/>
      </c>
      <c r="F114" s="19" t="str">
        <f>IF(ISNUMBER(D114), $B118 * E114, "")</f>
        <v/>
      </c>
      <c r="G114" s="15"/>
      <c r="H114" s="16" t="str">
        <f t="shared" ref="H114:H117" si="59">IF(ISNUMBER(G114), (G114 - $B114) / $B114, "")</f>
        <v/>
      </c>
      <c r="I114" s="19" t="str">
        <f>IF(ISNUMBER(G114), $B118 * H114, "")</f>
        <v/>
      </c>
      <c r="J114" s="15"/>
      <c r="K114" s="16" t="str">
        <f t="shared" ref="K114:K117" si="60">IF(ISNUMBER(J114), (J114 - $B114) / $B114, "")</f>
        <v/>
      </c>
      <c r="L114" s="19" t="str">
        <f>IF(ISNUMBER(J114), $B118 * K114, "")</f>
        <v/>
      </c>
      <c r="M114" s="15"/>
      <c r="N114" s="16" t="str">
        <f t="shared" ref="N114:N117" si="61">IF(ISNUMBER(M114), (M114 - $B114) / $B114, "")</f>
        <v/>
      </c>
      <c r="O114" s="19" t="str">
        <f>IF(ISNUMBER(M114), $B118 * N114, "")</f>
        <v/>
      </c>
      <c r="Q114" s="127"/>
      <c r="R114" s="127"/>
      <c r="S114" s="127"/>
    </row>
    <row r="115" spans="1:19" ht="17.25" thickBot="1">
      <c r="A115" s="32"/>
      <c r="B115" s="33"/>
      <c r="C115" s="16"/>
      <c r="D115" s="15"/>
      <c r="E115" s="16" t="str">
        <f t="shared" si="58"/>
        <v/>
      </c>
      <c r="F115" s="19" t="str">
        <f>IF(ISNUMBER(D115), $B118 * E115, "")</f>
        <v/>
      </c>
      <c r="G115" s="15"/>
      <c r="H115" s="16" t="str">
        <f t="shared" si="59"/>
        <v/>
      </c>
      <c r="I115" s="19" t="str">
        <f>IF(ISNUMBER(G115), $B118 * H115, "")</f>
        <v/>
      </c>
      <c r="J115" s="15"/>
      <c r="K115" s="16" t="str">
        <f t="shared" si="60"/>
        <v/>
      </c>
      <c r="L115" s="19" t="str">
        <f>IF(ISNUMBER(J115), $B118 * K115, "")</f>
        <v/>
      </c>
      <c r="M115" s="15"/>
      <c r="N115" s="16" t="str">
        <f t="shared" si="61"/>
        <v/>
      </c>
      <c r="O115" s="19" t="str">
        <f>IF(ISNUMBER(M115), $B118 * N115, "")</f>
        <v/>
      </c>
      <c r="Q115" s="127"/>
      <c r="R115" s="127"/>
      <c r="S115" s="127"/>
    </row>
    <row r="116" spans="1:19">
      <c r="A116" s="32"/>
      <c r="B116" s="33"/>
      <c r="C116" s="16"/>
      <c r="D116" s="15"/>
      <c r="E116" s="16" t="str">
        <f t="shared" si="58"/>
        <v/>
      </c>
      <c r="F116" s="19" t="str">
        <f>IF(ISNUMBER(D116), $B118 * E116, "")</f>
        <v/>
      </c>
      <c r="G116" s="15"/>
      <c r="H116" s="16" t="str">
        <f t="shared" si="59"/>
        <v/>
      </c>
      <c r="I116" s="19" t="str">
        <f>IF(ISNUMBER(G116), $B118 * H116, "")</f>
        <v/>
      </c>
      <c r="J116" s="15"/>
      <c r="K116" s="16" t="str">
        <f t="shared" si="60"/>
        <v/>
      </c>
      <c r="L116" s="19" t="str">
        <f>IF(ISNUMBER(J116), $B118 * K116, "")</f>
        <v/>
      </c>
      <c r="M116" s="15"/>
      <c r="N116" s="16" t="str">
        <f t="shared" si="61"/>
        <v/>
      </c>
      <c r="O116" s="19" t="str">
        <f>IF(ISNUMBER(M116), $B118 * N116, "")</f>
        <v/>
      </c>
      <c r="Q116" s="128"/>
      <c r="R116" s="129"/>
      <c r="S116" s="130"/>
    </row>
    <row r="117" spans="1:19" ht="17.25" thickBot="1">
      <c r="A117" s="34"/>
      <c r="B117" s="35"/>
      <c r="C117" s="22"/>
      <c r="D117" s="21"/>
      <c r="E117" s="22" t="str">
        <f t="shared" si="58"/>
        <v/>
      </c>
      <c r="F117" s="19" t="str">
        <f>IF(ISNUMBER(D117), $B118 * E117, "")</f>
        <v/>
      </c>
      <c r="G117" s="21"/>
      <c r="H117" s="22" t="str">
        <f t="shared" si="59"/>
        <v/>
      </c>
      <c r="I117" s="19" t="str">
        <f>IF(ISNUMBER(G117), $B118 * H117, "")</f>
        <v/>
      </c>
      <c r="J117" s="21"/>
      <c r="K117" s="22" t="str">
        <f t="shared" si="60"/>
        <v/>
      </c>
      <c r="L117" s="19" t="str">
        <f>IF(ISNUMBER(J117), $B118 * K117, "")</f>
        <v/>
      </c>
      <c r="M117" s="21"/>
      <c r="N117" s="22" t="str">
        <f t="shared" si="61"/>
        <v/>
      </c>
      <c r="O117" s="19" t="str">
        <f>IF(ISNUMBER(M117), $B118 * N117, "")</f>
        <v/>
      </c>
      <c r="Q117" s="131"/>
      <c r="R117" s="132"/>
      <c r="S117" s="133"/>
    </row>
    <row r="118" spans="1:19" ht="17.25" thickBot="1">
      <c r="A118" s="27" t="s">
        <v>42</v>
      </c>
      <c r="B118" s="137">
        <f>$B$37</f>
        <v>300000</v>
      </c>
      <c r="C118" s="138"/>
      <c r="D118" s="27" t="s">
        <v>43</v>
      </c>
      <c r="E118" s="28">
        <f>IF(COUNT(E98:E117), SUM(E98:E117) / COUNT(E98:E117), 0)</f>
        <v>0</v>
      </c>
      <c r="F118" s="29">
        <f>SUM(F98:F117)</f>
        <v>0</v>
      </c>
      <c r="G118" s="27" t="s">
        <v>43</v>
      </c>
      <c r="H118" s="28">
        <f>IF(COUNT(H98:H117), SUM(H98:H117) / COUNT(H98:H117), 0)</f>
        <v>0</v>
      </c>
      <c r="I118" s="29">
        <f>SUM(I98:I117)</f>
        <v>0</v>
      </c>
      <c r="J118" s="27" t="s">
        <v>43</v>
      </c>
      <c r="K118" s="28">
        <f>IF(COUNT(K98:K117), SUM(K98:K117) / COUNT(K98:K117), 0)</f>
        <v>0</v>
      </c>
      <c r="L118" s="29">
        <f>SUM(L98:L117)</f>
        <v>0</v>
      </c>
      <c r="M118" s="27" t="s">
        <v>43</v>
      </c>
      <c r="N118" s="28">
        <f>IF(COUNT(N98:N117), SUM(N98:N117) / COUNT(N98:N117), 0)</f>
        <v>0</v>
      </c>
      <c r="O118" s="29">
        <f>SUM(O98:O117)</f>
        <v>0</v>
      </c>
      <c r="Q118" s="134"/>
      <c r="R118" s="135"/>
      <c r="S118" s="136"/>
    </row>
    <row r="120" spans="1:19" ht="17.25" thickBot="1"/>
    <row r="121" spans="1:19" ht="17.25" thickBot="1">
      <c r="A121" s="149" t="s">
        <v>288</v>
      </c>
      <c r="B121" s="150"/>
      <c r="C121" s="150"/>
      <c r="D121" s="150"/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1"/>
      <c r="Q121" s="148"/>
      <c r="R121" s="148"/>
      <c r="S121" s="148"/>
    </row>
    <row r="122" spans="1:19" ht="17.25" thickBot="1">
      <c r="A122" s="66" t="s">
        <v>35</v>
      </c>
      <c r="B122" s="149" t="s">
        <v>36</v>
      </c>
      <c r="C122" s="151"/>
      <c r="D122" s="149" t="s">
        <v>37</v>
      </c>
      <c r="E122" s="150"/>
      <c r="F122" s="151"/>
      <c r="G122" s="152">
        <f>_xlfn.IFNA(VLOOKUP(B122, 현재가테이블!$B$2:$D$200, 2, FALSE), "-")</f>
        <v>68203000</v>
      </c>
      <c r="H122" s="153"/>
      <c r="I122" s="154"/>
      <c r="J122" s="149" t="s">
        <v>38</v>
      </c>
      <c r="K122" s="150"/>
      <c r="L122" s="151"/>
      <c r="M122" s="155">
        <f>_xlfn.IFNA(VLOOKUP(B122, 현재가테이블!$B$2:$D$200, 3, FALSE), "-")</f>
        <v>-1.22521687E-2</v>
      </c>
      <c r="N122" s="156"/>
      <c r="O122" s="157"/>
      <c r="Q122" s="148"/>
      <c r="R122" s="148"/>
      <c r="S122" s="148"/>
    </row>
    <row r="123" spans="1:19" ht="17.25" thickBot="1">
      <c r="A123" s="158" t="s">
        <v>39</v>
      </c>
      <c r="B123" s="159" t="str">
        <f>TEXT($G$1, "[$-ko-KR]yyyy-mm-dd(ddd) ") &amp; "오전 00:00"</f>
        <v>2021-04-01(목) 오전 00:00</v>
      </c>
      <c r="C123" s="160"/>
      <c r="D123" s="161" t="str">
        <f>TEXT($G$1, "[$-ko-KR]yyyy-mm-dd(ddd) ") &amp; "오후 14:00"</f>
        <v>2021-04-01(목) 오후 14:00</v>
      </c>
      <c r="E123" s="162"/>
      <c r="F123" s="163"/>
      <c r="G123" s="161" t="str">
        <f>TEXT($G$1, "[$-ko-KR]yyyy-mm-dd(ddd) ") &amp; "오후 19:00"</f>
        <v>2021-04-01(목) 오후 19:00</v>
      </c>
      <c r="H123" s="162"/>
      <c r="I123" s="163"/>
      <c r="J123" s="164" t="str">
        <f>TEXT($G$1, "[$-ko-KR]yyyy-mm-dd(ddd) ") &amp; "오후 21:00"</f>
        <v>2021-04-01(목) 오후 21:00</v>
      </c>
      <c r="K123" s="164"/>
      <c r="L123" s="164"/>
      <c r="M123" s="161" t="str">
        <f>TEXT($G$1+1, "[$-ko-KR]yyyy-mm-dd(ddd) ") &amp; "오전 00:00"</f>
        <v>2021-04-02(금) 오전 00:00</v>
      </c>
      <c r="N123" s="162"/>
      <c r="O123" s="163"/>
      <c r="Q123" s="148"/>
      <c r="R123" s="148"/>
      <c r="S123" s="148"/>
    </row>
    <row r="124" spans="1:19" ht="17.25" thickBot="1">
      <c r="A124" s="158"/>
      <c r="B124" s="2" t="s">
        <v>37</v>
      </c>
      <c r="C124" s="10" t="s">
        <v>38</v>
      </c>
      <c r="D124" s="2" t="s">
        <v>37</v>
      </c>
      <c r="E124" s="10" t="s">
        <v>40</v>
      </c>
      <c r="F124" s="11" t="s">
        <v>41</v>
      </c>
      <c r="G124" s="2" t="s">
        <v>37</v>
      </c>
      <c r="H124" s="10" t="s">
        <v>40</v>
      </c>
      <c r="I124" s="11" t="s">
        <v>41</v>
      </c>
      <c r="J124" s="10" t="s">
        <v>37</v>
      </c>
      <c r="K124" s="10" t="s">
        <v>40</v>
      </c>
      <c r="L124" s="70" t="s">
        <v>41</v>
      </c>
      <c r="M124" s="2" t="s">
        <v>37</v>
      </c>
      <c r="N124" s="10" t="s">
        <v>40</v>
      </c>
      <c r="O124" s="72" t="s">
        <v>41</v>
      </c>
      <c r="Q124" s="127"/>
      <c r="R124" s="127"/>
      <c r="S124" s="127"/>
    </row>
    <row r="125" spans="1:19" ht="17.25" thickBot="1">
      <c r="A125" s="30"/>
      <c r="B125" s="31"/>
      <c r="C125" s="14"/>
      <c r="D125" s="13"/>
      <c r="E125" s="14" t="str">
        <f>IF(ISNUMBER(D125), (D125 - $B125) / $B125, "")</f>
        <v/>
      </c>
      <c r="F125" s="17" t="str">
        <f>IF(ISNUMBER(D125), $B145 * E125, "")</f>
        <v/>
      </c>
      <c r="G125" s="13"/>
      <c r="H125" s="14" t="str">
        <f>IF(ISNUMBER(G125), (G125 - $B125) / $B125, "")</f>
        <v/>
      </c>
      <c r="I125" s="17" t="str">
        <f>IF(ISNUMBER(G125), $B145 * H125, "")</f>
        <v/>
      </c>
      <c r="J125" s="13"/>
      <c r="K125" s="14" t="str">
        <f>IF(ISNUMBER(J125), (J125 - $B125) / $B125, "")</f>
        <v/>
      </c>
      <c r="L125" s="17" t="str">
        <f>IF(ISNUMBER(J125), $B145 * K125, "")</f>
        <v/>
      </c>
      <c r="M125" s="13"/>
      <c r="N125" s="14" t="str">
        <f>IF(ISNUMBER(M125), (M125 - $B125) / $B125, "")</f>
        <v/>
      </c>
      <c r="O125" s="17" t="str">
        <f>IF(ISNUMBER(M125), $B145 * N125, "")</f>
        <v/>
      </c>
      <c r="Q125" s="148"/>
      <c r="R125" s="148"/>
      <c r="S125" s="148"/>
    </row>
    <row r="126" spans="1:19" ht="17.25" thickBot="1">
      <c r="A126" s="32"/>
      <c r="B126" s="33"/>
      <c r="C126" s="16"/>
      <c r="D126" s="15"/>
      <c r="E126" s="16" t="str">
        <f t="shared" ref="E126:E129" si="62">IF(ISNUMBER(D126), (D126 - $B126) / $B126, "")</f>
        <v/>
      </c>
      <c r="F126" s="19" t="str">
        <f>IF(ISNUMBER(D126), $B145 * E126, "")</f>
        <v/>
      </c>
      <c r="G126" s="15"/>
      <c r="H126" s="16" t="str">
        <f t="shared" ref="H126:H129" si="63">IF(ISNUMBER(G126), (G126 - $B126) / $B126, "")</f>
        <v/>
      </c>
      <c r="I126" s="19" t="str">
        <f>IF(ISNUMBER(G126), $B145 * H126, "")</f>
        <v/>
      </c>
      <c r="J126" s="15"/>
      <c r="K126" s="16" t="str">
        <f t="shared" ref="K126:K129" si="64">IF(ISNUMBER(J126), (J126 - $B126) / $B126, "")</f>
        <v/>
      </c>
      <c r="L126" s="19" t="str">
        <f>IF(ISNUMBER(J126), $B145 * K126, "")</f>
        <v/>
      </c>
      <c r="M126" s="15"/>
      <c r="N126" s="16" t="str">
        <f t="shared" ref="N126:N129" si="65">IF(ISNUMBER(M126), (M126 - $B126) / $B126, "")</f>
        <v/>
      </c>
      <c r="O126" s="19" t="str">
        <f>IF(ISNUMBER(M126), $B145 * N126, "")</f>
        <v/>
      </c>
      <c r="Q126" s="148"/>
      <c r="R126" s="148"/>
      <c r="S126" s="148"/>
    </row>
    <row r="127" spans="1:19" ht="17.25" thickBot="1">
      <c r="A127" s="32"/>
      <c r="B127" s="33"/>
      <c r="C127" s="16"/>
      <c r="D127" s="15"/>
      <c r="E127" s="16" t="str">
        <f t="shared" si="62"/>
        <v/>
      </c>
      <c r="F127" s="19" t="str">
        <f>IF(ISNUMBER(D127), $B145 * E127, "")</f>
        <v/>
      </c>
      <c r="G127" s="15"/>
      <c r="H127" s="16" t="str">
        <f t="shared" si="63"/>
        <v/>
      </c>
      <c r="I127" s="19" t="str">
        <f>IF(ISNUMBER(G127), $B145 * H127, "")</f>
        <v/>
      </c>
      <c r="J127" s="15"/>
      <c r="K127" s="16" t="str">
        <f t="shared" si="64"/>
        <v/>
      </c>
      <c r="L127" s="19" t="str">
        <f>IF(ISNUMBER(J127), $B145 * K127, "")</f>
        <v/>
      </c>
      <c r="M127" s="15"/>
      <c r="N127" s="16" t="str">
        <f t="shared" si="65"/>
        <v/>
      </c>
      <c r="O127" s="19" t="str">
        <f>IF(ISNUMBER(M127), $B145 * N127, "")</f>
        <v/>
      </c>
      <c r="Q127" s="127"/>
      <c r="R127" s="127"/>
      <c r="S127" s="127"/>
    </row>
    <row r="128" spans="1:19" ht="17.25" thickBot="1">
      <c r="A128" s="32"/>
      <c r="B128" s="33"/>
      <c r="C128" s="16"/>
      <c r="D128" s="15"/>
      <c r="E128" s="16" t="str">
        <f t="shared" si="62"/>
        <v/>
      </c>
      <c r="F128" s="19" t="str">
        <f>IF(ISNUMBER(D128), $B145 * E128, "")</f>
        <v/>
      </c>
      <c r="G128" s="15"/>
      <c r="H128" s="16" t="str">
        <f t="shared" si="63"/>
        <v/>
      </c>
      <c r="I128" s="19" t="str">
        <f>IF(ISNUMBER(G128), $B145 * H128, "")</f>
        <v/>
      </c>
      <c r="J128" s="15"/>
      <c r="K128" s="16" t="str">
        <f t="shared" si="64"/>
        <v/>
      </c>
      <c r="L128" s="19" t="str">
        <f>IF(ISNUMBER(J128), $B145 * K128, "")</f>
        <v/>
      </c>
      <c r="M128" s="15"/>
      <c r="N128" s="16" t="str">
        <f t="shared" si="65"/>
        <v/>
      </c>
      <c r="O128" s="19" t="str">
        <f>IF(ISNUMBER(M128), $B145 * N128, "")</f>
        <v/>
      </c>
      <c r="Q128" s="127"/>
      <c r="R128" s="127"/>
      <c r="S128" s="127"/>
    </row>
    <row r="129" spans="1:19" ht="17.25" thickBot="1">
      <c r="A129" s="34"/>
      <c r="B129" s="35"/>
      <c r="C129" s="22"/>
      <c r="D129" s="21"/>
      <c r="E129" s="22" t="str">
        <f t="shared" si="62"/>
        <v/>
      </c>
      <c r="F129" s="23" t="str">
        <f>IF(ISNUMBER(D129), $B145 * E129, "")</f>
        <v/>
      </c>
      <c r="G129" s="21"/>
      <c r="H129" s="22" t="str">
        <f t="shared" si="63"/>
        <v/>
      </c>
      <c r="I129" s="23" t="str">
        <f>IF(ISNUMBER(G129), $B145 * H129, "")</f>
        <v/>
      </c>
      <c r="J129" s="21"/>
      <c r="K129" s="22" t="str">
        <f t="shared" si="64"/>
        <v/>
      </c>
      <c r="L129" s="23" t="str">
        <f>IF(ISNUMBER(J129), $B145 * K129, "")</f>
        <v/>
      </c>
      <c r="M129" s="21"/>
      <c r="N129" s="22" t="str">
        <f t="shared" si="65"/>
        <v/>
      </c>
      <c r="O129" s="23" t="str">
        <f>IF(ISNUMBER(M129), $B145 * N129, "")</f>
        <v/>
      </c>
      <c r="Q129" s="127"/>
      <c r="R129" s="127"/>
      <c r="S129" s="127"/>
    </row>
    <row r="130" spans="1:19" ht="17.25" thickBot="1">
      <c r="A130" s="32"/>
      <c r="B130" s="36"/>
      <c r="C130" s="37"/>
      <c r="D130" s="15"/>
      <c r="E130" s="37" t="str">
        <f>IF(ISNUMBER(D130), (D130 - $B130) / $B130, "")</f>
        <v/>
      </c>
      <c r="F130" s="19" t="str">
        <f>IF(ISNUMBER(D130), $B145 * E130, "")</f>
        <v/>
      </c>
      <c r="G130" s="15"/>
      <c r="H130" s="37" t="str">
        <f>IF(ISNUMBER(G130), (G130 - $B130) / $B130, "")</f>
        <v/>
      </c>
      <c r="I130" s="19" t="str">
        <f>IF(ISNUMBER(G130), $B145 * H130, "")</f>
        <v/>
      </c>
      <c r="J130" s="15"/>
      <c r="K130" s="37" t="str">
        <f>IF(ISNUMBER(J130), (J130 - $B130) / $B130, "")</f>
        <v/>
      </c>
      <c r="L130" s="19" t="str">
        <f>IF(ISNUMBER(J130), $B145 * K130, "")</f>
        <v/>
      </c>
      <c r="M130" s="15"/>
      <c r="N130" s="37" t="str">
        <f>IF(ISNUMBER(M130), (M130 - $B130) / $B130, "")</f>
        <v/>
      </c>
      <c r="O130" s="19" t="str">
        <f>IF(ISNUMBER(M130), $B145 * N130, "")</f>
        <v/>
      </c>
      <c r="Q130" s="127"/>
      <c r="R130" s="127"/>
      <c r="S130" s="127"/>
    </row>
    <row r="131" spans="1:19" ht="17.25" thickBot="1">
      <c r="A131" s="32"/>
      <c r="B131" s="33"/>
      <c r="C131" s="16"/>
      <c r="D131" s="15"/>
      <c r="E131" s="16" t="str">
        <f t="shared" ref="E131:E134" si="66">IF(ISNUMBER(D131), (D131 - $B131) / $B131, "")</f>
        <v/>
      </c>
      <c r="F131" s="19" t="str">
        <f>IF(ISNUMBER(D131), $B145 * E131, "")</f>
        <v/>
      </c>
      <c r="G131" s="15"/>
      <c r="H131" s="16" t="str">
        <f t="shared" ref="H131:H134" si="67">IF(ISNUMBER(G131), (G131 - $B131) / $B131, "")</f>
        <v/>
      </c>
      <c r="I131" s="19" t="str">
        <f>IF(ISNUMBER(G131), $B145 * H131, "")</f>
        <v/>
      </c>
      <c r="J131" s="15"/>
      <c r="K131" s="16" t="str">
        <f t="shared" ref="K131:K134" si="68">IF(ISNUMBER(J131), (J131 - $B131) / $B131, "")</f>
        <v/>
      </c>
      <c r="L131" s="19" t="str">
        <f>IF(ISNUMBER(J131), $B145 * K131, "")</f>
        <v/>
      </c>
      <c r="M131" s="15"/>
      <c r="N131" s="16" t="str">
        <f t="shared" ref="N131:N134" si="69">IF(ISNUMBER(M131), (M131 - $B131) / $B131, "")</f>
        <v/>
      </c>
      <c r="O131" s="19" t="str">
        <f>IF(ISNUMBER(M131), $B145 * N131, "")</f>
        <v/>
      </c>
      <c r="Q131" s="127"/>
      <c r="R131" s="127"/>
      <c r="S131" s="127"/>
    </row>
    <row r="132" spans="1:19" ht="17.25" thickBot="1">
      <c r="A132" s="32"/>
      <c r="B132" s="33"/>
      <c r="C132" s="16"/>
      <c r="D132" s="15"/>
      <c r="E132" s="16" t="str">
        <f t="shared" si="66"/>
        <v/>
      </c>
      <c r="F132" s="19" t="str">
        <f>IF(ISNUMBER(D132), $B145 * E132, "")</f>
        <v/>
      </c>
      <c r="G132" s="15"/>
      <c r="H132" s="16" t="str">
        <f t="shared" si="67"/>
        <v/>
      </c>
      <c r="I132" s="19" t="str">
        <f>IF(ISNUMBER(G132), $B145 * H132, "")</f>
        <v/>
      </c>
      <c r="J132" s="15"/>
      <c r="K132" s="16" t="str">
        <f t="shared" si="68"/>
        <v/>
      </c>
      <c r="L132" s="19" t="str">
        <f>IF(ISNUMBER(J132), $B145 * K132, "")</f>
        <v/>
      </c>
      <c r="M132" s="15"/>
      <c r="N132" s="16" t="str">
        <f t="shared" si="69"/>
        <v/>
      </c>
      <c r="O132" s="19" t="str">
        <f>IF(ISNUMBER(M132), $B145 * N132, "")</f>
        <v/>
      </c>
      <c r="Q132" s="127"/>
      <c r="R132" s="127"/>
      <c r="S132" s="127"/>
    </row>
    <row r="133" spans="1:19" ht="17.25" thickBot="1">
      <c r="A133" s="32"/>
      <c r="B133" s="33"/>
      <c r="C133" s="16"/>
      <c r="D133" s="15"/>
      <c r="E133" s="16" t="str">
        <f t="shared" si="66"/>
        <v/>
      </c>
      <c r="F133" s="19" t="str">
        <f>IF(ISNUMBER(D133), $B145 * E133, "")</f>
        <v/>
      </c>
      <c r="G133" s="15"/>
      <c r="H133" s="16" t="str">
        <f t="shared" si="67"/>
        <v/>
      </c>
      <c r="I133" s="19" t="str">
        <f>IF(ISNUMBER(G133), $B145 * H133, "")</f>
        <v/>
      </c>
      <c r="J133" s="15"/>
      <c r="K133" s="16" t="str">
        <f t="shared" si="68"/>
        <v/>
      </c>
      <c r="L133" s="19" t="str">
        <f>IF(ISNUMBER(J133), $B145 * K133, "")</f>
        <v/>
      </c>
      <c r="M133" s="15"/>
      <c r="N133" s="16" t="str">
        <f t="shared" si="69"/>
        <v/>
      </c>
      <c r="O133" s="19" t="str">
        <f>IF(ISNUMBER(M133), $B145 * N133, "")</f>
        <v/>
      </c>
      <c r="Q133" s="38"/>
      <c r="R133" s="38"/>
    </row>
    <row r="134" spans="1:19" ht="17.25" thickBot="1">
      <c r="A134" s="34"/>
      <c r="B134" s="35"/>
      <c r="C134" s="22"/>
      <c r="D134" s="21"/>
      <c r="E134" s="22" t="str">
        <f t="shared" si="66"/>
        <v/>
      </c>
      <c r="F134" s="19" t="str">
        <f>IF(ISNUMBER(D134), $B145 * E134, "")</f>
        <v/>
      </c>
      <c r="G134" s="21"/>
      <c r="H134" s="22" t="str">
        <f t="shared" si="67"/>
        <v/>
      </c>
      <c r="I134" s="19" t="str">
        <f>IF(ISNUMBER(G134), $B145 * H134, "")</f>
        <v/>
      </c>
      <c r="J134" s="21"/>
      <c r="K134" s="22" t="str">
        <f t="shared" si="68"/>
        <v/>
      </c>
      <c r="L134" s="19" t="str">
        <f>IF(ISNUMBER(J134), $B145 * K134, "")</f>
        <v/>
      </c>
      <c r="M134" s="21"/>
      <c r="N134" s="22" t="str">
        <f t="shared" si="69"/>
        <v/>
      </c>
      <c r="O134" s="19" t="str">
        <f>IF(ISNUMBER(M134), $B145 * N134, "")</f>
        <v/>
      </c>
      <c r="Q134" s="139"/>
      <c r="R134" s="140"/>
      <c r="S134" s="141"/>
    </row>
    <row r="135" spans="1:19">
      <c r="A135" s="30"/>
      <c r="B135" s="31"/>
      <c r="C135" s="14"/>
      <c r="D135" s="13"/>
      <c r="E135" s="14" t="str">
        <f>IF(ISNUMBER(D135), (D135 - $B135) / $B135, "")</f>
        <v/>
      </c>
      <c r="F135" s="17" t="str">
        <f>IF(ISNUMBER(D135), $B145 * E135, "")</f>
        <v/>
      </c>
      <c r="G135" s="13"/>
      <c r="H135" s="14" t="str">
        <f>IF(ISNUMBER(G135), (G135 - $B135) / $B135, "")</f>
        <v/>
      </c>
      <c r="I135" s="17" t="str">
        <f>IF(ISNUMBER(G135), $B145 * H135, "")</f>
        <v/>
      </c>
      <c r="J135" s="13"/>
      <c r="K135" s="14" t="str">
        <f>IF(ISNUMBER(J135), (J135 - $B135) / $B135, "")</f>
        <v/>
      </c>
      <c r="L135" s="17" t="str">
        <f>IF(ISNUMBER(J135), $B145 * K135, "")</f>
        <v/>
      </c>
      <c r="M135" s="13"/>
      <c r="N135" s="14" t="str">
        <f>IF(ISNUMBER(M135), (M135 - $B135) / $B135, "")</f>
        <v/>
      </c>
      <c r="O135" s="17" t="str">
        <f>IF(ISNUMBER(M135), $B145 * N135, "")</f>
        <v/>
      </c>
      <c r="Q135" s="142"/>
      <c r="R135" s="143"/>
      <c r="S135" s="144"/>
    </row>
    <row r="136" spans="1:19" ht="17.25" thickBot="1">
      <c r="A136" s="32"/>
      <c r="B136" s="33"/>
      <c r="C136" s="16"/>
      <c r="D136" s="15"/>
      <c r="E136" s="16" t="str">
        <f t="shared" ref="E136:E139" si="70">IF(ISNUMBER(D136), (D136 - $B136) / $B136, "")</f>
        <v/>
      </c>
      <c r="F136" s="19" t="str">
        <f>IF(ISNUMBER(D136), $B145 * E136, "")</f>
        <v/>
      </c>
      <c r="G136" s="15"/>
      <c r="H136" s="16" t="str">
        <f t="shared" ref="H136:H139" si="71">IF(ISNUMBER(G136), (G136 - $B136) / $B136, "")</f>
        <v/>
      </c>
      <c r="I136" s="19" t="str">
        <f>IF(ISNUMBER(G136), $B145 * H136, "")</f>
        <v/>
      </c>
      <c r="J136" s="15"/>
      <c r="K136" s="16" t="str">
        <f t="shared" ref="K136:K139" si="72">IF(ISNUMBER(J136), (J136 - $B136) / $B136, "")</f>
        <v/>
      </c>
      <c r="L136" s="19" t="str">
        <f>IF(ISNUMBER(J136), $B145 * K136, "")</f>
        <v/>
      </c>
      <c r="M136" s="15"/>
      <c r="N136" s="16" t="str">
        <f t="shared" ref="N136:N139" si="73">IF(ISNUMBER(M136), (M136 - $B136) / $B136, "")</f>
        <v/>
      </c>
      <c r="O136" s="19" t="str">
        <f>IF(ISNUMBER(M136), $B145 * N136, "")</f>
        <v/>
      </c>
      <c r="Q136" s="145"/>
      <c r="R136" s="146"/>
      <c r="S136" s="147"/>
    </row>
    <row r="137" spans="1:19" ht="17.25" thickBot="1">
      <c r="A137" s="32"/>
      <c r="B137" s="33"/>
      <c r="C137" s="16"/>
      <c r="D137" s="15"/>
      <c r="E137" s="16" t="str">
        <f t="shared" si="70"/>
        <v/>
      </c>
      <c r="F137" s="19" t="str">
        <f>IF(ISNUMBER(D137), $B145 * E137, "")</f>
        <v/>
      </c>
      <c r="G137" s="15"/>
      <c r="H137" s="16" t="str">
        <f t="shared" si="71"/>
        <v/>
      </c>
      <c r="I137" s="19" t="str">
        <f>IF(ISNUMBER(G137), $B145 * H137, "")</f>
        <v/>
      </c>
      <c r="J137" s="15"/>
      <c r="K137" s="16" t="str">
        <f t="shared" si="72"/>
        <v/>
      </c>
      <c r="L137" s="19" t="str">
        <f>IF(ISNUMBER(J137), $B145 * K137, "")</f>
        <v/>
      </c>
      <c r="M137" s="15"/>
      <c r="N137" s="16" t="str">
        <f t="shared" si="73"/>
        <v/>
      </c>
      <c r="O137" s="19" t="str">
        <f>IF(ISNUMBER(M137), $B145 * N137, "")</f>
        <v/>
      </c>
      <c r="Q137" s="127"/>
      <c r="R137" s="127"/>
      <c r="S137" s="127"/>
    </row>
    <row r="138" spans="1:19" ht="17.25" thickBot="1">
      <c r="A138" s="32"/>
      <c r="B138" s="33"/>
      <c r="C138" s="16"/>
      <c r="D138" s="15"/>
      <c r="E138" s="16" t="str">
        <f t="shared" si="70"/>
        <v/>
      </c>
      <c r="F138" s="19" t="str">
        <f>IF(ISNUMBER(D138), $B145 * E138, "")</f>
        <v/>
      </c>
      <c r="G138" s="15"/>
      <c r="H138" s="16" t="str">
        <f t="shared" si="71"/>
        <v/>
      </c>
      <c r="I138" s="19" t="str">
        <f>IF(ISNUMBER(G138), $B145 * H138, "")</f>
        <v/>
      </c>
      <c r="J138" s="15"/>
      <c r="K138" s="16" t="str">
        <f t="shared" si="72"/>
        <v/>
      </c>
      <c r="L138" s="19" t="str">
        <f>IF(ISNUMBER(J138), $B145 * K138, "")</f>
        <v/>
      </c>
      <c r="M138" s="15"/>
      <c r="N138" s="16" t="str">
        <f t="shared" si="73"/>
        <v/>
      </c>
      <c r="O138" s="19" t="str">
        <f>IF(ISNUMBER(M138), $B145 * N138, "")</f>
        <v/>
      </c>
      <c r="Q138" s="148"/>
      <c r="R138" s="148"/>
      <c r="S138" s="148"/>
    </row>
    <row r="139" spans="1:19" ht="17.25" thickBot="1">
      <c r="A139" s="34"/>
      <c r="B139" s="35"/>
      <c r="C139" s="22"/>
      <c r="D139" s="21"/>
      <c r="E139" s="22" t="str">
        <f t="shared" si="70"/>
        <v/>
      </c>
      <c r="F139" s="23" t="str">
        <f>IF(ISNUMBER(D139), $B145 * E139, "")</f>
        <v/>
      </c>
      <c r="G139" s="21"/>
      <c r="H139" s="22" t="str">
        <f t="shared" si="71"/>
        <v/>
      </c>
      <c r="I139" s="23" t="str">
        <f>IF(ISNUMBER(G139), $B145 * H139, "")</f>
        <v/>
      </c>
      <c r="J139" s="21"/>
      <c r="K139" s="22" t="str">
        <f t="shared" si="72"/>
        <v/>
      </c>
      <c r="L139" s="23" t="str">
        <f>IF(ISNUMBER(J139), $B145 * K139, "")</f>
        <v/>
      </c>
      <c r="M139" s="21"/>
      <c r="N139" s="22" t="str">
        <f t="shared" si="73"/>
        <v/>
      </c>
      <c r="O139" s="23" t="str">
        <f>IF(ISNUMBER(M139), $B145 * N139, "")</f>
        <v/>
      </c>
      <c r="Q139" s="148"/>
      <c r="R139" s="148"/>
      <c r="S139" s="148"/>
    </row>
    <row r="140" spans="1:19" ht="17.25" thickBot="1">
      <c r="A140" s="32"/>
      <c r="B140" s="36"/>
      <c r="C140" s="37"/>
      <c r="D140" s="15"/>
      <c r="E140" s="37" t="str">
        <f>IF(ISNUMBER(D140), (D140 - $B140) / $B140, "")</f>
        <v/>
      </c>
      <c r="F140" s="19" t="str">
        <f>IF(ISNUMBER(D140), $B145 * E140, "")</f>
        <v/>
      </c>
      <c r="G140" s="15"/>
      <c r="H140" s="37" t="str">
        <f>IF(ISNUMBER(G140), (G140 - $B140) / $B140, "")</f>
        <v/>
      </c>
      <c r="I140" s="19" t="str">
        <f>IF(ISNUMBER(G140), $B145 * H140, "")</f>
        <v/>
      </c>
      <c r="J140" s="15"/>
      <c r="K140" s="37" t="str">
        <f>IF(ISNUMBER(J140), (J140 - $B140) / $B140, "")</f>
        <v/>
      </c>
      <c r="L140" s="19" t="str">
        <f>IF(ISNUMBER(J140), $B145 * K140, "")</f>
        <v/>
      </c>
      <c r="M140" s="15"/>
      <c r="N140" s="37" t="str">
        <f>IF(ISNUMBER(M140), (M140 - $B140) / $B140, "")</f>
        <v/>
      </c>
      <c r="O140" s="19" t="str">
        <f>IF(ISNUMBER(M140), $B145 * N140, "")</f>
        <v/>
      </c>
      <c r="Q140" s="127"/>
      <c r="R140" s="127"/>
      <c r="S140" s="127"/>
    </row>
    <row r="141" spans="1:19" ht="17.25" thickBot="1">
      <c r="A141" s="32"/>
      <c r="B141" s="33"/>
      <c r="C141" s="16"/>
      <c r="D141" s="15"/>
      <c r="E141" s="16" t="str">
        <f t="shared" ref="E141:E144" si="74">IF(ISNUMBER(D141), (D141 - $B141) / $B141, "")</f>
        <v/>
      </c>
      <c r="F141" s="19" t="str">
        <f>IF(ISNUMBER(D141), $B145 * E141, "")</f>
        <v/>
      </c>
      <c r="G141" s="15"/>
      <c r="H141" s="16" t="str">
        <f t="shared" ref="H141:H144" si="75">IF(ISNUMBER(G141), (G141 - $B141) / $B141, "")</f>
        <v/>
      </c>
      <c r="I141" s="19" t="str">
        <f>IF(ISNUMBER(G141), $B145 * H141, "")</f>
        <v/>
      </c>
      <c r="J141" s="15"/>
      <c r="K141" s="16" t="str">
        <f t="shared" ref="K141:K144" si="76">IF(ISNUMBER(J141), (J141 - $B141) / $B141, "")</f>
        <v/>
      </c>
      <c r="L141" s="19" t="str">
        <f>IF(ISNUMBER(J141), $B145 * K141, "")</f>
        <v/>
      </c>
      <c r="M141" s="15"/>
      <c r="N141" s="16" t="str">
        <f t="shared" ref="N141:N144" si="77">IF(ISNUMBER(M141), (M141 - $B141) / $B141, "")</f>
        <v/>
      </c>
      <c r="O141" s="19" t="str">
        <f>IF(ISNUMBER(M141), $B145 * N141, "")</f>
        <v/>
      </c>
      <c r="Q141" s="127"/>
      <c r="R141" s="127"/>
      <c r="S141" s="127"/>
    </row>
    <row r="142" spans="1:19" ht="17.25" thickBot="1">
      <c r="A142" s="32"/>
      <c r="B142" s="33"/>
      <c r="C142" s="16"/>
      <c r="D142" s="15"/>
      <c r="E142" s="16" t="str">
        <f t="shared" si="74"/>
        <v/>
      </c>
      <c r="F142" s="19" t="str">
        <f>IF(ISNUMBER(D142), $B145 * E142, "")</f>
        <v/>
      </c>
      <c r="G142" s="15"/>
      <c r="H142" s="16" t="str">
        <f t="shared" si="75"/>
        <v/>
      </c>
      <c r="I142" s="19" t="str">
        <f>IF(ISNUMBER(G142), $B145 * H142, "")</f>
        <v/>
      </c>
      <c r="J142" s="15"/>
      <c r="K142" s="16" t="str">
        <f t="shared" si="76"/>
        <v/>
      </c>
      <c r="L142" s="19" t="str">
        <f>IF(ISNUMBER(J142), $B145 * K142, "")</f>
        <v/>
      </c>
      <c r="M142" s="15"/>
      <c r="N142" s="16" t="str">
        <f t="shared" si="77"/>
        <v/>
      </c>
      <c r="O142" s="19" t="str">
        <f>IF(ISNUMBER(M142), $B145 * N142, "")</f>
        <v/>
      </c>
      <c r="Q142" s="127"/>
      <c r="R142" s="127"/>
      <c r="S142" s="127"/>
    </row>
    <row r="143" spans="1:19">
      <c r="A143" s="32"/>
      <c r="B143" s="33"/>
      <c r="C143" s="16"/>
      <c r="D143" s="15"/>
      <c r="E143" s="16" t="str">
        <f t="shared" si="74"/>
        <v/>
      </c>
      <c r="F143" s="19" t="str">
        <f>IF(ISNUMBER(D143), $B145 * E143, "")</f>
        <v/>
      </c>
      <c r="G143" s="15"/>
      <c r="H143" s="16" t="str">
        <f t="shared" si="75"/>
        <v/>
      </c>
      <c r="I143" s="19" t="str">
        <f>IF(ISNUMBER(G143), $B145 * H143, "")</f>
        <v/>
      </c>
      <c r="J143" s="15"/>
      <c r="K143" s="16" t="str">
        <f t="shared" si="76"/>
        <v/>
      </c>
      <c r="L143" s="19" t="str">
        <f>IF(ISNUMBER(J143), $B145 * K143, "")</f>
        <v/>
      </c>
      <c r="M143" s="15"/>
      <c r="N143" s="16" t="str">
        <f t="shared" si="77"/>
        <v/>
      </c>
      <c r="O143" s="19" t="str">
        <f>IF(ISNUMBER(M143), $B145 * N143, "")</f>
        <v/>
      </c>
      <c r="Q143" s="128"/>
      <c r="R143" s="129"/>
      <c r="S143" s="130"/>
    </row>
    <row r="144" spans="1:19" ht="17.25" thickBot="1">
      <c r="A144" s="34"/>
      <c r="B144" s="35"/>
      <c r="C144" s="22"/>
      <c r="D144" s="21"/>
      <c r="E144" s="22" t="str">
        <f t="shared" si="74"/>
        <v/>
      </c>
      <c r="F144" s="19" t="str">
        <f>IF(ISNUMBER(D144), $B145 * E144, "")</f>
        <v/>
      </c>
      <c r="G144" s="21"/>
      <c r="H144" s="22" t="str">
        <f t="shared" si="75"/>
        <v/>
      </c>
      <c r="I144" s="19" t="str">
        <f>IF(ISNUMBER(G144), $B145 * H144, "")</f>
        <v/>
      </c>
      <c r="J144" s="21"/>
      <c r="K144" s="22" t="str">
        <f t="shared" si="76"/>
        <v/>
      </c>
      <c r="L144" s="19" t="str">
        <f>IF(ISNUMBER(J144), $B145 * K144, "")</f>
        <v/>
      </c>
      <c r="M144" s="21"/>
      <c r="N144" s="22" t="str">
        <f t="shared" si="77"/>
        <v/>
      </c>
      <c r="O144" s="19" t="str">
        <f>IF(ISNUMBER(M144), $B145 * N144, "")</f>
        <v/>
      </c>
      <c r="Q144" s="131"/>
      <c r="R144" s="132"/>
      <c r="S144" s="133"/>
    </row>
    <row r="145" spans="1:19" ht="17.25" thickBot="1">
      <c r="A145" s="27" t="s">
        <v>42</v>
      </c>
      <c r="B145" s="137">
        <f>$B$37</f>
        <v>300000</v>
      </c>
      <c r="C145" s="138"/>
      <c r="D145" s="27" t="s">
        <v>43</v>
      </c>
      <c r="E145" s="28">
        <f>IF(COUNT(E125:E144), SUM(E125:E144) / COUNT(E125:E144), 0)</f>
        <v>0</v>
      </c>
      <c r="F145" s="29">
        <f>SUM(F125:F144)</f>
        <v>0</v>
      </c>
      <c r="G145" s="27" t="s">
        <v>43</v>
      </c>
      <c r="H145" s="28">
        <f>IF(COUNT(H125:H144), SUM(H125:H144) / COUNT(H125:H144), 0)</f>
        <v>0</v>
      </c>
      <c r="I145" s="29">
        <f>SUM(I125:I144)</f>
        <v>0</v>
      </c>
      <c r="J145" s="27" t="s">
        <v>43</v>
      </c>
      <c r="K145" s="28">
        <f>IF(COUNT(K125:K144), SUM(K125:K144) / COUNT(K125:K144), 0)</f>
        <v>0</v>
      </c>
      <c r="L145" s="29">
        <f>SUM(L125:L144)</f>
        <v>0</v>
      </c>
      <c r="M145" s="27" t="s">
        <v>43</v>
      </c>
      <c r="N145" s="28">
        <f>IF(COUNT(N125:N144), SUM(N125:N144) / COUNT(N125:N144), 0)</f>
        <v>0</v>
      </c>
      <c r="O145" s="29">
        <f>SUM(O125:O144)</f>
        <v>0</v>
      </c>
      <c r="Q145" s="134"/>
      <c r="R145" s="135"/>
      <c r="S145" s="136"/>
    </row>
    <row r="147" spans="1:19" ht="17.25" thickBot="1"/>
    <row r="148" spans="1:19" ht="17.25" thickBot="1">
      <c r="A148" s="149" t="s">
        <v>289</v>
      </c>
      <c r="B148" s="150"/>
      <c r="C148" s="150"/>
      <c r="D148" s="150"/>
      <c r="E148" s="150"/>
      <c r="F148" s="150"/>
      <c r="G148" s="150"/>
      <c r="H148" s="150"/>
      <c r="I148" s="150"/>
      <c r="J148" s="150"/>
      <c r="K148" s="150"/>
      <c r="L148" s="150"/>
      <c r="M148" s="150"/>
      <c r="N148" s="150"/>
      <c r="O148" s="151"/>
      <c r="Q148" s="148"/>
      <c r="R148" s="148"/>
      <c r="S148" s="148"/>
    </row>
    <row r="149" spans="1:19" ht="17.25" thickBot="1">
      <c r="A149" s="66" t="s">
        <v>35</v>
      </c>
      <c r="B149" s="149" t="s">
        <v>36</v>
      </c>
      <c r="C149" s="151"/>
      <c r="D149" s="149" t="s">
        <v>37</v>
      </c>
      <c r="E149" s="150"/>
      <c r="F149" s="151"/>
      <c r="G149" s="152">
        <f>_xlfn.IFNA(VLOOKUP(B149, 현재가테이블!$B$2:$D$200, 2, FALSE), "-")</f>
        <v>68203000</v>
      </c>
      <c r="H149" s="153"/>
      <c r="I149" s="154"/>
      <c r="J149" s="149" t="s">
        <v>38</v>
      </c>
      <c r="K149" s="150"/>
      <c r="L149" s="151"/>
      <c r="M149" s="155">
        <f>_xlfn.IFNA(VLOOKUP(B149, 현재가테이블!$B$2:$D$200, 3, FALSE), "-")</f>
        <v>-1.22521687E-2</v>
      </c>
      <c r="N149" s="156"/>
      <c r="O149" s="157"/>
      <c r="Q149" s="148"/>
      <c r="R149" s="148"/>
      <c r="S149" s="148"/>
    </row>
    <row r="150" spans="1:19" ht="17.25" thickBot="1">
      <c r="A150" s="158" t="s">
        <v>39</v>
      </c>
      <c r="B150" s="159" t="str">
        <f>TEXT($G$1, "[$-ko-KR]yyyy-mm-dd(ddd) ") &amp; "오전 00:00"</f>
        <v>2021-04-01(목) 오전 00:00</v>
      </c>
      <c r="C150" s="160"/>
      <c r="D150" s="161" t="str">
        <f>TEXT($G$1, "[$-ko-KR]yyyy-mm-dd(ddd) ") &amp; "오후 14:00"</f>
        <v>2021-04-01(목) 오후 14:00</v>
      </c>
      <c r="E150" s="162"/>
      <c r="F150" s="163"/>
      <c r="G150" s="161" t="str">
        <f>TEXT($G$1, "[$-ko-KR]yyyy-mm-dd(ddd) ") &amp; "오후 19:00"</f>
        <v>2021-04-01(목) 오후 19:00</v>
      </c>
      <c r="H150" s="162"/>
      <c r="I150" s="163"/>
      <c r="J150" s="164" t="str">
        <f>TEXT($G$1, "[$-ko-KR]yyyy-mm-dd(ddd) ") &amp; "오후 21:00"</f>
        <v>2021-04-01(목) 오후 21:00</v>
      </c>
      <c r="K150" s="164"/>
      <c r="L150" s="164"/>
      <c r="M150" s="161" t="str">
        <f>TEXT($G$1+1, "[$-ko-KR]yyyy-mm-dd(ddd) ") &amp; "오전 00:00"</f>
        <v>2021-04-02(금) 오전 00:00</v>
      </c>
      <c r="N150" s="162"/>
      <c r="O150" s="163"/>
      <c r="Q150" s="148"/>
      <c r="R150" s="148"/>
      <c r="S150" s="148"/>
    </row>
    <row r="151" spans="1:19" ht="17.25" thickBot="1">
      <c r="A151" s="158"/>
      <c r="B151" s="2" t="s">
        <v>37</v>
      </c>
      <c r="C151" s="10" t="s">
        <v>38</v>
      </c>
      <c r="D151" s="2" t="s">
        <v>37</v>
      </c>
      <c r="E151" s="10" t="s">
        <v>40</v>
      </c>
      <c r="F151" s="11" t="s">
        <v>41</v>
      </c>
      <c r="G151" s="2" t="s">
        <v>37</v>
      </c>
      <c r="H151" s="10" t="s">
        <v>40</v>
      </c>
      <c r="I151" s="11" t="s">
        <v>41</v>
      </c>
      <c r="J151" s="10" t="s">
        <v>37</v>
      </c>
      <c r="K151" s="10" t="s">
        <v>40</v>
      </c>
      <c r="L151" s="70" t="s">
        <v>41</v>
      </c>
      <c r="M151" s="2" t="s">
        <v>37</v>
      </c>
      <c r="N151" s="10" t="s">
        <v>40</v>
      </c>
      <c r="O151" s="72" t="s">
        <v>41</v>
      </c>
      <c r="Q151" s="127"/>
      <c r="R151" s="127"/>
      <c r="S151" s="127"/>
    </row>
    <row r="152" spans="1:19" ht="17.25" thickBot="1">
      <c r="A152" s="30"/>
      <c r="B152" s="31"/>
      <c r="C152" s="14"/>
      <c r="D152" s="13"/>
      <c r="E152" s="14" t="str">
        <f>IF(ISNUMBER(D152), (D152 - $B152) / $B152, "")</f>
        <v/>
      </c>
      <c r="F152" s="17" t="str">
        <f>IF(ISNUMBER(D152), $B172 * E152, "")</f>
        <v/>
      </c>
      <c r="G152" s="13"/>
      <c r="H152" s="14" t="str">
        <f>IF(ISNUMBER(G152), (G152 - $B152) / $B152, "")</f>
        <v/>
      </c>
      <c r="I152" s="17" t="str">
        <f>IF(ISNUMBER(G152), $B172 * H152, "")</f>
        <v/>
      </c>
      <c r="J152" s="13"/>
      <c r="K152" s="14" t="str">
        <f>IF(ISNUMBER(J152), (J152 - $B152) / $B152, "")</f>
        <v/>
      </c>
      <c r="L152" s="17" t="str">
        <f>IF(ISNUMBER(J152), $B172 * K152, "")</f>
        <v/>
      </c>
      <c r="M152" s="13"/>
      <c r="N152" s="14" t="str">
        <f>IF(ISNUMBER(M152), (M152 - $B152) / $B152, "")</f>
        <v/>
      </c>
      <c r="O152" s="17" t="str">
        <f>IF(ISNUMBER(M152), $B172 * N152, "")</f>
        <v/>
      </c>
      <c r="Q152" s="148"/>
      <c r="R152" s="148"/>
      <c r="S152" s="148"/>
    </row>
    <row r="153" spans="1:19" ht="17.25" thickBot="1">
      <c r="A153" s="32"/>
      <c r="B153" s="33"/>
      <c r="C153" s="16"/>
      <c r="D153" s="15"/>
      <c r="E153" s="16" t="str">
        <f t="shared" ref="E153:E156" si="78">IF(ISNUMBER(D153), (D153 - $B153) / $B153, "")</f>
        <v/>
      </c>
      <c r="F153" s="19" t="str">
        <f>IF(ISNUMBER(D153), $B172 * E153, "")</f>
        <v/>
      </c>
      <c r="G153" s="15"/>
      <c r="H153" s="16" t="str">
        <f t="shared" ref="H153:H156" si="79">IF(ISNUMBER(G153), (G153 - $B153) / $B153, "")</f>
        <v/>
      </c>
      <c r="I153" s="19" t="str">
        <f>IF(ISNUMBER(G153), $B172 * H153, "")</f>
        <v/>
      </c>
      <c r="J153" s="15"/>
      <c r="K153" s="16" t="str">
        <f t="shared" ref="K153:K156" si="80">IF(ISNUMBER(J153), (J153 - $B153) / $B153, "")</f>
        <v/>
      </c>
      <c r="L153" s="19" t="str">
        <f>IF(ISNUMBER(J153), $B172 * K153, "")</f>
        <v/>
      </c>
      <c r="M153" s="15"/>
      <c r="N153" s="16" t="str">
        <f t="shared" ref="N153:N156" si="81">IF(ISNUMBER(M153), (M153 - $B153) / $B153, "")</f>
        <v/>
      </c>
      <c r="O153" s="19" t="str">
        <f>IF(ISNUMBER(M153), $B172 * N153, "")</f>
        <v/>
      </c>
      <c r="Q153" s="148"/>
      <c r="R153" s="148"/>
      <c r="S153" s="148"/>
    </row>
    <row r="154" spans="1:19" ht="17.25" thickBot="1">
      <c r="A154" s="32"/>
      <c r="B154" s="33"/>
      <c r="C154" s="16"/>
      <c r="D154" s="15"/>
      <c r="E154" s="16" t="str">
        <f t="shared" si="78"/>
        <v/>
      </c>
      <c r="F154" s="19" t="str">
        <f>IF(ISNUMBER(D154), $B172 * E154, "")</f>
        <v/>
      </c>
      <c r="G154" s="15"/>
      <c r="H154" s="16" t="str">
        <f t="shared" si="79"/>
        <v/>
      </c>
      <c r="I154" s="19" t="str">
        <f>IF(ISNUMBER(G154), $B172 * H154, "")</f>
        <v/>
      </c>
      <c r="J154" s="15"/>
      <c r="K154" s="16" t="str">
        <f t="shared" si="80"/>
        <v/>
      </c>
      <c r="L154" s="19" t="str">
        <f>IF(ISNUMBER(J154), $B172 * K154, "")</f>
        <v/>
      </c>
      <c r="M154" s="15"/>
      <c r="N154" s="16" t="str">
        <f t="shared" si="81"/>
        <v/>
      </c>
      <c r="O154" s="19" t="str">
        <f>IF(ISNUMBER(M154), $B172 * N154, "")</f>
        <v/>
      </c>
      <c r="Q154" s="127"/>
      <c r="R154" s="127"/>
      <c r="S154" s="127"/>
    </row>
    <row r="155" spans="1:19" ht="17.25" thickBot="1">
      <c r="A155" s="32"/>
      <c r="B155" s="33"/>
      <c r="C155" s="16"/>
      <c r="D155" s="15"/>
      <c r="E155" s="16" t="str">
        <f t="shared" si="78"/>
        <v/>
      </c>
      <c r="F155" s="19" t="str">
        <f>IF(ISNUMBER(D155), $B172 * E155, "")</f>
        <v/>
      </c>
      <c r="G155" s="15"/>
      <c r="H155" s="16" t="str">
        <f t="shared" si="79"/>
        <v/>
      </c>
      <c r="I155" s="19" t="str">
        <f>IF(ISNUMBER(G155), $B172 * H155, "")</f>
        <v/>
      </c>
      <c r="J155" s="15"/>
      <c r="K155" s="16" t="str">
        <f t="shared" si="80"/>
        <v/>
      </c>
      <c r="L155" s="19" t="str">
        <f>IF(ISNUMBER(J155), $B172 * K155, "")</f>
        <v/>
      </c>
      <c r="M155" s="15"/>
      <c r="N155" s="16" t="str">
        <f t="shared" si="81"/>
        <v/>
      </c>
      <c r="O155" s="19" t="str">
        <f>IF(ISNUMBER(M155), $B172 * N155, "")</f>
        <v/>
      </c>
      <c r="Q155" s="127"/>
      <c r="R155" s="127"/>
      <c r="S155" s="127"/>
    </row>
    <row r="156" spans="1:19" ht="17.25" thickBot="1">
      <c r="A156" s="34"/>
      <c r="B156" s="35"/>
      <c r="C156" s="22"/>
      <c r="D156" s="21"/>
      <c r="E156" s="22" t="str">
        <f t="shared" si="78"/>
        <v/>
      </c>
      <c r="F156" s="23" t="str">
        <f>IF(ISNUMBER(D156), $B172 * E156, "")</f>
        <v/>
      </c>
      <c r="G156" s="21"/>
      <c r="H156" s="22" t="str">
        <f t="shared" si="79"/>
        <v/>
      </c>
      <c r="I156" s="23" t="str">
        <f>IF(ISNUMBER(G156), $B172 * H156, "")</f>
        <v/>
      </c>
      <c r="J156" s="21"/>
      <c r="K156" s="22" t="str">
        <f t="shared" si="80"/>
        <v/>
      </c>
      <c r="L156" s="23" t="str">
        <f>IF(ISNUMBER(J156), $B172 * K156, "")</f>
        <v/>
      </c>
      <c r="M156" s="21"/>
      <c r="N156" s="22" t="str">
        <f t="shared" si="81"/>
        <v/>
      </c>
      <c r="O156" s="23" t="str">
        <f>IF(ISNUMBER(M156), $B172 * N156, "")</f>
        <v/>
      </c>
      <c r="Q156" s="127"/>
      <c r="R156" s="127"/>
      <c r="S156" s="127"/>
    </row>
    <row r="157" spans="1:19" ht="17.25" thickBot="1">
      <c r="A157" s="32"/>
      <c r="B157" s="36"/>
      <c r="C157" s="37"/>
      <c r="D157" s="15"/>
      <c r="E157" s="37" t="str">
        <f>IF(ISNUMBER(D157), (D157 - $B157) / $B157, "")</f>
        <v/>
      </c>
      <c r="F157" s="19" t="str">
        <f>IF(ISNUMBER(D157), $B172 * E157, "")</f>
        <v/>
      </c>
      <c r="G157" s="15"/>
      <c r="H157" s="37" t="str">
        <f>IF(ISNUMBER(G157), (G157 - $B157) / $B157, "")</f>
        <v/>
      </c>
      <c r="I157" s="19" t="str">
        <f>IF(ISNUMBER(G157), $B172 * H157, "")</f>
        <v/>
      </c>
      <c r="J157" s="15"/>
      <c r="K157" s="37" t="str">
        <f>IF(ISNUMBER(J157), (J157 - $B157) / $B157, "")</f>
        <v/>
      </c>
      <c r="L157" s="19" t="str">
        <f>IF(ISNUMBER(J157), $B172 * K157, "")</f>
        <v/>
      </c>
      <c r="M157" s="15"/>
      <c r="N157" s="37" t="str">
        <f>IF(ISNUMBER(M157), (M157 - $B157) / $B157, "")</f>
        <v/>
      </c>
      <c r="O157" s="19" t="str">
        <f>IF(ISNUMBER(M157), $B172 * N157, "")</f>
        <v/>
      </c>
      <c r="Q157" s="127"/>
      <c r="R157" s="127"/>
      <c r="S157" s="127"/>
    </row>
    <row r="158" spans="1:19" ht="17.25" thickBot="1">
      <c r="A158" s="32"/>
      <c r="B158" s="33"/>
      <c r="C158" s="16"/>
      <c r="D158" s="15"/>
      <c r="E158" s="16" t="str">
        <f t="shared" ref="E158:E161" si="82">IF(ISNUMBER(D158), (D158 - $B158) / $B158, "")</f>
        <v/>
      </c>
      <c r="F158" s="19" t="str">
        <f>IF(ISNUMBER(D158), $B172 * E158, "")</f>
        <v/>
      </c>
      <c r="G158" s="15"/>
      <c r="H158" s="16" t="str">
        <f t="shared" ref="H158:H161" si="83">IF(ISNUMBER(G158), (G158 - $B158) / $B158, "")</f>
        <v/>
      </c>
      <c r="I158" s="19" t="str">
        <f>IF(ISNUMBER(G158), $B172 * H158, "")</f>
        <v/>
      </c>
      <c r="J158" s="15"/>
      <c r="K158" s="16" t="str">
        <f t="shared" ref="K158:K161" si="84">IF(ISNUMBER(J158), (J158 - $B158) / $B158, "")</f>
        <v/>
      </c>
      <c r="L158" s="19" t="str">
        <f>IF(ISNUMBER(J158), $B172 * K158, "")</f>
        <v/>
      </c>
      <c r="M158" s="15"/>
      <c r="N158" s="16" t="str">
        <f t="shared" ref="N158:N161" si="85">IF(ISNUMBER(M158), (M158 - $B158) / $B158, "")</f>
        <v/>
      </c>
      <c r="O158" s="19" t="str">
        <f>IF(ISNUMBER(M158), $B172 * N158, "")</f>
        <v/>
      </c>
      <c r="Q158" s="127"/>
      <c r="R158" s="127"/>
      <c r="S158" s="127"/>
    </row>
    <row r="159" spans="1:19" ht="17.25" thickBot="1">
      <c r="A159" s="32"/>
      <c r="B159" s="33"/>
      <c r="C159" s="16"/>
      <c r="D159" s="15"/>
      <c r="E159" s="16" t="str">
        <f t="shared" si="82"/>
        <v/>
      </c>
      <c r="F159" s="19" t="str">
        <f>IF(ISNUMBER(D159), $B172 * E159, "")</f>
        <v/>
      </c>
      <c r="G159" s="15"/>
      <c r="H159" s="16" t="str">
        <f t="shared" si="83"/>
        <v/>
      </c>
      <c r="I159" s="19" t="str">
        <f>IF(ISNUMBER(G159), $B172 * H159, "")</f>
        <v/>
      </c>
      <c r="J159" s="15"/>
      <c r="K159" s="16" t="str">
        <f t="shared" si="84"/>
        <v/>
      </c>
      <c r="L159" s="19" t="str">
        <f>IF(ISNUMBER(J159), $B172 * K159, "")</f>
        <v/>
      </c>
      <c r="M159" s="15"/>
      <c r="N159" s="16" t="str">
        <f t="shared" si="85"/>
        <v/>
      </c>
      <c r="O159" s="19" t="str">
        <f>IF(ISNUMBER(M159), $B172 * N159, "")</f>
        <v/>
      </c>
      <c r="Q159" s="127"/>
      <c r="R159" s="127"/>
      <c r="S159" s="127"/>
    </row>
    <row r="160" spans="1:19" ht="17.25" thickBot="1">
      <c r="A160" s="32"/>
      <c r="B160" s="33"/>
      <c r="C160" s="16"/>
      <c r="D160" s="15"/>
      <c r="E160" s="16" t="str">
        <f t="shared" si="82"/>
        <v/>
      </c>
      <c r="F160" s="19" t="str">
        <f>IF(ISNUMBER(D160), $B172 * E160, "")</f>
        <v/>
      </c>
      <c r="G160" s="15"/>
      <c r="H160" s="16" t="str">
        <f t="shared" si="83"/>
        <v/>
      </c>
      <c r="I160" s="19" t="str">
        <f>IF(ISNUMBER(G160), $B172 * H160, "")</f>
        <v/>
      </c>
      <c r="J160" s="15"/>
      <c r="K160" s="16" t="str">
        <f t="shared" si="84"/>
        <v/>
      </c>
      <c r="L160" s="19" t="str">
        <f>IF(ISNUMBER(J160), $B172 * K160, "")</f>
        <v/>
      </c>
      <c r="M160" s="15"/>
      <c r="N160" s="16" t="str">
        <f t="shared" si="85"/>
        <v/>
      </c>
      <c r="O160" s="19" t="str">
        <f>IF(ISNUMBER(M160), $B172 * N160, "")</f>
        <v/>
      </c>
      <c r="Q160" s="38"/>
      <c r="R160" s="38"/>
    </row>
    <row r="161" spans="1:19" ht="17.25" thickBot="1">
      <c r="A161" s="34"/>
      <c r="B161" s="35"/>
      <c r="C161" s="22"/>
      <c r="D161" s="21"/>
      <c r="E161" s="22" t="str">
        <f t="shared" si="82"/>
        <v/>
      </c>
      <c r="F161" s="19" t="str">
        <f>IF(ISNUMBER(D161), $B172 * E161, "")</f>
        <v/>
      </c>
      <c r="G161" s="21"/>
      <c r="H161" s="22" t="str">
        <f t="shared" si="83"/>
        <v/>
      </c>
      <c r="I161" s="19" t="str">
        <f>IF(ISNUMBER(G161), $B172 * H161, "")</f>
        <v/>
      </c>
      <c r="J161" s="21"/>
      <c r="K161" s="22" t="str">
        <f t="shared" si="84"/>
        <v/>
      </c>
      <c r="L161" s="19" t="str">
        <f>IF(ISNUMBER(J161), $B172 * K161, "")</f>
        <v/>
      </c>
      <c r="M161" s="21"/>
      <c r="N161" s="22" t="str">
        <f t="shared" si="85"/>
        <v/>
      </c>
      <c r="O161" s="19" t="str">
        <f>IF(ISNUMBER(M161), $B172 * N161, "")</f>
        <v/>
      </c>
      <c r="Q161" s="139"/>
      <c r="R161" s="140"/>
      <c r="S161" s="141"/>
    </row>
    <row r="162" spans="1:19">
      <c r="A162" s="30"/>
      <c r="B162" s="31"/>
      <c r="C162" s="14"/>
      <c r="D162" s="13"/>
      <c r="E162" s="14" t="str">
        <f>IF(ISNUMBER(D162), (D162 - $B162) / $B162, "")</f>
        <v/>
      </c>
      <c r="F162" s="17" t="str">
        <f>IF(ISNUMBER(D162), $B172 * E162, "")</f>
        <v/>
      </c>
      <c r="G162" s="13"/>
      <c r="H162" s="14" t="str">
        <f>IF(ISNUMBER(G162), (G162 - $B162) / $B162, "")</f>
        <v/>
      </c>
      <c r="I162" s="17" t="str">
        <f>IF(ISNUMBER(G162), $B172 * H162, "")</f>
        <v/>
      </c>
      <c r="J162" s="13"/>
      <c r="K162" s="14" t="str">
        <f>IF(ISNUMBER(J162), (J162 - $B162) / $B162, "")</f>
        <v/>
      </c>
      <c r="L162" s="17" t="str">
        <f>IF(ISNUMBER(J162), $B172 * K162, "")</f>
        <v/>
      </c>
      <c r="M162" s="13"/>
      <c r="N162" s="14" t="str">
        <f>IF(ISNUMBER(M162), (M162 - $B162) / $B162, "")</f>
        <v/>
      </c>
      <c r="O162" s="17" t="str">
        <f>IF(ISNUMBER(M162), $B172 * N162, "")</f>
        <v/>
      </c>
      <c r="Q162" s="142"/>
      <c r="R162" s="143"/>
      <c r="S162" s="144"/>
    </row>
    <row r="163" spans="1:19" ht="17.25" thickBot="1">
      <c r="A163" s="32"/>
      <c r="B163" s="33"/>
      <c r="C163" s="16"/>
      <c r="D163" s="15"/>
      <c r="E163" s="16" t="str">
        <f t="shared" ref="E163:E166" si="86">IF(ISNUMBER(D163), (D163 - $B163) / $B163, "")</f>
        <v/>
      </c>
      <c r="F163" s="19" t="str">
        <f>IF(ISNUMBER(D163), $B172 * E163, "")</f>
        <v/>
      </c>
      <c r="G163" s="15"/>
      <c r="H163" s="16" t="str">
        <f t="shared" ref="H163:H166" si="87">IF(ISNUMBER(G163), (G163 - $B163) / $B163, "")</f>
        <v/>
      </c>
      <c r="I163" s="19" t="str">
        <f>IF(ISNUMBER(G163), $B172 * H163, "")</f>
        <v/>
      </c>
      <c r="J163" s="15"/>
      <c r="K163" s="16" t="str">
        <f t="shared" ref="K163:K166" si="88">IF(ISNUMBER(J163), (J163 - $B163) / $B163, "")</f>
        <v/>
      </c>
      <c r="L163" s="19" t="str">
        <f>IF(ISNUMBER(J163), $B172 * K163, "")</f>
        <v/>
      </c>
      <c r="M163" s="15"/>
      <c r="N163" s="16" t="str">
        <f t="shared" ref="N163:N166" si="89">IF(ISNUMBER(M163), (M163 - $B163) / $B163, "")</f>
        <v/>
      </c>
      <c r="O163" s="19" t="str">
        <f>IF(ISNUMBER(M163), $B172 * N163, "")</f>
        <v/>
      </c>
      <c r="Q163" s="145"/>
      <c r="R163" s="146"/>
      <c r="S163" s="147"/>
    </row>
    <row r="164" spans="1:19" ht="17.25" thickBot="1">
      <c r="A164" s="32"/>
      <c r="B164" s="33"/>
      <c r="C164" s="16"/>
      <c r="D164" s="15"/>
      <c r="E164" s="16" t="str">
        <f t="shared" si="86"/>
        <v/>
      </c>
      <c r="F164" s="19" t="str">
        <f>IF(ISNUMBER(D164), $B172 * E164, "")</f>
        <v/>
      </c>
      <c r="G164" s="15"/>
      <c r="H164" s="16" t="str">
        <f t="shared" si="87"/>
        <v/>
      </c>
      <c r="I164" s="19" t="str">
        <f>IF(ISNUMBER(G164), $B172 * H164, "")</f>
        <v/>
      </c>
      <c r="J164" s="15"/>
      <c r="K164" s="16" t="str">
        <f t="shared" si="88"/>
        <v/>
      </c>
      <c r="L164" s="19" t="str">
        <f>IF(ISNUMBER(J164), $B172 * K164, "")</f>
        <v/>
      </c>
      <c r="M164" s="15"/>
      <c r="N164" s="16" t="str">
        <f t="shared" si="89"/>
        <v/>
      </c>
      <c r="O164" s="19" t="str">
        <f>IF(ISNUMBER(M164), $B172 * N164, "")</f>
        <v/>
      </c>
      <c r="Q164" s="127"/>
      <c r="R164" s="127"/>
      <c r="S164" s="127"/>
    </row>
    <row r="165" spans="1:19" ht="17.25" thickBot="1">
      <c r="A165" s="32"/>
      <c r="B165" s="33"/>
      <c r="C165" s="16"/>
      <c r="D165" s="15"/>
      <c r="E165" s="16" t="str">
        <f t="shared" si="86"/>
        <v/>
      </c>
      <c r="F165" s="19" t="str">
        <f>IF(ISNUMBER(D165), $B172 * E165, "")</f>
        <v/>
      </c>
      <c r="G165" s="15"/>
      <c r="H165" s="16" t="str">
        <f t="shared" si="87"/>
        <v/>
      </c>
      <c r="I165" s="19" t="str">
        <f>IF(ISNUMBER(G165), $B172 * H165, "")</f>
        <v/>
      </c>
      <c r="J165" s="15"/>
      <c r="K165" s="16" t="str">
        <f t="shared" si="88"/>
        <v/>
      </c>
      <c r="L165" s="19" t="str">
        <f>IF(ISNUMBER(J165), $B172 * K165, "")</f>
        <v/>
      </c>
      <c r="M165" s="15"/>
      <c r="N165" s="16" t="str">
        <f t="shared" si="89"/>
        <v/>
      </c>
      <c r="O165" s="19" t="str">
        <f>IF(ISNUMBER(M165), $B172 * N165, "")</f>
        <v/>
      </c>
      <c r="Q165" s="148"/>
      <c r="R165" s="148"/>
      <c r="S165" s="148"/>
    </row>
    <row r="166" spans="1:19" ht="17.25" thickBot="1">
      <c r="A166" s="34"/>
      <c r="B166" s="35"/>
      <c r="C166" s="22"/>
      <c r="D166" s="21"/>
      <c r="E166" s="22" t="str">
        <f t="shared" si="86"/>
        <v/>
      </c>
      <c r="F166" s="23" t="str">
        <f>IF(ISNUMBER(D166), $B172 * E166, "")</f>
        <v/>
      </c>
      <c r="G166" s="21"/>
      <c r="H166" s="22" t="str">
        <f t="shared" si="87"/>
        <v/>
      </c>
      <c r="I166" s="23" t="str">
        <f>IF(ISNUMBER(G166), $B172 * H166, "")</f>
        <v/>
      </c>
      <c r="J166" s="21"/>
      <c r="K166" s="22" t="str">
        <f t="shared" si="88"/>
        <v/>
      </c>
      <c r="L166" s="23" t="str">
        <f>IF(ISNUMBER(J166), $B172 * K166, "")</f>
        <v/>
      </c>
      <c r="M166" s="21"/>
      <c r="N166" s="22" t="str">
        <f t="shared" si="89"/>
        <v/>
      </c>
      <c r="O166" s="23" t="str">
        <f>IF(ISNUMBER(M166), $B172 * N166, "")</f>
        <v/>
      </c>
      <c r="Q166" s="148"/>
      <c r="R166" s="148"/>
      <c r="S166" s="148"/>
    </row>
    <row r="167" spans="1:19" ht="17.25" thickBot="1">
      <c r="A167" s="32"/>
      <c r="B167" s="36"/>
      <c r="C167" s="37"/>
      <c r="D167" s="15"/>
      <c r="E167" s="37" t="str">
        <f>IF(ISNUMBER(D167), (D167 - $B167) / $B167, "")</f>
        <v/>
      </c>
      <c r="F167" s="19" t="str">
        <f>IF(ISNUMBER(D167), $B172 * E167, "")</f>
        <v/>
      </c>
      <c r="G167" s="15"/>
      <c r="H167" s="37" t="str">
        <f>IF(ISNUMBER(G167), (G167 - $B167) / $B167, "")</f>
        <v/>
      </c>
      <c r="I167" s="19" t="str">
        <f>IF(ISNUMBER(G167), $B172 * H167, "")</f>
        <v/>
      </c>
      <c r="J167" s="15"/>
      <c r="K167" s="37" t="str">
        <f>IF(ISNUMBER(J167), (J167 - $B167) / $B167, "")</f>
        <v/>
      </c>
      <c r="L167" s="19" t="str">
        <f>IF(ISNUMBER(J167), $B172 * K167, "")</f>
        <v/>
      </c>
      <c r="M167" s="15"/>
      <c r="N167" s="37" t="str">
        <f>IF(ISNUMBER(M167), (M167 - $B167) / $B167, "")</f>
        <v/>
      </c>
      <c r="O167" s="19" t="str">
        <f>IF(ISNUMBER(M167), $B172 * N167, "")</f>
        <v/>
      </c>
      <c r="Q167" s="127"/>
      <c r="R167" s="127"/>
      <c r="S167" s="127"/>
    </row>
    <row r="168" spans="1:19" ht="17.25" thickBot="1">
      <c r="A168" s="32"/>
      <c r="B168" s="33"/>
      <c r="C168" s="16"/>
      <c r="D168" s="15"/>
      <c r="E168" s="16" t="str">
        <f t="shared" ref="E168:E171" si="90">IF(ISNUMBER(D168), (D168 - $B168) / $B168, "")</f>
        <v/>
      </c>
      <c r="F168" s="19" t="str">
        <f>IF(ISNUMBER(D168), $B172 * E168, "")</f>
        <v/>
      </c>
      <c r="G168" s="15"/>
      <c r="H168" s="16" t="str">
        <f t="shared" ref="H168:H171" si="91">IF(ISNUMBER(G168), (G168 - $B168) / $B168, "")</f>
        <v/>
      </c>
      <c r="I168" s="19" t="str">
        <f>IF(ISNUMBER(G168), $B172 * H168, "")</f>
        <v/>
      </c>
      <c r="J168" s="15"/>
      <c r="K168" s="16" t="str">
        <f t="shared" ref="K168:K171" si="92">IF(ISNUMBER(J168), (J168 - $B168) / $B168, "")</f>
        <v/>
      </c>
      <c r="L168" s="19" t="str">
        <f>IF(ISNUMBER(J168), $B172 * K168, "")</f>
        <v/>
      </c>
      <c r="M168" s="15"/>
      <c r="N168" s="16" t="str">
        <f t="shared" ref="N168:N171" si="93">IF(ISNUMBER(M168), (M168 - $B168) / $B168, "")</f>
        <v/>
      </c>
      <c r="O168" s="19" t="str">
        <f>IF(ISNUMBER(M168), $B172 * N168, "")</f>
        <v/>
      </c>
      <c r="Q168" s="127"/>
      <c r="R168" s="127"/>
      <c r="S168" s="127"/>
    </row>
    <row r="169" spans="1:19" ht="17.25" thickBot="1">
      <c r="A169" s="32"/>
      <c r="B169" s="33"/>
      <c r="C169" s="16"/>
      <c r="D169" s="15"/>
      <c r="E169" s="16" t="str">
        <f t="shared" si="90"/>
        <v/>
      </c>
      <c r="F169" s="19" t="str">
        <f>IF(ISNUMBER(D169), $B172 * E169, "")</f>
        <v/>
      </c>
      <c r="G169" s="15"/>
      <c r="H169" s="16" t="str">
        <f t="shared" si="91"/>
        <v/>
      </c>
      <c r="I169" s="19" t="str">
        <f>IF(ISNUMBER(G169), $B172 * H169, "")</f>
        <v/>
      </c>
      <c r="J169" s="15"/>
      <c r="K169" s="16" t="str">
        <f t="shared" si="92"/>
        <v/>
      </c>
      <c r="L169" s="19" t="str">
        <f>IF(ISNUMBER(J169), $B172 * K169, "")</f>
        <v/>
      </c>
      <c r="M169" s="15"/>
      <c r="N169" s="16" t="str">
        <f t="shared" si="93"/>
        <v/>
      </c>
      <c r="O169" s="19" t="str">
        <f>IF(ISNUMBER(M169), $B172 * N169, "")</f>
        <v/>
      </c>
      <c r="Q169" s="127"/>
      <c r="R169" s="127"/>
      <c r="S169" s="127"/>
    </row>
    <row r="170" spans="1:19">
      <c r="A170" s="32"/>
      <c r="B170" s="33"/>
      <c r="C170" s="16"/>
      <c r="D170" s="15"/>
      <c r="E170" s="16" t="str">
        <f t="shared" si="90"/>
        <v/>
      </c>
      <c r="F170" s="19" t="str">
        <f>IF(ISNUMBER(D170), $B172 * E170, "")</f>
        <v/>
      </c>
      <c r="G170" s="15"/>
      <c r="H170" s="16" t="str">
        <f t="shared" si="91"/>
        <v/>
      </c>
      <c r="I170" s="19" t="str">
        <f>IF(ISNUMBER(G170), $B172 * H170, "")</f>
        <v/>
      </c>
      <c r="J170" s="15"/>
      <c r="K170" s="16" t="str">
        <f t="shared" si="92"/>
        <v/>
      </c>
      <c r="L170" s="19" t="str">
        <f>IF(ISNUMBER(J170), $B172 * K170, "")</f>
        <v/>
      </c>
      <c r="M170" s="15"/>
      <c r="N170" s="16" t="str">
        <f t="shared" si="93"/>
        <v/>
      </c>
      <c r="O170" s="19" t="str">
        <f>IF(ISNUMBER(M170), $B172 * N170, "")</f>
        <v/>
      </c>
      <c r="Q170" s="128"/>
      <c r="R170" s="129"/>
      <c r="S170" s="130"/>
    </row>
    <row r="171" spans="1:19" ht="17.25" thickBot="1">
      <c r="A171" s="34"/>
      <c r="B171" s="35"/>
      <c r="C171" s="22"/>
      <c r="D171" s="21"/>
      <c r="E171" s="22" t="str">
        <f t="shared" si="90"/>
        <v/>
      </c>
      <c r="F171" s="19" t="str">
        <f>IF(ISNUMBER(D171), $B172 * E171, "")</f>
        <v/>
      </c>
      <c r="G171" s="21"/>
      <c r="H171" s="22" t="str">
        <f t="shared" si="91"/>
        <v/>
      </c>
      <c r="I171" s="19" t="str">
        <f>IF(ISNUMBER(G171), $B172 * H171, "")</f>
        <v/>
      </c>
      <c r="J171" s="21"/>
      <c r="K171" s="22" t="str">
        <f t="shared" si="92"/>
        <v/>
      </c>
      <c r="L171" s="19" t="str">
        <f>IF(ISNUMBER(J171), $B172 * K171, "")</f>
        <v/>
      </c>
      <c r="M171" s="21"/>
      <c r="N171" s="22" t="str">
        <f t="shared" si="93"/>
        <v/>
      </c>
      <c r="O171" s="19" t="str">
        <f>IF(ISNUMBER(M171), $B172 * N171, "")</f>
        <v/>
      </c>
      <c r="Q171" s="131"/>
      <c r="R171" s="132"/>
      <c r="S171" s="133"/>
    </row>
    <row r="172" spans="1:19" ht="17.25" thickBot="1">
      <c r="A172" s="27" t="s">
        <v>42</v>
      </c>
      <c r="B172" s="137">
        <f>$B$37</f>
        <v>300000</v>
      </c>
      <c r="C172" s="138"/>
      <c r="D172" s="27" t="s">
        <v>43</v>
      </c>
      <c r="E172" s="28">
        <f>IF(COUNT(E152:E171), SUM(E152:E171) / COUNT(E152:E171), 0)</f>
        <v>0</v>
      </c>
      <c r="F172" s="29">
        <f>SUM(F152:F171)</f>
        <v>0</v>
      </c>
      <c r="G172" s="27" t="s">
        <v>43</v>
      </c>
      <c r="H172" s="28">
        <f>IF(COUNT(H152:H171), SUM(H152:H171) / COUNT(H152:H171), 0)</f>
        <v>0</v>
      </c>
      <c r="I172" s="29">
        <f>SUM(I152:I171)</f>
        <v>0</v>
      </c>
      <c r="J172" s="27" t="s">
        <v>43</v>
      </c>
      <c r="K172" s="28">
        <f>IF(COUNT(K152:K171), SUM(K152:K171) / COUNT(K152:K171), 0)</f>
        <v>0</v>
      </c>
      <c r="L172" s="29">
        <f>SUM(L152:L171)</f>
        <v>0</v>
      </c>
      <c r="M172" s="27" t="s">
        <v>43</v>
      </c>
      <c r="N172" s="28">
        <f>IF(COUNT(N152:N171), SUM(N152:N171) / COUNT(N152:N171), 0)</f>
        <v>0</v>
      </c>
      <c r="O172" s="29">
        <f>SUM(O152:O171)</f>
        <v>0</v>
      </c>
      <c r="Q172" s="134"/>
      <c r="R172" s="135"/>
      <c r="S172" s="136"/>
    </row>
    <row r="174" spans="1:19" ht="17.25" thickBot="1"/>
    <row r="175" spans="1:19" ht="17.25" thickBot="1">
      <c r="A175" s="149" t="s">
        <v>285</v>
      </c>
      <c r="B175" s="150"/>
      <c r="C175" s="150"/>
      <c r="D175" s="150"/>
      <c r="E175" s="150"/>
      <c r="F175" s="150"/>
      <c r="G175" s="150"/>
      <c r="H175" s="150"/>
      <c r="I175" s="150"/>
      <c r="J175" s="150"/>
      <c r="K175" s="150"/>
      <c r="L175" s="150"/>
      <c r="M175" s="150"/>
      <c r="N175" s="150"/>
      <c r="O175" s="151"/>
      <c r="Q175" s="148"/>
      <c r="R175" s="148"/>
      <c r="S175" s="148"/>
    </row>
    <row r="176" spans="1:19" ht="17.25" thickBot="1">
      <c r="A176" s="66" t="s">
        <v>35</v>
      </c>
      <c r="B176" s="149" t="s">
        <v>36</v>
      </c>
      <c r="C176" s="151"/>
      <c r="D176" s="149" t="s">
        <v>37</v>
      </c>
      <c r="E176" s="150"/>
      <c r="F176" s="151"/>
      <c r="G176" s="152">
        <f>_xlfn.IFNA(VLOOKUP(B176, 현재가테이블!$B$2:$D$200, 2, FALSE), "-")</f>
        <v>68203000</v>
      </c>
      <c r="H176" s="153"/>
      <c r="I176" s="154"/>
      <c r="J176" s="149" t="s">
        <v>38</v>
      </c>
      <c r="K176" s="150"/>
      <c r="L176" s="151"/>
      <c r="M176" s="155">
        <f>_xlfn.IFNA(VLOOKUP(B176, 현재가테이블!$B$2:$D$200, 3, FALSE), "-")</f>
        <v>-1.22521687E-2</v>
      </c>
      <c r="N176" s="156"/>
      <c r="O176" s="157"/>
      <c r="Q176" s="148"/>
      <c r="R176" s="148"/>
      <c r="S176" s="148"/>
    </row>
    <row r="177" spans="1:19" ht="17.25" thickBot="1">
      <c r="A177" s="158" t="s">
        <v>39</v>
      </c>
      <c r="B177" s="159" t="str">
        <f>TEXT($G$1, "[$-ko-KR]yyyy-mm-dd(ddd) ") &amp; "오전 00:00"</f>
        <v>2021-04-01(목) 오전 00:00</v>
      </c>
      <c r="C177" s="160"/>
      <c r="D177" s="161" t="str">
        <f>TEXT($G$1, "[$-ko-KR]yyyy-mm-dd(ddd) ") &amp; "오후 14:00"</f>
        <v>2021-04-01(목) 오후 14:00</v>
      </c>
      <c r="E177" s="162"/>
      <c r="F177" s="163"/>
      <c r="G177" s="161" t="str">
        <f>TEXT($G$1, "[$-ko-KR]yyyy-mm-dd(ddd) ") &amp; "오후 19:00"</f>
        <v>2021-04-01(목) 오후 19:00</v>
      </c>
      <c r="H177" s="162"/>
      <c r="I177" s="163"/>
      <c r="J177" s="164" t="str">
        <f>TEXT($G$1, "[$-ko-KR]yyyy-mm-dd(ddd) ") &amp; "오후 21:00"</f>
        <v>2021-04-01(목) 오후 21:00</v>
      </c>
      <c r="K177" s="164"/>
      <c r="L177" s="164"/>
      <c r="M177" s="161" t="str">
        <f>TEXT($G$1+1, "[$-ko-KR]yyyy-mm-dd(ddd) ") &amp; "오전 00:00"</f>
        <v>2021-04-02(금) 오전 00:00</v>
      </c>
      <c r="N177" s="162"/>
      <c r="O177" s="163"/>
      <c r="Q177" s="148"/>
      <c r="R177" s="148"/>
      <c r="S177" s="148"/>
    </row>
    <row r="178" spans="1:19" ht="17.25" thickBot="1">
      <c r="A178" s="158"/>
      <c r="B178" s="2" t="s">
        <v>37</v>
      </c>
      <c r="C178" s="10" t="s">
        <v>38</v>
      </c>
      <c r="D178" s="2" t="s">
        <v>37</v>
      </c>
      <c r="E178" s="10" t="s">
        <v>40</v>
      </c>
      <c r="F178" s="11" t="s">
        <v>41</v>
      </c>
      <c r="G178" s="2" t="s">
        <v>37</v>
      </c>
      <c r="H178" s="10" t="s">
        <v>40</v>
      </c>
      <c r="I178" s="11" t="s">
        <v>41</v>
      </c>
      <c r="J178" s="10" t="s">
        <v>37</v>
      </c>
      <c r="K178" s="10" t="s">
        <v>40</v>
      </c>
      <c r="L178" s="70" t="s">
        <v>41</v>
      </c>
      <c r="M178" s="2" t="s">
        <v>37</v>
      </c>
      <c r="N178" s="10" t="s">
        <v>40</v>
      </c>
      <c r="O178" s="72" t="s">
        <v>41</v>
      </c>
      <c r="Q178" s="127"/>
      <c r="R178" s="127"/>
      <c r="S178" s="127"/>
    </row>
    <row r="179" spans="1:19" ht="17.25" thickBot="1">
      <c r="A179" s="30"/>
      <c r="B179" s="31"/>
      <c r="C179" s="14"/>
      <c r="D179" s="13"/>
      <c r="E179" s="14" t="str">
        <f>IF(ISNUMBER(D179), (D179 - $B179) / $B179, "")</f>
        <v/>
      </c>
      <c r="F179" s="17" t="str">
        <f>IF(ISNUMBER(D179), $B199 * E179, "")</f>
        <v/>
      </c>
      <c r="G179" s="13"/>
      <c r="H179" s="14" t="str">
        <f>IF(ISNUMBER(G179), (G179 - $B179) / $B179, "")</f>
        <v/>
      </c>
      <c r="I179" s="17" t="str">
        <f>IF(ISNUMBER(G179), $B199 * H179, "")</f>
        <v/>
      </c>
      <c r="J179" s="13"/>
      <c r="K179" s="14" t="str">
        <f>IF(ISNUMBER(J179), (J179 - $B179) / $B179, "")</f>
        <v/>
      </c>
      <c r="L179" s="17" t="str">
        <f>IF(ISNUMBER(J179), $B199 * K179, "")</f>
        <v/>
      </c>
      <c r="M179" s="13"/>
      <c r="N179" s="14" t="str">
        <f>IF(ISNUMBER(M179), (M179 - $B179) / $B179, "")</f>
        <v/>
      </c>
      <c r="O179" s="17" t="str">
        <f>IF(ISNUMBER(M179), $B199 * N179, "")</f>
        <v/>
      </c>
      <c r="Q179" s="148"/>
      <c r="R179" s="148"/>
      <c r="S179" s="148"/>
    </row>
    <row r="180" spans="1:19" ht="17.25" thickBot="1">
      <c r="A180" s="32"/>
      <c r="B180" s="33"/>
      <c r="C180" s="16"/>
      <c r="D180" s="15"/>
      <c r="E180" s="16" t="str">
        <f t="shared" ref="E180:E183" si="94">IF(ISNUMBER(D180), (D180 - $B180) / $B180, "")</f>
        <v/>
      </c>
      <c r="F180" s="19" t="str">
        <f>IF(ISNUMBER(D180), $B199 * E180, "")</f>
        <v/>
      </c>
      <c r="G180" s="15"/>
      <c r="H180" s="16" t="str">
        <f t="shared" ref="H180:H183" si="95">IF(ISNUMBER(G180), (G180 - $B180) / $B180, "")</f>
        <v/>
      </c>
      <c r="I180" s="19" t="str">
        <f>IF(ISNUMBER(G180), $B199 * H180, "")</f>
        <v/>
      </c>
      <c r="J180" s="15"/>
      <c r="K180" s="16" t="str">
        <f t="shared" ref="K180:K183" si="96">IF(ISNUMBER(J180), (J180 - $B180) / $B180, "")</f>
        <v/>
      </c>
      <c r="L180" s="19" t="str">
        <f>IF(ISNUMBER(J180), $B199 * K180, "")</f>
        <v/>
      </c>
      <c r="M180" s="15"/>
      <c r="N180" s="16" t="str">
        <f t="shared" ref="N180:N183" si="97">IF(ISNUMBER(M180), (M180 - $B180) / $B180, "")</f>
        <v/>
      </c>
      <c r="O180" s="19" t="str">
        <f>IF(ISNUMBER(M180), $B199 * N180, "")</f>
        <v/>
      </c>
      <c r="Q180" s="148"/>
      <c r="R180" s="148"/>
      <c r="S180" s="148"/>
    </row>
    <row r="181" spans="1:19" ht="17.25" thickBot="1">
      <c r="A181" s="32"/>
      <c r="B181" s="33"/>
      <c r="C181" s="16"/>
      <c r="D181" s="15"/>
      <c r="E181" s="16" t="str">
        <f t="shared" si="94"/>
        <v/>
      </c>
      <c r="F181" s="19" t="str">
        <f>IF(ISNUMBER(D181), $B199 * E181, "")</f>
        <v/>
      </c>
      <c r="G181" s="15"/>
      <c r="H181" s="16" t="str">
        <f t="shared" si="95"/>
        <v/>
      </c>
      <c r="I181" s="19" t="str">
        <f>IF(ISNUMBER(G181), $B199 * H181, "")</f>
        <v/>
      </c>
      <c r="J181" s="15"/>
      <c r="K181" s="16" t="str">
        <f t="shared" si="96"/>
        <v/>
      </c>
      <c r="L181" s="19" t="str">
        <f>IF(ISNUMBER(J181), $B199 * K181, "")</f>
        <v/>
      </c>
      <c r="M181" s="15"/>
      <c r="N181" s="16" t="str">
        <f t="shared" si="97"/>
        <v/>
      </c>
      <c r="O181" s="19" t="str">
        <f>IF(ISNUMBER(M181), $B199 * N181, "")</f>
        <v/>
      </c>
      <c r="Q181" s="127"/>
      <c r="R181" s="127"/>
      <c r="S181" s="127"/>
    </row>
    <row r="182" spans="1:19" ht="17.25" thickBot="1">
      <c r="A182" s="32"/>
      <c r="B182" s="33"/>
      <c r="C182" s="16"/>
      <c r="D182" s="15"/>
      <c r="E182" s="16" t="str">
        <f t="shared" si="94"/>
        <v/>
      </c>
      <c r="F182" s="19" t="str">
        <f>IF(ISNUMBER(D182), $B199 * E182, "")</f>
        <v/>
      </c>
      <c r="G182" s="15"/>
      <c r="H182" s="16" t="str">
        <f t="shared" si="95"/>
        <v/>
      </c>
      <c r="I182" s="19" t="str">
        <f>IF(ISNUMBER(G182), $B199 * H182, "")</f>
        <v/>
      </c>
      <c r="J182" s="15"/>
      <c r="K182" s="16" t="str">
        <f t="shared" si="96"/>
        <v/>
      </c>
      <c r="L182" s="19" t="str">
        <f>IF(ISNUMBER(J182), $B199 * K182, "")</f>
        <v/>
      </c>
      <c r="M182" s="15"/>
      <c r="N182" s="16" t="str">
        <f t="shared" si="97"/>
        <v/>
      </c>
      <c r="O182" s="19" t="str">
        <f>IF(ISNUMBER(M182), $B199 * N182, "")</f>
        <v/>
      </c>
      <c r="Q182" s="127"/>
      <c r="R182" s="127"/>
      <c r="S182" s="127"/>
    </row>
    <row r="183" spans="1:19" ht="17.25" thickBot="1">
      <c r="A183" s="34"/>
      <c r="B183" s="35"/>
      <c r="C183" s="22"/>
      <c r="D183" s="21"/>
      <c r="E183" s="22" t="str">
        <f t="shared" si="94"/>
        <v/>
      </c>
      <c r="F183" s="23" t="str">
        <f>IF(ISNUMBER(D183), $B199 * E183, "")</f>
        <v/>
      </c>
      <c r="G183" s="21"/>
      <c r="H183" s="22" t="str">
        <f t="shared" si="95"/>
        <v/>
      </c>
      <c r="I183" s="23" t="str">
        <f>IF(ISNUMBER(G183), $B199 * H183, "")</f>
        <v/>
      </c>
      <c r="J183" s="21"/>
      <c r="K183" s="22" t="str">
        <f t="shared" si="96"/>
        <v/>
      </c>
      <c r="L183" s="23" t="str">
        <f>IF(ISNUMBER(J183), $B199 * K183, "")</f>
        <v/>
      </c>
      <c r="M183" s="21"/>
      <c r="N183" s="22" t="str">
        <f t="shared" si="97"/>
        <v/>
      </c>
      <c r="O183" s="23" t="str">
        <f>IF(ISNUMBER(M183), $B199 * N183, "")</f>
        <v/>
      </c>
      <c r="Q183" s="127"/>
      <c r="R183" s="127"/>
      <c r="S183" s="127"/>
    </row>
    <row r="184" spans="1:19" ht="17.25" thickBot="1">
      <c r="A184" s="32"/>
      <c r="B184" s="36"/>
      <c r="C184" s="37"/>
      <c r="D184" s="15"/>
      <c r="E184" s="37" t="str">
        <f>IF(ISNUMBER(D184), (D184 - $B184) / $B184, "")</f>
        <v/>
      </c>
      <c r="F184" s="19" t="str">
        <f>IF(ISNUMBER(D184), $B199 * E184, "")</f>
        <v/>
      </c>
      <c r="G184" s="15"/>
      <c r="H184" s="37" t="str">
        <f>IF(ISNUMBER(G184), (G184 - $B184) / $B184, "")</f>
        <v/>
      </c>
      <c r="I184" s="19" t="str">
        <f>IF(ISNUMBER(G184), $B199 * H184, "")</f>
        <v/>
      </c>
      <c r="J184" s="15"/>
      <c r="K184" s="37" t="str">
        <f>IF(ISNUMBER(J184), (J184 - $B184) / $B184, "")</f>
        <v/>
      </c>
      <c r="L184" s="19" t="str">
        <f>IF(ISNUMBER(J184), $B199 * K184, "")</f>
        <v/>
      </c>
      <c r="M184" s="15"/>
      <c r="N184" s="37" t="str">
        <f>IF(ISNUMBER(M184), (M184 - $B184) / $B184, "")</f>
        <v/>
      </c>
      <c r="O184" s="19" t="str">
        <f>IF(ISNUMBER(M184), $B199 * N184, "")</f>
        <v/>
      </c>
      <c r="Q184" s="127"/>
      <c r="R184" s="127"/>
      <c r="S184" s="127"/>
    </row>
    <row r="185" spans="1:19" ht="17.25" thickBot="1">
      <c r="A185" s="32"/>
      <c r="B185" s="33"/>
      <c r="C185" s="16"/>
      <c r="D185" s="15"/>
      <c r="E185" s="16" t="str">
        <f t="shared" ref="E185:E188" si="98">IF(ISNUMBER(D185), (D185 - $B185) / $B185, "")</f>
        <v/>
      </c>
      <c r="F185" s="19" t="str">
        <f>IF(ISNUMBER(D185), $B199 * E185, "")</f>
        <v/>
      </c>
      <c r="G185" s="15"/>
      <c r="H185" s="16" t="str">
        <f t="shared" ref="H185:H188" si="99">IF(ISNUMBER(G185), (G185 - $B185) / $B185, "")</f>
        <v/>
      </c>
      <c r="I185" s="19" t="str">
        <f>IF(ISNUMBER(G185), $B199 * H185, "")</f>
        <v/>
      </c>
      <c r="J185" s="15"/>
      <c r="K185" s="16" t="str">
        <f t="shared" ref="K185:K188" si="100">IF(ISNUMBER(J185), (J185 - $B185) / $B185, "")</f>
        <v/>
      </c>
      <c r="L185" s="19" t="str">
        <f>IF(ISNUMBER(J185), $B199 * K185, "")</f>
        <v/>
      </c>
      <c r="M185" s="15"/>
      <c r="N185" s="16" t="str">
        <f t="shared" ref="N185:N188" si="101">IF(ISNUMBER(M185), (M185 - $B185) / $B185, "")</f>
        <v/>
      </c>
      <c r="O185" s="19" t="str">
        <f>IF(ISNUMBER(M185), $B199 * N185, "")</f>
        <v/>
      </c>
      <c r="Q185" s="127"/>
      <c r="R185" s="127"/>
      <c r="S185" s="127"/>
    </row>
    <row r="186" spans="1:19" ht="17.25" thickBot="1">
      <c r="A186" s="32"/>
      <c r="B186" s="33"/>
      <c r="C186" s="16"/>
      <c r="D186" s="15"/>
      <c r="E186" s="16" t="str">
        <f t="shared" si="98"/>
        <v/>
      </c>
      <c r="F186" s="19" t="str">
        <f>IF(ISNUMBER(D186), $B199 * E186, "")</f>
        <v/>
      </c>
      <c r="G186" s="15"/>
      <c r="H186" s="16" t="str">
        <f t="shared" si="99"/>
        <v/>
      </c>
      <c r="I186" s="19" t="str">
        <f>IF(ISNUMBER(G186), $B199 * H186, "")</f>
        <v/>
      </c>
      <c r="J186" s="15"/>
      <c r="K186" s="16" t="str">
        <f t="shared" si="100"/>
        <v/>
      </c>
      <c r="L186" s="19" t="str">
        <f>IF(ISNUMBER(J186), $B199 * K186, "")</f>
        <v/>
      </c>
      <c r="M186" s="15"/>
      <c r="N186" s="16" t="str">
        <f t="shared" si="101"/>
        <v/>
      </c>
      <c r="O186" s="19" t="str">
        <f>IF(ISNUMBER(M186), $B199 * N186, "")</f>
        <v/>
      </c>
      <c r="Q186" s="127"/>
      <c r="R186" s="127"/>
      <c r="S186" s="127"/>
    </row>
    <row r="187" spans="1:19" ht="17.25" thickBot="1">
      <c r="A187" s="32"/>
      <c r="B187" s="33"/>
      <c r="C187" s="16"/>
      <c r="D187" s="15"/>
      <c r="E187" s="16" t="str">
        <f t="shared" si="98"/>
        <v/>
      </c>
      <c r="F187" s="19" t="str">
        <f>IF(ISNUMBER(D187), $B199 * E187, "")</f>
        <v/>
      </c>
      <c r="G187" s="15"/>
      <c r="H187" s="16" t="str">
        <f t="shared" si="99"/>
        <v/>
      </c>
      <c r="I187" s="19" t="str">
        <f>IF(ISNUMBER(G187), $B199 * H187, "")</f>
        <v/>
      </c>
      <c r="J187" s="15"/>
      <c r="K187" s="16" t="str">
        <f t="shared" si="100"/>
        <v/>
      </c>
      <c r="L187" s="19" t="str">
        <f>IF(ISNUMBER(J187), $B199 * K187, "")</f>
        <v/>
      </c>
      <c r="M187" s="15"/>
      <c r="N187" s="16" t="str">
        <f t="shared" si="101"/>
        <v/>
      </c>
      <c r="O187" s="19" t="str">
        <f>IF(ISNUMBER(M187), $B199 * N187, "")</f>
        <v/>
      </c>
      <c r="Q187" s="38"/>
      <c r="R187" s="38"/>
    </row>
    <row r="188" spans="1:19" ht="17.25" thickBot="1">
      <c r="A188" s="34"/>
      <c r="B188" s="35"/>
      <c r="C188" s="22"/>
      <c r="D188" s="21"/>
      <c r="E188" s="22" t="str">
        <f t="shared" si="98"/>
        <v/>
      </c>
      <c r="F188" s="19" t="str">
        <f>IF(ISNUMBER(D188), $B199 * E188, "")</f>
        <v/>
      </c>
      <c r="G188" s="21"/>
      <c r="H188" s="22" t="str">
        <f t="shared" si="99"/>
        <v/>
      </c>
      <c r="I188" s="19" t="str">
        <f>IF(ISNUMBER(G188), $B199 * H188, "")</f>
        <v/>
      </c>
      <c r="J188" s="21"/>
      <c r="K188" s="22" t="str">
        <f t="shared" si="100"/>
        <v/>
      </c>
      <c r="L188" s="19" t="str">
        <f>IF(ISNUMBER(J188), $B199 * K188, "")</f>
        <v/>
      </c>
      <c r="M188" s="21"/>
      <c r="N188" s="22" t="str">
        <f t="shared" si="101"/>
        <v/>
      </c>
      <c r="O188" s="19" t="str">
        <f>IF(ISNUMBER(M188), $B199 * N188, "")</f>
        <v/>
      </c>
      <c r="Q188" s="139"/>
      <c r="R188" s="140"/>
      <c r="S188" s="141"/>
    </row>
    <row r="189" spans="1:19">
      <c r="A189" s="30"/>
      <c r="B189" s="31"/>
      <c r="C189" s="14"/>
      <c r="D189" s="13"/>
      <c r="E189" s="14" t="str">
        <f>IF(ISNUMBER(D189), (D189 - $B189) / $B189, "")</f>
        <v/>
      </c>
      <c r="F189" s="17" t="str">
        <f>IF(ISNUMBER(D189), $B199 * E189, "")</f>
        <v/>
      </c>
      <c r="G189" s="13"/>
      <c r="H189" s="14" t="str">
        <f>IF(ISNUMBER(G189), (G189 - $B189) / $B189, "")</f>
        <v/>
      </c>
      <c r="I189" s="17" t="str">
        <f>IF(ISNUMBER(G189), $B199 * H189, "")</f>
        <v/>
      </c>
      <c r="J189" s="13"/>
      <c r="K189" s="14" t="str">
        <f>IF(ISNUMBER(J189), (J189 - $B189) / $B189, "")</f>
        <v/>
      </c>
      <c r="L189" s="17" t="str">
        <f>IF(ISNUMBER(J189), $B199 * K189, "")</f>
        <v/>
      </c>
      <c r="M189" s="13"/>
      <c r="N189" s="14" t="str">
        <f>IF(ISNUMBER(M189), (M189 - $B189) / $B189, "")</f>
        <v/>
      </c>
      <c r="O189" s="17" t="str">
        <f>IF(ISNUMBER(M189), $B199 * N189, "")</f>
        <v/>
      </c>
      <c r="Q189" s="142"/>
      <c r="R189" s="143"/>
      <c r="S189" s="144"/>
    </row>
    <row r="190" spans="1:19" ht="17.25" thickBot="1">
      <c r="A190" s="32"/>
      <c r="B190" s="33"/>
      <c r="C190" s="16"/>
      <c r="D190" s="15"/>
      <c r="E190" s="16" t="str">
        <f t="shared" ref="E190:E193" si="102">IF(ISNUMBER(D190), (D190 - $B190) / $B190, "")</f>
        <v/>
      </c>
      <c r="F190" s="19" t="str">
        <f>IF(ISNUMBER(D190), $B199 * E190, "")</f>
        <v/>
      </c>
      <c r="G190" s="15"/>
      <c r="H190" s="16" t="str">
        <f t="shared" ref="H190:H193" si="103">IF(ISNUMBER(G190), (G190 - $B190) / $B190, "")</f>
        <v/>
      </c>
      <c r="I190" s="19" t="str">
        <f>IF(ISNUMBER(G190), $B199 * H190, "")</f>
        <v/>
      </c>
      <c r="J190" s="15"/>
      <c r="K190" s="16" t="str">
        <f t="shared" ref="K190:K193" si="104">IF(ISNUMBER(J190), (J190 - $B190) / $B190, "")</f>
        <v/>
      </c>
      <c r="L190" s="19" t="str">
        <f>IF(ISNUMBER(J190), $B199 * K190, "")</f>
        <v/>
      </c>
      <c r="M190" s="15"/>
      <c r="N190" s="16" t="str">
        <f t="shared" ref="N190:N193" si="105">IF(ISNUMBER(M190), (M190 - $B190) / $B190, "")</f>
        <v/>
      </c>
      <c r="O190" s="19" t="str">
        <f>IF(ISNUMBER(M190), $B199 * N190, "")</f>
        <v/>
      </c>
      <c r="Q190" s="145"/>
      <c r="R190" s="146"/>
      <c r="S190" s="147"/>
    </row>
    <row r="191" spans="1:19" ht="17.25" thickBot="1">
      <c r="A191" s="32"/>
      <c r="B191" s="33"/>
      <c r="C191" s="16"/>
      <c r="D191" s="15"/>
      <c r="E191" s="16" t="str">
        <f t="shared" si="102"/>
        <v/>
      </c>
      <c r="F191" s="19" t="str">
        <f>IF(ISNUMBER(D191), $B199 * E191, "")</f>
        <v/>
      </c>
      <c r="G191" s="15"/>
      <c r="H191" s="16" t="str">
        <f t="shared" si="103"/>
        <v/>
      </c>
      <c r="I191" s="19" t="str">
        <f>IF(ISNUMBER(G191), $B199 * H191, "")</f>
        <v/>
      </c>
      <c r="J191" s="15"/>
      <c r="K191" s="16" t="str">
        <f t="shared" si="104"/>
        <v/>
      </c>
      <c r="L191" s="19" t="str">
        <f>IF(ISNUMBER(J191), $B199 * K191, "")</f>
        <v/>
      </c>
      <c r="M191" s="15"/>
      <c r="N191" s="16" t="str">
        <f t="shared" si="105"/>
        <v/>
      </c>
      <c r="O191" s="19" t="str">
        <f>IF(ISNUMBER(M191), $B199 * N191, "")</f>
        <v/>
      </c>
      <c r="Q191" s="127"/>
      <c r="R191" s="127"/>
      <c r="S191" s="127"/>
    </row>
    <row r="192" spans="1:19" ht="17.25" thickBot="1">
      <c r="A192" s="32"/>
      <c r="B192" s="33"/>
      <c r="C192" s="16"/>
      <c r="D192" s="15"/>
      <c r="E192" s="16" t="str">
        <f t="shared" si="102"/>
        <v/>
      </c>
      <c r="F192" s="19" t="str">
        <f>IF(ISNUMBER(D192), $B199 * E192, "")</f>
        <v/>
      </c>
      <c r="G192" s="15"/>
      <c r="H192" s="16" t="str">
        <f t="shared" si="103"/>
        <v/>
      </c>
      <c r="I192" s="19" t="str">
        <f>IF(ISNUMBER(G192), $B199 * H192, "")</f>
        <v/>
      </c>
      <c r="J192" s="15"/>
      <c r="K192" s="16" t="str">
        <f t="shared" si="104"/>
        <v/>
      </c>
      <c r="L192" s="19" t="str">
        <f>IF(ISNUMBER(J192), $B199 * K192, "")</f>
        <v/>
      </c>
      <c r="M192" s="15"/>
      <c r="N192" s="16" t="str">
        <f t="shared" si="105"/>
        <v/>
      </c>
      <c r="O192" s="19" t="str">
        <f>IF(ISNUMBER(M192), $B199 * N192, "")</f>
        <v/>
      </c>
      <c r="Q192" s="148"/>
      <c r="R192" s="148"/>
      <c r="S192" s="148"/>
    </row>
    <row r="193" spans="1:19" ht="17.25" thickBot="1">
      <c r="A193" s="34"/>
      <c r="B193" s="35"/>
      <c r="C193" s="22"/>
      <c r="D193" s="21"/>
      <c r="E193" s="22" t="str">
        <f t="shared" si="102"/>
        <v/>
      </c>
      <c r="F193" s="23" t="str">
        <f>IF(ISNUMBER(D193), $B199 * E193, "")</f>
        <v/>
      </c>
      <c r="G193" s="21"/>
      <c r="H193" s="22" t="str">
        <f t="shared" si="103"/>
        <v/>
      </c>
      <c r="I193" s="23" t="str">
        <f>IF(ISNUMBER(G193), $B199 * H193, "")</f>
        <v/>
      </c>
      <c r="J193" s="21"/>
      <c r="K193" s="22" t="str">
        <f t="shared" si="104"/>
        <v/>
      </c>
      <c r="L193" s="23" t="str">
        <f>IF(ISNUMBER(J193), $B199 * K193, "")</f>
        <v/>
      </c>
      <c r="M193" s="21"/>
      <c r="N193" s="22" t="str">
        <f t="shared" si="105"/>
        <v/>
      </c>
      <c r="O193" s="23" t="str">
        <f>IF(ISNUMBER(M193), $B199 * N193, "")</f>
        <v/>
      </c>
      <c r="Q193" s="148"/>
      <c r="R193" s="148"/>
      <c r="S193" s="148"/>
    </row>
    <row r="194" spans="1:19" ht="17.25" thickBot="1">
      <c r="A194" s="32"/>
      <c r="B194" s="36"/>
      <c r="C194" s="37"/>
      <c r="D194" s="15"/>
      <c r="E194" s="37" t="str">
        <f>IF(ISNUMBER(D194), (D194 - $B194) / $B194, "")</f>
        <v/>
      </c>
      <c r="F194" s="19" t="str">
        <f>IF(ISNUMBER(D194), $B199 * E194, "")</f>
        <v/>
      </c>
      <c r="G194" s="15"/>
      <c r="H194" s="37" t="str">
        <f>IF(ISNUMBER(G194), (G194 - $B194) / $B194, "")</f>
        <v/>
      </c>
      <c r="I194" s="19" t="str">
        <f>IF(ISNUMBER(G194), $B199 * H194, "")</f>
        <v/>
      </c>
      <c r="J194" s="15"/>
      <c r="K194" s="37" t="str">
        <f>IF(ISNUMBER(J194), (J194 - $B194) / $B194, "")</f>
        <v/>
      </c>
      <c r="L194" s="19" t="str">
        <f>IF(ISNUMBER(J194), $B199 * K194, "")</f>
        <v/>
      </c>
      <c r="M194" s="15"/>
      <c r="N194" s="37" t="str">
        <f>IF(ISNUMBER(M194), (M194 - $B194) / $B194, "")</f>
        <v/>
      </c>
      <c r="O194" s="19" t="str">
        <f>IF(ISNUMBER(M194), $B199 * N194, "")</f>
        <v/>
      </c>
      <c r="Q194" s="127"/>
      <c r="R194" s="127"/>
      <c r="S194" s="127"/>
    </row>
    <row r="195" spans="1:19" ht="17.25" thickBot="1">
      <c r="A195" s="32"/>
      <c r="B195" s="33"/>
      <c r="C195" s="16"/>
      <c r="D195" s="15"/>
      <c r="E195" s="16" t="str">
        <f t="shared" ref="E195:E198" si="106">IF(ISNUMBER(D195), (D195 - $B195) / $B195, "")</f>
        <v/>
      </c>
      <c r="F195" s="19" t="str">
        <f>IF(ISNUMBER(D195), $B199 * E195, "")</f>
        <v/>
      </c>
      <c r="G195" s="15"/>
      <c r="H195" s="16" t="str">
        <f t="shared" ref="H195:H198" si="107">IF(ISNUMBER(G195), (G195 - $B195) / $B195, "")</f>
        <v/>
      </c>
      <c r="I195" s="19" t="str">
        <f>IF(ISNUMBER(G195), $B199 * H195, "")</f>
        <v/>
      </c>
      <c r="J195" s="15"/>
      <c r="K195" s="16" t="str">
        <f t="shared" ref="K195:K198" si="108">IF(ISNUMBER(J195), (J195 - $B195) / $B195, "")</f>
        <v/>
      </c>
      <c r="L195" s="19" t="str">
        <f>IF(ISNUMBER(J195), $B199 * K195, "")</f>
        <v/>
      </c>
      <c r="M195" s="15"/>
      <c r="N195" s="16" t="str">
        <f t="shared" ref="N195:N198" si="109">IF(ISNUMBER(M195), (M195 - $B195) / $B195, "")</f>
        <v/>
      </c>
      <c r="O195" s="19" t="str">
        <f>IF(ISNUMBER(M195), $B199 * N195, "")</f>
        <v/>
      </c>
      <c r="Q195" s="127"/>
      <c r="R195" s="127"/>
      <c r="S195" s="127"/>
    </row>
    <row r="196" spans="1:19" ht="17.25" thickBot="1">
      <c r="A196" s="32"/>
      <c r="B196" s="33"/>
      <c r="C196" s="16"/>
      <c r="D196" s="15"/>
      <c r="E196" s="16" t="str">
        <f t="shared" si="106"/>
        <v/>
      </c>
      <c r="F196" s="19" t="str">
        <f>IF(ISNUMBER(D196), $B199 * E196, "")</f>
        <v/>
      </c>
      <c r="G196" s="15"/>
      <c r="H196" s="16" t="str">
        <f t="shared" si="107"/>
        <v/>
      </c>
      <c r="I196" s="19" t="str">
        <f>IF(ISNUMBER(G196), $B199 * H196, "")</f>
        <v/>
      </c>
      <c r="J196" s="15"/>
      <c r="K196" s="16" t="str">
        <f t="shared" si="108"/>
        <v/>
      </c>
      <c r="L196" s="19" t="str">
        <f>IF(ISNUMBER(J196), $B199 * K196, "")</f>
        <v/>
      </c>
      <c r="M196" s="15"/>
      <c r="N196" s="16" t="str">
        <f t="shared" si="109"/>
        <v/>
      </c>
      <c r="O196" s="19" t="str">
        <f>IF(ISNUMBER(M196), $B199 * N196, "")</f>
        <v/>
      </c>
      <c r="Q196" s="127"/>
      <c r="R196" s="127"/>
      <c r="S196" s="127"/>
    </row>
    <row r="197" spans="1:19">
      <c r="A197" s="32"/>
      <c r="B197" s="33"/>
      <c r="C197" s="16"/>
      <c r="D197" s="15"/>
      <c r="E197" s="16" t="str">
        <f t="shared" si="106"/>
        <v/>
      </c>
      <c r="F197" s="19" t="str">
        <f>IF(ISNUMBER(D197), $B199 * E197, "")</f>
        <v/>
      </c>
      <c r="G197" s="15"/>
      <c r="H197" s="16" t="str">
        <f t="shared" si="107"/>
        <v/>
      </c>
      <c r="I197" s="19" t="str">
        <f>IF(ISNUMBER(G197), $B199 * H197, "")</f>
        <v/>
      </c>
      <c r="J197" s="15"/>
      <c r="K197" s="16" t="str">
        <f t="shared" si="108"/>
        <v/>
      </c>
      <c r="L197" s="19" t="str">
        <f>IF(ISNUMBER(J197), $B199 * K197, "")</f>
        <v/>
      </c>
      <c r="M197" s="15"/>
      <c r="N197" s="16" t="str">
        <f t="shared" si="109"/>
        <v/>
      </c>
      <c r="O197" s="19" t="str">
        <f>IF(ISNUMBER(M197), $B199 * N197, "")</f>
        <v/>
      </c>
      <c r="Q197" s="128"/>
      <c r="R197" s="129"/>
      <c r="S197" s="130"/>
    </row>
    <row r="198" spans="1:19" ht="17.25" thickBot="1">
      <c r="A198" s="34"/>
      <c r="B198" s="35"/>
      <c r="C198" s="22"/>
      <c r="D198" s="21"/>
      <c r="E198" s="22" t="str">
        <f t="shared" si="106"/>
        <v/>
      </c>
      <c r="F198" s="19" t="str">
        <f>IF(ISNUMBER(D198), $B199 * E198, "")</f>
        <v/>
      </c>
      <c r="G198" s="21"/>
      <c r="H198" s="22" t="str">
        <f t="shared" si="107"/>
        <v/>
      </c>
      <c r="I198" s="19" t="str">
        <f>IF(ISNUMBER(G198), $B199 * H198, "")</f>
        <v/>
      </c>
      <c r="J198" s="21"/>
      <c r="K198" s="22" t="str">
        <f t="shared" si="108"/>
        <v/>
      </c>
      <c r="L198" s="19" t="str">
        <f>IF(ISNUMBER(J198), $B199 * K198, "")</f>
        <v/>
      </c>
      <c r="M198" s="21"/>
      <c r="N198" s="22" t="str">
        <f t="shared" si="109"/>
        <v/>
      </c>
      <c r="O198" s="19" t="str">
        <f>IF(ISNUMBER(M198), $B199 * N198, "")</f>
        <v/>
      </c>
      <c r="Q198" s="131"/>
      <c r="R198" s="132"/>
      <c r="S198" s="133"/>
    </row>
    <row r="199" spans="1:19" ht="17.25" thickBot="1">
      <c r="A199" s="27" t="s">
        <v>42</v>
      </c>
      <c r="B199" s="137">
        <f>$B$37</f>
        <v>300000</v>
      </c>
      <c r="C199" s="138"/>
      <c r="D199" s="27" t="s">
        <v>43</v>
      </c>
      <c r="E199" s="28">
        <f>IF(COUNT(E179:E198), SUM(E179:E198) / COUNT(E179:E198), 0)</f>
        <v>0</v>
      </c>
      <c r="F199" s="29">
        <f>SUM(F179:F198)</f>
        <v>0</v>
      </c>
      <c r="G199" s="27" t="s">
        <v>43</v>
      </c>
      <c r="H199" s="28">
        <f>IF(COUNT(H179:H198), SUM(H179:H198) / COUNT(H179:H198), 0)</f>
        <v>0</v>
      </c>
      <c r="I199" s="29">
        <f>SUM(I179:I198)</f>
        <v>0</v>
      </c>
      <c r="J199" s="27" t="s">
        <v>43</v>
      </c>
      <c r="K199" s="28">
        <f>IF(COUNT(K179:K198), SUM(K179:K198) / COUNT(K179:K198), 0)</f>
        <v>0</v>
      </c>
      <c r="L199" s="29">
        <f>SUM(L179:L198)</f>
        <v>0</v>
      </c>
      <c r="M199" s="27" t="s">
        <v>43</v>
      </c>
      <c r="N199" s="28">
        <f>IF(COUNT(N179:N198), SUM(N179:N198) / COUNT(N179:N198), 0)</f>
        <v>0</v>
      </c>
      <c r="O199" s="29">
        <f>SUM(O179:O198)</f>
        <v>0</v>
      </c>
      <c r="Q199" s="134"/>
      <c r="R199" s="135"/>
      <c r="S199" s="136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D15:F16 E37:F37">
    <cfRule type="expression" dxfId="349" priority="97">
      <formula>$E$37&gt;0</formula>
    </cfRule>
    <cfRule type="expression" dxfId="348" priority="98">
      <formula>$E$37&lt;0</formula>
    </cfRule>
  </conditionalFormatting>
  <conditionalFormatting sqref="G15:I16 H37:I37">
    <cfRule type="expression" dxfId="347" priority="95">
      <formula>$H$37&gt;0</formula>
    </cfRule>
    <cfRule type="expression" dxfId="346" priority="96">
      <formula>$H$37&lt;0</formula>
    </cfRule>
  </conditionalFormatting>
  <conditionalFormatting sqref="J15:L16 K37:L37">
    <cfRule type="expression" dxfId="345" priority="93">
      <formula>$K$37&gt;0</formula>
    </cfRule>
    <cfRule type="expression" dxfId="344" priority="94">
      <formula>$K$37&lt;0</formula>
    </cfRule>
  </conditionalFormatting>
  <conditionalFormatting sqref="M15:O16 N37:O37">
    <cfRule type="expression" dxfId="343" priority="91">
      <formula>$N$37&gt;0</formula>
    </cfRule>
    <cfRule type="expression" dxfId="342" priority="92">
      <formula>$N$37&lt;0</formula>
    </cfRule>
  </conditionalFormatting>
  <conditionalFormatting sqref="A44:O63 A17:O36">
    <cfRule type="expression" dxfId="341" priority="99">
      <formula>AND($N17 &gt; 0, ISNUMBER($N17))</formula>
    </cfRule>
    <cfRule type="expression" dxfId="340" priority="100">
      <formula>AND($N17 &lt; 0, ISNUMBER($N17))</formula>
    </cfRule>
    <cfRule type="expression" dxfId="339" priority="101">
      <formula>AND($K17 &gt; 0, ISNUMBER($K17))</formula>
    </cfRule>
    <cfRule type="expression" dxfId="338" priority="102">
      <formula>AND($K17 &lt; 0, ISNUMBER($K17))</formula>
    </cfRule>
    <cfRule type="expression" dxfId="337" priority="103">
      <formula>AND($H17 &gt; 0, ISNUMBER($H17))</formula>
    </cfRule>
    <cfRule type="expression" dxfId="336" priority="104">
      <formula>AND($H17 &lt; 0, ISNUMBER($H17))</formula>
    </cfRule>
    <cfRule type="expression" dxfId="335" priority="105">
      <formula>AND($E17 &gt; 0, ISNUMBER($E17))</formula>
    </cfRule>
    <cfRule type="expression" dxfId="334" priority="106">
      <formula>AND($E17 &lt; 0, ISNUMBER($E17))</formula>
    </cfRule>
  </conditionalFormatting>
  <conditionalFormatting sqref="D42:F43 E64:F64">
    <cfRule type="expression" dxfId="333" priority="89">
      <formula>$E$64&gt;0</formula>
    </cfRule>
    <cfRule type="expression" dxfId="332" priority="90">
      <formula>$E$64&lt;0</formula>
    </cfRule>
  </conditionalFormatting>
  <conditionalFormatting sqref="G42:I43 H64:I64">
    <cfRule type="expression" dxfId="331" priority="87">
      <formula>$H$64&gt;0</formula>
    </cfRule>
    <cfRule type="expression" dxfId="330" priority="88">
      <formula>$H$64&lt;0</formula>
    </cfRule>
  </conditionalFormatting>
  <conditionalFormatting sqref="J42:L43 K64:L64">
    <cfRule type="expression" dxfId="329" priority="85">
      <formula>$K$64&gt;0</formula>
    </cfRule>
    <cfRule type="expression" dxfId="328" priority="86">
      <formula>$K$64&lt;0</formula>
    </cfRule>
  </conditionalFormatting>
  <conditionalFormatting sqref="M42:O43 N64:O64">
    <cfRule type="expression" dxfId="327" priority="83">
      <formula>$N$64&gt;0</formula>
    </cfRule>
    <cfRule type="expression" dxfId="326" priority="84">
      <formula>$N$64&lt;0</formula>
    </cfRule>
  </conditionalFormatting>
  <conditionalFormatting sqref="G2:I3">
    <cfRule type="expression" dxfId="325" priority="8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4" priority="8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323" priority="10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322" priority="10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321" priority="10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320" priority="11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319" priority="11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318" priority="11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317" priority="11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316" priority="11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315" priority="73">
      <formula>AND($N71 &gt; 0, ISNUMBER($N71))</formula>
    </cfRule>
    <cfRule type="expression" dxfId="314" priority="74">
      <formula>AND($N71 &lt; 0, ISNUMBER($N71))</formula>
    </cfRule>
    <cfRule type="expression" dxfId="313" priority="75">
      <formula>AND($K71 &gt; 0, ISNUMBER($K71))</formula>
    </cfRule>
    <cfRule type="expression" dxfId="312" priority="76">
      <formula>AND($K71 &lt; 0, ISNUMBER($K71))</formula>
    </cfRule>
    <cfRule type="expression" dxfId="311" priority="77">
      <formula>AND($H71 &gt; 0, ISNUMBER($H71))</formula>
    </cfRule>
    <cfRule type="expression" dxfId="310" priority="78">
      <formula>AND($H71 &lt; 0, ISNUMBER($H71))</formula>
    </cfRule>
    <cfRule type="expression" dxfId="309" priority="79">
      <formula>AND($E71 &gt; 0, ISNUMBER($E71))</formula>
    </cfRule>
    <cfRule type="expression" dxfId="308" priority="80">
      <formula>AND($E71 &lt; 0, ISNUMBER($E71))</formula>
    </cfRule>
  </conditionalFormatting>
  <conditionalFormatting sqref="D69:F70 E91:F91">
    <cfRule type="expression" dxfId="307" priority="71">
      <formula>$E$64&gt;0</formula>
    </cfRule>
    <cfRule type="expression" dxfId="306" priority="72">
      <formula>$E$64&lt;0</formula>
    </cfRule>
  </conditionalFormatting>
  <conditionalFormatting sqref="G69:I70 H91:I91">
    <cfRule type="expression" dxfId="305" priority="69">
      <formula>$H$64&gt;0</formula>
    </cfRule>
    <cfRule type="expression" dxfId="304" priority="70">
      <formula>$H$64&lt;0</formula>
    </cfRule>
  </conditionalFormatting>
  <conditionalFormatting sqref="J69:L70 K91:L91">
    <cfRule type="expression" dxfId="303" priority="67">
      <formula>$K$64&gt;0</formula>
    </cfRule>
    <cfRule type="expression" dxfId="302" priority="68">
      <formula>$K$64&lt;0</formula>
    </cfRule>
  </conditionalFormatting>
  <conditionalFormatting sqref="M69:O70 N91:O91">
    <cfRule type="expression" dxfId="301" priority="65">
      <formula>$N$64&gt;0</formula>
    </cfRule>
    <cfRule type="expression" dxfId="300" priority="66">
      <formula>$N$64&lt;0</formula>
    </cfRule>
  </conditionalFormatting>
  <conditionalFormatting sqref="A98:O117">
    <cfRule type="expression" dxfId="299" priority="57">
      <formula>AND($N98 &gt; 0, ISNUMBER($N98))</formula>
    </cfRule>
    <cfRule type="expression" dxfId="298" priority="58">
      <formula>AND($N98 &lt; 0, ISNUMBER($N98))</formula>
    </cfRule>
    <cfRule type="expression" dxfId="297" priority="59">
      <formula>AND($K98 &gt; 0, ISNUMBER($K98))</formula>
    </cfRule>
    <cfRule type="expression" dxfId="296" priority="60">
      <formula>AND($K98 &lt; 0, ISNUMBER($K98))</formula>
    </cfRule>
    <cfRule type="expression" dxfId="295" priority="61">
      <formula>AND($H98 &gt; 0, ISNUMBER($H98))</formula>
    </cfRule>
    <cfRule type="expression" dxfId="294" priority="62">
      <formula>AND($H98 &lt; 0, ISNUMBER($H98))</formula>
    </cfRule>
    <cfRule type="expression" dxfId="293" priority="63">
      <formula>AND($E98 &gt; 0, ISNUMBER($E98))</formula>
    </cfRule>
    <cfRule type="expression" dxfId="292" priority="64">
      <formula>AND($E98 &lt; 0, ISNUMBER($E98))</formula>
    </cfRule>
  </conditionalFormatting>
  <conditionalFormatting sqref="D96:F97 E118:F118">
    <cfRule type="expression" dxfId="291" priority="55">
      <formula>$E$64&gt;0</formula>
    </cfRule>
    <cfRule type="expression" dxfId="290" priority="56">
      <formula>$E$64&lt;0</formula>
    </cfRule>
  </conditionalFormatting>
  <conditionalFormatting sqref="G96:I97 H118:I118">
    <cfRule type="expression" dxfId="289" priority="53">
      <formula>$H$64&gt;0</formula>
    </cfRule>
    <cfRule type="expression" dxfId="288" priority="54">
      <formula>$H$64&lt;0</formula>
    </cfRule>
  </conditionalFormatting>
  <conditionalFormatting sqref="J96:L97 K118:L118">
    <cfRule type="expression" dxfId="287" priority="51">
      <formula>$K$64&gt;0</formula>
    </cfRule>
    <cfRule type="expression" dxfId="286" priority="52">
      <formula>$K$64&lt;0</formula>
    </cfRule>
  </conditionalFormatting>
  <conditionalFormatting sqref="M96:O97 N118:O118">
    <cfRule type="expression" dxfId="285" priority="49">
      <formula>$N$64&gt;0</formula>
    </cfRule>
    <cfRule type="expression" dxfId="284" priority="50">
      <formula>$N$64&lt;0</formula>
    </cfRule>
  </conditionalFormatting>
  <conditionalFormatting sqref="A125:O144">
    <cfRule type="expression" dxfId="283" priority="41">
      <formula>AND($N125 &gt; 0, ISNUMBER($N125))</formula>
    </cfRule>
    <cfRule type="expression" dxfId="282" priority="42">
      <formula>AND($N125 &lt; 0, ISNUMBER($N125))</formula>
    </cfRule>
    <cfRule type="expression" dxfId="281" priority="43">
      <formula>AND($K125 &gt; 0, ISNUMBER($K125))</formula>
    </cfRule>
    <cfRule type="expression" dxfId="280" priority="44">
      <formula>AND($K125 &lt; 0, ISNUMBER($K125))</formula>
    </cfRule>
    <cfRule type="expression" dxfId="279" priority="45">
      <formula>AND($H125 &gt; 0, ISNUMBER($H125))</formula>
    </cfRule>
    <cfRule type="expression" dxfId="278" priority="46">
      <formula>AND($H125 &lt; 0, ISNUMBER($H125))</formula>
    </cfRule>
    <cfRule type="expression" dxfId="277" priority="47">
      <formula>AND($E125 &gt; 0, ISNUMBER($E125))</formula>
    </cfRule>
    <cfRule type="expression" dxfId="276" priority="48">
      <formula>AND($E125 &lt; 0, ISNUMBER($E125))</formula>
    </cfRule>
  </conditionalFormatting>
  <conditionalFormatting sqref="D123:F124 E145:F145">
    <cfRule type="expression" dxfId="275" priority="39">
      <formula>$E$64&gt;0</formula>
    </cfRule>
    <cfRule type="expression" dxfId="274" priority="40">
      <formula>$E$64&lt;0</formula>
    </cfRule>
  </conditionalFormatting>
  <conditionalFormatting sqref="G123:I124 H145:I145">
    <cfRule type="expression" dxfId="273" priority="37">
      <formula>$H$64&gt;0</formula>
    </cfRule>
    <cfRule type="expression" dxfId="272" priority="38">
      <formula>$H$64&lt;0</formula>
    </cfRule>
  </conditionalFormatting>
  <conditionalFormatting sqref="J123:L124 K145:L145">
    <cfRule type="expression" dxfId="271" priority="35">
      <formula>$K$64&gt;0</formula>
    </cfRule>
    <cfRule type="expression" dxfId="270" priority="36">
      <formula>$K$64&lt;0</formula>
    </cfRule>
  </conditionalFormatting>
  <conditionalFormatting sqref="M123:O124 N145:O145">
    <cfRule type="expression" dxfId="269" priority="33">
      <formula>$N$64&gt;0</formula>
    </cfRule>
    <cfRule type="expression" dxfId="268" priority="34">
      <formula>$N$64&lt;0</formula>
    </cfRule>
  </conditionalFormatting>
  <conditionalFormatting sqref="A152:O171">
    <cfRule type="expression" dxfId="267" priority="25">
      <formula>AND($N152 &gt; 0, ISNUMBER($N152))</formula>
    </cfRule>
    <cfRule type="expression" dxfId="266" priority="26">
      <formula>AND($N152 &lt; 0, ISNUMBER($N152))</formula>
    </cfRule>
    <cfRule type="expression" dxfId="265" priority="27">
      <formula>AND($K152 &gt; 0, ISNUMBER($K152))</formula>
    </cfRule>
    <cfRule type="expression" dxfId="264" priority="28">
      <formula>AND($K152 &lt; 0, ISNUMBER($K152))</formula>
    </cfRule>
    <cfRule type="expression" dxfId="263" priority="29">
      <formula>AND($H152 &gt; 0, ISNUMBER($H152))</formula>
    </cfRule>
    <cfRule type="expression" dxfId="262" priority="30">
      <formula>AND($H152 &lt; 0, ISNUMBER($H152))</formula>
    </cfRule>
    <cfRule type="expression" dxfId="261" priority="31">
      <formula>AND($E152 &gt; 0, ISNUMBER($E152))</formula>
    </cfRule>
    <cfRule type="expression" dxfId="260" priority="32">
      <formula>AND($E152 &lt; 0, ISNUMBER($E152))</formula>
    </cfRule>
  </conditionalFormatting>
  <conditionalFormatting sqref="D150:F151 E172:F172">
    <cfRule type="expression" dxfId="259" priority="23">
      <formula>$E$64&gt;0</formula>
    </cfRule>
    <cfRule type="expression" dxfId="258" priority="24">
      <formula>$E$64&lt;0</formula>
    </cfRule>
  </conditionalFormatting>
  <conditionalFormatting sqref="G150:I151 H172:I172">
    <cfRule type="expression" dxfId="257" priority="21">
      <formula>$H$64&gt;0</formula>
    </cfRule>
    <cfRule type="expression" dxfId="256" priority="22">
      <formula>$H$64&lt;0</formula>
    </cfRule>
  </conditionalFormatting>
  <conditionalFormatting sqref="J150:L151 K172:L172">
    <cfRule type="expression" dxfId="255" priority="19">
      <formula>$K$64&gt;0</formula>
    </cfRule>
    <cfRule type="expression" dxfId="254" priority="20">
      <formula>$K$64&lt;0</formula>
    </cfRule>
  </conditionalFormatting>
  <conditionalFormatting sqref="M150:O151 N172:O172">
    <cfRule type="expression" dxfId="253" priority="17">
      <formula>$N$64&gt;0</formula>
    </cfRule>
    <cfRule type="expression" dxfId="252" priority="18">
      <formula>$N$64&lt;0</formula>
    </cfRule>
  </conditionalFormatting>
  <conditionalFormatting sqref="A179:O198">
    <cfRule type="expression" dxfId="251" priority="9">
      <formula>AND($N179 &gt; 0, ISNUMBER($N179))</formula>
    </cfRule>
    <cfRule type="expression" dxfId="250" priority="10">
      <formula>AND($N179 &lt; 0, ISNUMBER($N179))</formula>
    </cfRule>
    <cfRule type="expression" dxfId="249" priority="11">
      <formula>AND($K179 &gt; 0, ISNUMBER($K179))</formula>
    </cfRule>
    <cfRule type="expression" dxfId="248" priority="12">
      <formula>AND($K179 &lt; 0, ISNUMBER($K179))</formula>
    </cfRule>
    <cfRule type="expression" dxfId="247" priority="13">
      <formula>AND($H179 &gt; 0, ISNUMBER($H179))</formula>
    </cfRule>
    <cfRule type="expression" dxfId="246" priority="14">
      <formula>AND($H179 &lt; 0, ISNUMBER($H179))</formula>
    </cfRule>
    <cfRule type="expression" dxfId="245" priority="15">
      <formula>AND($E179 &gt; 0, ISNUMBER($E179))</formula>
    </cfRule>
    <cfRule type="expression" dxfId="244" priority="16">
      <formula>AND($E179 &lt; 0, ISNUMBER($E179))</formula>
    </cfRule>
  </conditionalFormatting>
  <conditionalFormatting sqref="D177:F178 E199:F199">
    <cfRule type="expression" dxfId="243" priority="7">
      <formula>$E$64&gt;0</formula>
    </cfRule>
    <cfRule type="expression" dxfId="242" priority="8">
      <formula>$E$64&lt;0</formula>
    </cfRule>
  </conditionalFormatting>
  <conditionalFormatting sqref="G177:I178 H199:I199">
    <cfRule type="expression" dxfId="241" priority="5">
      <formula>$H$64&gt;0</formula>
    </cfRule>
    <cfRule type="expression" dxfId="240" priority="6">
      <formula>$H$64&lt;0</formula>
    </cfRule>
  </conditionalFormatting>
  <conditionalFormatting sqref="J177:L178 K199:L199">
    <cfRule type="expression" dxfId="239" priority="3">
      <formula>$K$64&gt;0</formula>
    </cfRule>
    <cfRule type="expression" dxfId="238" priority="4">
      <formula>$K$64&lt;0</formula>
    </cfRule>
  </conditionalFormatting>
  <conditionalFormatting sqref="M177:O178 N199:O199">
    <cfRule type="expression" dxfId="237" priority="1">
      <formula>$N$64&gt;0</formula>
    </cfRule>
    <cfRule type="expression" dxfId="236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"/>
  <sheetViews>
    <sheetView workbookViewId="0">
      <selection activeCell="A6" sqref="A6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3" sqref="H3:I4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9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73" t="s">
        <v>287</v>
      </c>
      <c r="B1" s="75" t="s">
        <v>39</v>
      </c>
      <c r="C1" s="74" t="s">
        <v>37</v>
      </c>
      <c r="D1" s="76" t="s">
        <v>38</v>
      </c>
      <c r="E1" s="97" t="s">
        <v>294</v>
      </c>
    </row>
    <row r="2" spans="1:18" ht="17.25" thickBot="1">
      <c r="A2" s="45" t="s">
        <v>211</v>
      </c>
      <c r="B2" s="11" t="s">
        <v>212</v>
      </c>
      <c r="C2" s="101">
        <v>177</v>
      </c>
      <c r="D2" s="98">
        <v>8.5889570600000006E-2</v>
      </c>
      <c r="E2" s="99">
        <v>2897712431.2304063</v>
      </c>
      <c r="F2" s="40"/>
      <c r="G2" s="59"/>
      <c r="H2" s="40"/>
      <c r="I2" s="40"/>
    </row>
    <row r="3" spans="1:18" ht="17.25" thickBot="1">
      <c r="A3" s="45" t="s">
        <v>145</v>
      </c>
      <c r="B3" s="11" t="s">
        <v>146</v>
      </c>
      <c r="C3" s="101">
        <v>19780</v>
      </c>
      <c r="D3" s="98">
        <v>6.9767441900000005E-2</v>
      </c>
      <c r="E3" s="99">
        <v>7329076.6897662999</v>
      </c>
      <c r="F3" s="40"/>
      <c r="G3" s="190" t="s">
        <v>290</v>
      </c>
      <c r="H3" s="191" t="s">
        <v>299</v>
      </c>
      <c r="I3" s="191"/>
      <c r="K3" s="149" t="s">
        <v>34</v>
      </c>
      <c r="L3" s="150"/>
      <c r="M3" s="150"/>
      <c r="N3" s="151"/>
      <c r="O3" s="149" t="s">
        <v>292</v>
      </c>
      <c r="P3" s="150"/>
      <c r="Q3" s="150"/>
      <c r="R3" s="151"/>
    </row>
    <row r="4" spans="1:18" ht="17.25" thickBot="1">
      <c r="A4" s="45" t="s">
        <v>279</v>
      </c>
      <c r="B4" s="11" t="s">
        <v>280</v>
      </c>
      <c r="C4" s="101">
        <v>1705</v>
      </c>
      <c r="D4" s="98">
        <v>4.60122699E-2</v>
      </c>
      <c r="E4" s="99">
        <v>16210583.65364182</v>
      </c>
      <c r="F4" s="40"/>
      <c r="G4" s="184"/>
      <c r="H4" s="192"/>
      <c r="I4" s="192"/>
      <c r="K4" s="183" t="s">
        <v>55</v>
      </c>
      <c r="L4" s="195">
        <f ca="1">NOW()</f>
        <v>44318.651957638889</v>
      </c>
      <c r="M4" s="196"/>
      <c r="N4" s="197"/>
      <c r="O4" s="185" t="s">
        <v>55</v>
      </c>
      <c r="P4" s="195">
        <f ca="1">NOW()</f>
        <v>44318.651957638889</v>
      </c>
      <c r="Q4" s="196"/>
      <c r="R4" s="197"/>
    </row>
    <row r="5" spans="1:18" ht="17.25" thickBot="1">
      <c r="A5" s="45" t="s">
        <v>201</v>
      </c>
      <c r="B5" s="11" t="s">
        <v>202</v>
      </c>
      <c r="C5" s="101">
        <v>230</v>
      </c>
      <c r="D5" s="98">
        <v>4.5454545499999999E-2</v>
      </c>
      <c r="E5" s="99">
        <v>226834065.94746763</v>
      </c>
      <c r="F5" s="40"/>
      <c r="K5" s="184"/>
      <c r="L5" s="41" t="s">
        <v>58</v>
      </c>
      <c r="M5" s="79" t="s">
        <v>59</v>
      </c>
      <c r="N5" s="75" t="s">
        <v>294</v>
      </c>
      <c r="O5" s="184"/>
      <c r="P5" s="41" t="s">
        <v>58</v>
      </c>
      <c r="Q5" s="79" t="s">
        <v>59</v>
      </c>
      <c r="R5" s="75" t="s">
        <v>294</v>
      </c>
    </row>
    <row r="6" spans="1:18" ht="17.25" thickBot="1">
      <c r="A6" s="45" t="s">
        <v>233</v>
      </c>
      <c r="B6" s="11" t="s">
        <v>234</v>
      </c>
      <c r="C6" s="101">
        <v>1500</v>
      </c>
      <c r="D6" s="98">
        <v>4.5296167200000001E-2</v>
      </c>
      <c r="E6" s="99">
        <v>28671853.4628742</v>
      </c>
      <c r="F6" s="40"/>
      <c r="G6" s="149" t="s">
        <v>52</v>
      </c>
      <c r="H6" s="150"/>
      <c r="I6" s="151"/>
      <c r="K6" s="60" t="str">
        <f ca="1">IFERROR(OFFSET(INDIRECT($H$3 &amp; "!A17"), 0, 0), "")</f>
        <v>룸네트워크</v>
      </c>
      <c r="L6" s="43">
        <f t="shared" ref="L6:L24" ca="1" si="0">_xlfn.IFNA(VLOOKUP(K6, $B$2:$E$200, 2, FALSE), "")</f>
        <v>181</v>
      </c>
      <c r="M6" s="82">
        <f t="shared" ref="M6:M25" ca="1" si="1">_xlfn.IFNA(VLOOKUP(K6, $B$2:$E$200, 3, FALSE), "")</f>
        <v>-3.7234042600000003E-2</v>
      </c>
      <c r="N6" s="91">
        <f ca="1">_xlfn.IFNA(VLOOKUP(K6, $B$2:$E$200, 4, FALSE), "")</f>
        <v>18042776.993536711</v>
      </c>
      <c r="O6" s="51" t="str">
        <f>INDEX($A$2:$D$200, MATCH(LARGE($D$2:$D$200, 1), $D$2:$D$200, 0), 2)</f>
        <v>메디블록</v>
      </c>
      <c r="P6" s="43">
        <f t="shared" ref="P6:P25" si="2">_xlfn.IFNA(VLOOKUP(O6, $B$2:$D$200, 2, FALSE), "")</f>
        <v>177</v>
      </c>
      <c r="Q6" s="82">
        <f t="shared" ref="Q6:Q25" si="3">_xlfn.IFNA(VLOOKUP(O6, $B$2:$D$200, 3, FALSE), "")</f>
        <v>8.5889570600000006E-2</v>
      </c>
      <c r="R6" s="91">
        <f>_xlfn.IFNA(VLOOKUP(O6, $B$2:$E$200, 4, FALSE), "")</f>
        <v>2897712431.2304063</v>
      </c>
    </row>
    <row r="7" spans="1:18">
      <c r="A7" s="45" t="s">
        <v>131</v>
      </c>
      <c r="B7" s="11" t="s">
        <v>132</v>
      </c>
      <c r="C7" s="101">
        <v>254</v>
      </c>
      <c r="D7" s="98">
        <v>4.5267489700000003E-2</v>
      </c>
      <c r="E7" s="99">
        <v>1141674136.6626649</v>
      </c>
      <c r="F7" s="40"/>
      <c r="G7" s="174" t="s">
        <v>36</v>
      </c>
      <c r="H7" s="175"/>
      <c r="I7" s="176"/>
      <c r="K7" s="61" t="str">
        <f ca="1">IFERROR(OFFSET(INDIRECT($H$3 &amp; "!A17"), 1, 0), "")</f>
        <v>피르마체인</v>
      </c>
      <c r="L7" s="44">
        <f t="shared" ca="1" si="0"/>
        <v>213</v>
      </c>
      <c r="M7" s="83">
        <f t="shared" ca="1" si="1"/>
        <v>-2.29357798E-2</v>
      </c>
      <c r="N7" s="92">
        <f t="shared" ref="N7:N25" ca="1" si="4">_xlfn.IFNA(VLOOKUP(K7, $B$2:$E$200, 4, FALSE), "")</f>
        <v>26499533.634734701</v>
      </c>
      <c r="O7" s="52" t="str">
        <f>INDEX($A$2:$D$200, MATCH(LARGE($D$2:$D$200, 2), $D$2:$D$200, 0), 2)</f>
        <v>가스</v>
      </c>
      <c r="P7" s="44">
        <f t="shared" si="2"/>
        <v>19780</v>
      </c>
      <c r="Q7" s="83">
        <f t="shared" si="3"/>
        <v>6.9767441900000005E-2</v>
      </c>
      <c r="R7" s="92">
        <f t="shared" ref="R7:R25" si="5">_xlfn.IFNA(VLOOKUP(O7, $B$2:$E$200, 4, FALSE), "")</f>
        <v>7329076.6897662999</v>
      </c>
    </row>
    <row r="8" spans="1:18" ht="17.25" thickBot="1">
      <c r="A8" s="45" t="s">
        <v>261</v>
      </c>
      <c r="B8" s="11" t="s">
        <v>262</v>
      </c>
      <c r="C8" s="101">
        <v>1115</v>
      </c>
      <c r="D8" s="98">
        <v>4.2056074800000003E-2</v>
      </c>
      <c r="E8" s="99">
        <v>22654663.308202811</v>
      </c>
      <c r="F8" s="40"/>
      <c r="G8" s="168"/>
      <c r="H8" s="169"/>
      <c r="I8" s="170"/>
      <c r="K8" s="61" t="str">
        <f ca="1">IFERROR(OFFSET(INDIRECT($H$3 &amp; "!A17"), 2, 0), "")</f>
        <v>칠리즈</v>
      </c>
      <c r="L8" s="44">
        <f t="shared" ca="1" si="0"/>
        <v>635</v>
      </c>
      <c r="M8" s="83">
        <f t="shared" ca="1" si="1"/>
        <v>-3.7878787900000002E-2</v>
      </c>
      <c r="N8" s="92">
        <f t="shared" ca="1" si="4"/>
        <v>89174319.353555486</v>
      </c>
      <c r="O8" s="52" t="str">
        <f>INDEX($A$2:$D$200, MATCH(LARGE($D$2:$D$200, 3), $D$2:$D$200, 0), 2)</f>
        <v>그로스톨코인</v>
      </c>
      <c r="P8" s="44">
        <f t="shared" si="2"/>
        <v>1705</v>
      </c>
      <c r="Q8" s="83">
        <f t="shared" si="3"/>
        <v>4.60122699E-2</v>
      </c>
      <c r="R8" s="92">
        <f t="shared" si="5"/>
        <v>16210583.65364182</v>
      </c>
    </row>
    <row r="9" spans="1:18" ht="17.25" thickBot="1">
      <c r="A9" s="45" t="s">
        <v>187</v>
      </c>
      <c r="B9" s="11" t="s">
        <v>188</v>
      </c>
      <c r="C9" s="101">
        <v>18480</v>
      </c>
      <c r="D9" s="98">
        <v>2.5527192000000001E-2</v>
      </c>
      <c r="E9" s="99">
        <v>8597495.1855589692</v>
      </c>
      <c r="F9" s="40"/>
      <c r="G9" s="9" t="s">
        <v>38</v>
      </c>
      <c r="H9" s="150" t="s">
        <v>37</v>
      </c>
      <c r="I9" s="151"/>
      <c r="K9" s="61" t="str">
        <f ca="1">IFERROR(OFFSET(INDIRECT($H$3 &amp; "!A17"), 3, 0), "")</f>
        <v>아인스타이늄</v>
      </c>
      <c r="L9" s="44">
        <f t="shared" ca="1" si="0"/>
        <v>581</v>
      </c>
      <c r="M9" s="83">
        <f t="shared" ca="1" si="1"/>
        <v>-3.3277870199999997E-2</v>
      </c>
      <c r="N9" s="92">
        <f t="shared" ca="1" si="4"/>
        <v>15512250.509519549</v>
      </c>
      <c r="O9" s="52" t="str">
        <f>INDEX($A$2:$D$200, MATCH(LARGE($D$2:$D$200, 4), $D$2:$D$200, 0), 2)</f>
        <v>메타디움</v>
      </c>
      <c r="P9" s="44">
        <f t="shared" si="2"/>
        <v>230</v>
      </c>
      <c r="Q9" s="83">
        <f t="shared" si="3"/>
        <v>4.5454545499999999E-2</v>
      </c>
      <c r="R9" s="92">
        <f t="shared" si="5"/>
        <v>226834065.94746763</v>
      </c>
    </row>
    <row r="10" spans="1:18">
      <c r="A10" s="45" t="s">
        <v>121</v>
      </c>
      <c r="B10" s="11" t="s">
        <v>122</v>
      </c>
      <c r="C10" s="101">
        <v>129</v>
      </c>
      <c r="D10" s="98">
        <v>2.3809523799999999E-2</v>
      </c>
      <c r="E10" s="99">
        <v>262631915.51925102</v>
      </c>
      <c r="F10" s="40"/>
      <c r="G10" s="193">
        <f>_xlfn.IFNA(VLOOKUP(G7, $B$2:$D$200, 3, FALSE), "-")</f>
        <v>-1.22521687E-2</v>
      </c>
      <c r="H10" s="186">
        <f>_xlfn.IFNA(VLOOKUP(G7, $B$2:$D$200, 2, FALSE), "-")</f>
        <v>68203000</v>
      </c>
      <c r="I10" s="187"/>
      <c r="K10" s="63" t="str">
        <f ca="1">IFERROR(OFFSET(INDIRECT($H$3 &amp; "!A17"), 4, 0), "")</f>
        <v>아더</v>
      </c>
      <c r="L10" s="49">
        <f t="shared" ca="1" si="0"/>
        <v>462</v>
      </c>
      <c r="M10" s="84">
        <f t="shared" ca="1" si="1"/>
        <v>-4.1493775900000002E-2</v>
      </c>
      <c r="N10" s="96">
        <f t="shared" ca="1" si="4"/>
        <v>18317394.660448302</v>
      </c>
      <c r="O10" s="52" t="str">
        <f>INDEX($A$2:$D$200, MATCH(LARGE($D$2:$D$200, 5), $D$2:$D$200, 0), 2)</f>
        <v>디마켓</v>
      </c>
      <c r="P10" s="44">
        <f t="shared" si="2"/>
        <v>1500</v>
      </c>
      <c r="Q10" s="83">
        <f t="shared" si="3"/>
        <v>4.5296167200000001E-2</v>
      </c>
      <c r="R10" s="96">
        <f t="shared" si="5"/>
        <v>28671853.4628742</v>
      </c>
    </row>
    <row r="11" spans="1:18" ht="17.25" thickBot="1">
      <c r="A11" s="45" t="s">
        <v>267</v>
      </c>
      <c r="B11" s="11" t="s">
        <v>268</v>
      </c>
      <c r="C11" s="101">
        <v>101</v>
      </c>
      <c r="D11" s="98">
        <v>2.2267206500000001E-2</v>
      </c>
      <c r="E11" s="99">
        <v>254218741.8910861</v>
      </c>
      <c r="F11" s="40"/>
      <c r="G11" s="194"/>
      <c r="H11" s="188"/>
      <c r="I11" s="189"/>
      <c r="K11" s="61">
        <f ca="1">IFERROR(OFFSET(INDIRECT($H$3 &amp; "!A17"), 5, 0), "")</f>
        <v>0</v>
      </c>
      <c r="L11" s="44" t="str">
        <f t="shared" ca="1" si="0"/>
        <v/>
      </c>
      <c r="M11" s="83" t="str">
        <f t="shared" ca="1" si="1"/>
        <v/>
      </c>
      <c r="N11" s="105" t="str">
        <f t="shared" ca="1" si="4"/>
        <v/>
      </c>
      <c r="O11" s="54" t="str">
        <f>INDEX($A$2:$D$200, MATCH(LARGE($D$2:$D$200, 6), $D$2:$D$200, 0), 2)</f>
        <v>비체인</v>
      </c>
      <c r="P11" s="50">
        <f t="shared" si="2"/>
        <v>254</v>
      </c>
      <c r="Q11" s="86">
        <f t="shared" si="3"/>
        <v>4.5267489700000003E-2</v>
      </c>
      <c r="R11" s="105">
        <f t="shared" si="5"/>
        <v>1141674136.6626649</v>
      </c>
    </row>
    <row r="12" spans="1:18" ht="17.25" thickBot="1">
      <c r="A12" s="45" t="s">
        <v>151</v>
      </c>
      <c r="B12" s="11" t="s">
        <v>152</v>
      </c>
      <c r="C12" s="101">
        <v>48.7</v>
      </c>
      <c r="D12" s="98">
        <v>2.0964360599999999E-2</v>
      </c>
      <c r="E12" s="99">
        <v>2166884840.1176963</v>
      </c>
      <c r="F12" s="40"/>
      <c r="K12" s="61">
        <f ca="1">IFERROR(OFFSET(INDIRECT($H$3 &amp; "!A17"), 6, 0), "")</f>
        <v>0</v>
      </c>
      <c r="L12" s="44" t="str">
        <f t="shared" ca="1" si="0"/>
        <v/>
      </c>
      <c r="M12" s="83" t="str">
        <f t="shared" ca="1" si="1"/>
        <v/>
      </c>
      <c r="N12" s="92" t="str">
        <f t="shared" ca="1" si="4"/>
        <v/>
      </c>
      <c r="O12" s="52" t="str">
        <f>INDEX($A$2:$D$200, MATCH(LARGE($D$2:$D$200, 7), $D$2:$D$200, 0), 2)</f>
        <v>스팀</v>
      </c>
      <c r="P12" s="44">
        <f t="shared" si="2"/>
        <v>1115</v>
      </c>
      <c r="Q12" s="83">
        <f t="shared" si="3"/>
        <v>4.2056074800000003E-2</v>
      </c>
      <c r="R12" s="92">
        <f t="shared" si="5"/>
        <v>22654663.308202811</v>
      </c>
    </row>
    <row r="13" spans="1:18" ht="17.25" thickBot="1">
      <c r="A13" s="45" t="s">
        <v>191</v>
      </c>
      <c r="B13" s="11" t="s">
        <v>192</v>
      </c>
      <c r="C13" s="101">
        <v>1215</v>
      </c>
      <c r="D13" s="98">
        <v>1.67364017E-2</v>
      </c>
      <c r="E13" s="99">
        <v>15831945.322909281</v>
      </c>
      <c r="F13" s="40"/>
      <c r="G13" s="149" t="s">
        <v>70</v>
      </c>
      <c r="H13" s="150"/>
      <c r="I13" s="151"/>
      <c r="K13" s="61">
        <f ca="1">IFERROR(OFFSET(INDIRECT($H$3 &amp; "!A17"), 7, 0), "")</f>
        <v>0</v>
      </c>
      <c r="L13" s="44" t="str">
        <f t="shared" ca="1" si="0"/>
        <v/>
      </c>
      <c r="M13" s="83" t="str">
        <f t="shared" ca="1" si="1"/>
        <v/>
      </c>
      <c r="N13" s="92" t="str">
        <f t="shared" ca="1" si="4"/>
        <v/>
      </c>
      <c r="O13" s="52" t="str">
        <f>INDEX($A$2:$D$200, MATCH(LARGE($D$2:$D$200, 8), $D$2:$D$200, 0), 2)</f>
        <v>퀀텀</v>
      </c>
      <c r="P13" s="44">
        <f t="shared" si="2"/>
        <v>18480</v>
      </c>
      <c r="Q13" s="83">
        <f t="shared" si="3"/>
        <v>2.5527192000000001E-2</v>
      </c>
      <c r="R13" s="92">
        <f t="shared" si="5"/>
        <v>8597495.1855589692</v>
      </c>
    </row>
    <row r="14" spans="1:18">
      <c r="A14" s="45" t="s">
        <v>101</v>
      </c>
      <c r="B14" s="11" t="s">
        <v>102</v>
      </c>
      <c r="C14" s="101">
        <v>53980</v>
      </c>
      <c r="D14" s="98">
        <v>1.0861423199999999E-2</v>
      </c>
      <c r="E14" s="99">
        <v>13287765.012609459</v>
      </c>
      <c r="F14" s="40"/>
      <c r="G14" s="174" t="s">
        <v>36</v>
      </c>
      <c r="H14" s="175"/>
      <c r="I14" s="176"/>
      <c r="K14" s="61">
        <f ca="1">IFERROR(OFFSET(INDIRECT($H$3 &amp; "!A17"), 8, 0), "")</f>
        <v>0</v>
      </c>
      <c r="L14" s="44" t="str">
        <f t="shared" ca="1" si="0"/>
        <v/>
      </c>
      <c r="M14" s="83" t="str">
        <f t="shared" ca="1" si="1"/>
        <v/>
      </c>
      <c r="N14" s="92" t="str">
        <f t="shared" ca="1" si="4"/>
        <v/>
      </c>
      <c r="O14" s="52" t="str">
        <f>INDEX($A$2:$D$200, MATCH(LARGE($D$2:$D$200, 9), $D$2:$D$200, 0), 2)</f>
        <v>픽셀</v>
      </c>
      <c r="P14" s="44">
        <f t="shared" si="2"/>
        <v>129</v>
      </c>
      <c r="Q14" s="83">
        <f t="shared" si="3"/>
        <v>2.3809523799999999E-2</v>
      </c>
      <c r="R14" s="92">
        <f t="shared" si="5"/>
        <v>262631915.51925102</v>
      </c>
    </row>
    <row r="15" spans="1:18" ht="17.25" thickBot="1">
      <c r="A15" s="45" t="s">
        <v>62</v>
      </c>
      <c r="B15" s="11" t="s">
        <v>63</v>
      </c>
      <c r="C15" s="101">
        <v>122850</v>
      </c>
      <c r="D15" s="98">
        <v>9.8643649999999999E-3</v>
      </c>
      <c r="E15" s="99">
        <v>1376230.66875921</v>
      </c>
      <c r="F15" s="40"/>
      <c r="G15" s="168"/>
      <c r="H15" s="169"/>
      <c r="I15" s="170"/>
      <c r="K15" s="62">
        <f ca="1">IFERROR(OFFSET(INDIRECT($H$3 &amp; "!A17"), 9, 0), "")</f>
        <v>0</v>
      </c>
      <c r="L15" s="42" t="str">
        <f t="shared" ca="1" si="0"/>
        <v/>
      </c>
      <c r="M15" s="85" t="str">
        <f t="shared" ca="1" si="1"/>
        <v/>
      </c>
      <c r="N15" s="93" t="str">
        <f t="shared" ca="1" si="4"/>
        <v/>
      </c>
      <c r="O15" s="53" t="str">
        <f>INDEX($A$2:$D$200, MATCH(LARGE($D$2:$D$200, 10), $D$2:$D$200, 0), 2)</f>
        <v>람다</v>
      </c>
      <c r="P15" s="42">
        <f t="shared" si="2"/>
        <v>101</v>
      </c>
      <c r="Q15" s="85">
        <f t="shared" si="3"/>
        <v>2.2267206500000001E-2</v>
      </c>
      <c r="R15" s="93">
        <f t="shared" si="5"/>
        <v>254218741.8910861</v>
      </c>
    </row>
    <row r="16" spans="1:18" ht="17.25" thickBot="1">
      <c r="A16" s="45" t="s">
        <v>185</v>
      </c>
      <c r="B16" s="11" t="s">
        <v>186</v>
      </c>
      <c r="C16" s="101">
        <v>27.2</v>
      </c>
      <c r="D16" s="98">
        <v>7.4074073999999997E-3</v>
      </c>
      <c r="E16" s="99">
        <v>589220610.58466542</v>
      </c>
      <c r="F16" s="40"/>
      <c r="G16" s="9" t="s">
        <v>38</v>
      </c>
      <c r="H16" s="150" t="s">
        <v>37</v>
      </c>
      <c r="I16" s="151"/>
      <c r="K16" s="60">
        <f ca="1">IFERROR(OFFSET(INDIRECT($H$3 &amp; "!A17"), 10, 0), "")</f>
        <v>0</v>
      </c>
      <c r="L16" s="43" t="str">
        <f t="shared" ca="1" si="0"/>
        <v/>
      </c>
      <c r="M16" s="82" t="str">
        <f t="shared" ca="1" si="1"/>
        <v/>
      </c>
      <c r="N16" s="91" t="str">
        <f t="shared" ca="1" si="4"/>
        <v/>
      </c>
      <c r="O16" s="51" t="str">
        <f>INDEX($A$2:$D$200, MATCH(LARGE($D$2:$D$200, 11), $D$2:$D$200, 0), 2)</f>
        <v>시아코인</v>
      </c>
      <c r="P16" s="43">
        <f t="shared" si="2"/>
        <v>48.7</v>
      </c>
      <c r="Q16" s="82">
        <f t="shared" si="3"/>
        <v>2.0964360599999999E-2</v>
      </c>
      <c r="R16" s="91">
        <f t="shared" si="5"/>
        <v>2166884840.1176963</v>
      </c>
    </row>
    <row r="17" spans="1:18">
      <c r="A17" s="45" t="s">
        <v>207</v>
      </c>
      <c r="B17" s="11" t="s">
        <v>208</v>
      </c>
      <c r="C17" s="101">
        <v>534</v>
      </c>
      <c r="D17" s="98">
        <v>1.8761725999999999E-3</v>
      </c>
      <c r="E17" s="99">
        <v>85918566.099021286</v>
      </c>
      <c r="F17" s="40"/>
      <c r="G17" s="193">
        <f>_xlfn.IFNA(VLOOKUP(G14, $B$2:$D$200, 3, FALSE), "-")</f>
        <v>-1.22521687E-2</v>
      </c>
      <c r="H17" s="186">
        <f>_xlfn.IFNA(VLOOKUP(G14, $B$2:$D$200, 2, FALSE), "-")</f>
        <v>68203000</v>
      </c>
      <c r="I17" s="187"/>
      <c r="K17" s="61">
        <f ca="1">IFERROR(OFFSET(INDIRECT($H$3 &amp; "!A17"), 11, 0), "")</f>
        <v>0</v>
      </c>
      <c r="L17" s="44" t="str">
        <f t="shared" ca="1" si="0"/>
        <v/>
      </c>
      <c r="M17" s="83" t="str">
        <f t="shared" ca="1" si="1"/>
        <v/>
      </c>
      <c r="N17" s="92" t="str">
        <f t="shared" ca="1" si="4"/>
        <v/>
      </c>
      <c r="O17" s="52" t="str">
        <f>INDEX($A$2:$D$200, MATCH(LARGE($D$2:$D$200, 12), $D$2:$D$200, 0), 2)</f>
        <v>온톨로지가스</v>
      </c>
      <c r="P17" s="44">
        <f t="shared" si="2"/>
        <v>1215</v>
      </c>
      <c r="Q17" s="83">
        <f t="shared" si="3"/>
        <v>1.67364017E-2</v>
      </c>
      <c r="R17" s="92">
        <f t="shared" si="5"/>
        <v>15831945.322909281</v>
      </c>
    </row>
    <row r="18" spans="1:18" ht="17.25" thickBot="1">
      <c r="A18" s="45" t="s">
        <v>227</v>
      </c>
      <c r="B18" s="11" t="s">
        <v>228</v>
      </c>
      <c r="C18" s="101">
        <v>20.100000000000001</v>
      </c>
      <c r="D18" s="98">
        <v>0</v>
      </c>
      <c r="E18" s="99">
        <v>1500653379.3103938</v>
      </c>
      <c r="F18" s="40"/>
      <c r="G18" s="194"/>
      <c r="H18" s="188"/>
      <c r="I18" s="189"/>
      <c r="K18" s="61">
        <f ca="1">IFERROR(OFFSET(INDIRECT($H$3 &amp; "!A17"), 12, 0), "")</f>
        <v>0</v>
      </c>
      <c r="L18" s="44" t="str">
        <f t="shared" ca="1" si="0"/>
        <v/>
      </c>
      <c r="M18" s="83" t="str">
        <f t="shared" ca="1" si="1"/>
        <v/>
      </c>
      <c r="N18" s="92" t="str">
        <f t="shared" ca="1" si="4"/>
        <v/>
      </c>
      <c r="O18" s="52" t="str">
        <f>INDEX($A$2:$D$200, MATCH(LARGE($D$2:$D$200, 13), $D$2:$D$200, 0), 2)</f>
        <v>이더리움클래식</v>
      </c>
      <c r="P18" s="44">
        <f t="shared" si="2"/>
        <v>53980</v>
      </c>
      <c r="Q18" s="83">
        <f t="shared" si="3"/>
        <v>1.0861423199999999E-2</v>
      </c>
      <c r="R18" s="92">
        <f t="shared" si="5"/>
        <v>13287765.012609459</v>
      </c>
    </row>
    <row r="19" spans="1:18" ht="17.25" thickBot="1">
      <c r="A19" s="45" t="s">
        <v>111</v>
      </c>
      <c r="B19" s="11" t="s">
        <v>112</v>
      </c>
      <c r="C19" s="101">
        <v>279</v>
      </c>
      <c r="D19" s="98">
        <v>0</v>
      </c>
      <c r="E19" s="99">
        <v>57982779.048899792</v>
      </c>
      <c r="F19" s="40"/>
      <c r="K19" s="61">
        <f ca="1">IFERROR(OFFSET(INDIRECT($H$3 &amp; "!A17"), 13, 0), "")</f>
        <v>0</v>
      </c>
      <c r="L19" s="44" t="str">
        <f t="shared" ca="1" si="0"/>
        <v/>
      </c>
      <c r="M19" s="83" t="str">
        <f t="shared" ca="1" si="1"/>
        <v/>
      </c>
      <c r="N19" s="92" t="str">
        <f t="shared" ca="1" si="4"/>
        <v/>
      </c>
      <c r="O19" s="52" t="str">
        <f>INDEX($A$2:$D$200, MATCH(LARGE($D$2:$D$200, 14), $D$2:$D$200, 0), 2)</f>
        <v>네오</v>
      </c>
      <c r="P19" s="44">
        <f t="shared" si="2"/>
        <v>122850</v>
      </c>
      <c r="Q19" s="83">
        <f t="shared" si="3"/>
        <v>9.8643649999999999E-3</v>
      </c>
      <c r="R19" s="92">
        <f t="shared" si="5"/>
        <v>1376230.66875921</v>
      </c>
    </row>
    <row r="20" spans="1:18" ht="17.25" thickBot="1">
      <c r="A20" s="45" t="s">
        <v>229</v>
      </c>
      <c r="B20" s="11" t="s">
        <v>230</v>
      </c>
      <c r="C20" s="101">
        <v>190</v>
      </c>
      <c r="D20" s="98">
        <v>0</v>
      </c>
      <c r="E20" s="99">
        <v>118401089.29655954</v>
      </c>
      <c r="F20" s="40"/>
      <c r="G20" s="149" t="s">
        <v>286</v>
      </c>
      <c r="H20" s="150"/>
      <c r="I20" s="151"/>
      <c r="K20" s="63">
        <f ca="1">IFERROR(OFFSET(INDIRECT($H$3 &amp; "!A17"), 14, 0), "")</f>
        <v>0</v>
      </c>
      <c r="L20" s="49" t="str">
        <f t="shared" ca="1" si="0"/>
        <v/>
      </c>
      <c r="M20" s="84" t="str">
        <f t="shared" ca="1" si="1"/>
        <v/>
      </c>
      <c r="N20" s="96" t="str">
        <f t="shared" ca="1" si="4"/>
        <v/>
      </c>
      <c r="O20" s="52" t="str">
        <f>INDEX($A$2:$D$200, MATCH(LARGE($D$2:$D$200, 15), $D$2:$D$200, 0), 2)</f>
        <v>에브리피디아</v>
      </c>
      <c r="P20" s="44">
        <f t="shared" si="2"/>
        <v>27.2</v>
      </c>
      <c r="Q20" s="83">
        <f t="shared" si="3"/>
        <v>7.4074073999999997E-3</v>
      </c>
      <c r="R20" s="96">
        <f t="shared" si="5"/>
        <v>589220610.58466542</v>
      </c>
    </row>
    <row r="21" spans="1:18">
      <c r="A21" s="45" t="s">
        <v>253</v>
      </c>
      <c r="B21" s="11" t="s">
        <v>254</v>
      </c>
      <c r="C21" s="101">
        <v>93.7</v>
      </c>
      <c r="D21" s="98">
        <v>-2.1299255000000001E-3</v>
      </c>
      <c r="E21" s="99">
        <v>282360019.50610638</v>
      </c>
      <c r="F21" s="40"/>
      <c r="G21" s="174" t="s">
        <v>36</v>
      </c>
      <c r="H21" s="175"/>
      <c r="I21" s="176"/>
      <c r="K21" s="61">
        <f ca="1">IFERROR(OFFSET(INDIRECT($H$3 &amp; "!A17"), 15, 0), "")</f>
        <v>0</v>
      </c>
      <c r="L21" s="44" t="str">
        <f t="shared" ca="1" si="0"/>
        <v/>
      </c>
      <c r="M21" s="83" t="str">
        <f t="shared" ca="1" si="1"/>
        <v/>
      </c>
      <c r="N21" s="105" t="str">
        <f t="shared" ca="1" si="4"/>
        <v/>
      </c>
      <c r="O21" s="54" t="str">
        <f>INDEX($A$2:$D$200, MATCH(LARGE($D$2:$D$200, 16), $D$2:$D$200, 0), 2)</f>
        <v>마로</v>
      </c>
      <c r="P21" s="50">
        <f t="shared" si="2"/>
        <v>534</v>
      </c>
      <c r="Q21" s="86">
        <f t="shared" si="3"/>
        <v>1.8761725999999999E-3</v>
      </c>
      <c r="R21" s="105">
        <f t="shared" si="5"/>
        <v>85918566.099021286</v>
      </c>
    </row>
    <row r="22" spans="1:18" ht="17.25" thickBot="1">
      <c r="A22" s="45" t="s">
        <v>95</v>
      </c>
      <c r="B22" s="11" t="s">
        <v>96</v>
      </c>
      <c r="C22" s="101">
        <v>3490000</v>
      </c>
      <c r="D22" s="98">
        <v>-4.8474479999999999E-3</v>
      </c>
      <c r="E22" s="99">
        <v>62456.563035799998</v>
      </c>
      <c r="F22" s="40"/>
      <c r="G22" s="168"/>
      <c r="H22" s="169"/>
      <c r="I22" s="170"/>
      <c r="K22" s="61">
        <f ca="1">IFERROR(OFFSET(INDIRECT($H$3 &amp; "!A17"), 16, 0), "")</f>
        <v>0</v>
      </c>
      <c r="L22" s="44" t="str">
        <f t="shared" ca="1" si="0"/>
        <v/>
      </c>
      <c r="M22" s="83" t="str">
        <f t="shared" ca="1" si="1"/>
        <v/>
      </c>
      <c r="N22" s="92" t="str">
        <f t="shared" ca="1" si="4"/>
        <v/>
      </c>
      <c r="O22" s="52" t="str">
        <f>INDEX($A$2:$D$200, MATCH(LARGE($D$2:$D$200, 17), $D$2:$D$200, 0), 2)</f>
        <v>무비블록</v>
      </c>
      <c r="P22" s="44">
        <f t="shared" si="2"/>
        <v>20.100000000000001</v>
      </c>
      <c r="Q22" s="83">
        <f t="shared" si="3"/>
        <v>0</v>
      </c>
      <c r="R22" s="92">
        <f t="shared" si="5"/>
        <v>1500653379.3103938</v>
      </c>
    </row>
    <row r="23" spans="1:18" ht="17.25" thickBot="1">
      <c r="A23" s="45" t="s">
        <v>103</v>
      </c>
      <c r="B23" s="11" t="s">
        <v>104</v>
      </c>
      <c r="C23" s="101">
        <v>2140</v>
      </c>
      <c r="D23" s="98">
        <v>-6.9605568E-3</v>
      </c>
      <c r="E23" s="99">
        <v>7310007.7069685301</v>
      </c>
      <c r="F23" s="40"/>
      <c r="G23" s="9" t="s">
        <v>38</v>
      </c>
      <c r="H23" s="150" t="s">
        <v>37</v>
      </c>
      <c r="I23" s="151"/>
      <c r="K23" s="61">
        <f ca="1">IFERROR(OFFSET(INDIRECT($H$3 &amp; "!A17"), 17, 0), "")</f>
        <v>0</v>
      </c>
      <c r="L23" s="44" t="str">
        <f t="shared" ca="1" si="0"/>
        <v/>
      </c>
      <c r="M23" s="83" t="str">
        <f t="shared" ca="1" si="1"/>
        <v/>
      </c>
      <c r="N23" s="92" t="str">
        <f t="shared" ca="1" si="4"/>
        <v/>
      </c>
      <c r="O23" s="52" t="str">
        <f>INDEX($A$2:$D$200, MATCH(LARGE($D$2:$D$200, 18), $D$2:$D$200, 0), 2)</f>
        <v>무비블록</v>
      </c>
      <c r="P23" s="44">
        <f t="shared" si="2"/>
        <v>20.100000000000001</v>
      </c>
      <c r="Q23" s="83">
        <f t="shared" si="3"/>
        <v>0</v>
      </c>
      <c r="R23" s="92">
        <f t="shared" si="5"/>
        <v>1500653379.3103938</v>
      </c>
    </row>
    <row r="24" spans="1:18">
      <c r="A24" s="45" t="s">
        <v>79</v>
      </c>
      <c r="B24" s="11" t="s">
        <v>80</v>
      </c>
      <c r="C24" s="101">
        <v>1505</v>
      </c>
      <c r="D24" s="98">
        <v>-9.8684211000000001E-3</v>
      </c>
      <c r="E24" s="99">
        <v>3242741.4447618099</v>
      </c>
      <c r="F24" s="40"/>
      <c r="G24" s="193">
        <f>_xlfn.IFNA(VLOOKUP(G21, $B$2:$D$200, 3, FALSE), "-")</f>
        <v>-1.22521687E-2</v>
      </c>
      <c r="H24" s="186">
        <f>_xlfn.IFNA(VLOOKUP(G21, $B$2:$D$200, 2, FALSE), "-")</f>
        <v>68203000</v>
      </c>
      <c r="I24" s="187"/>
      <c r="K24" s="61">
        <f ca="1">IFERROR(OFFSET(INDIRECT($H$3 &amp; "!A17"), 18, 0), "")</f>
        <v>0</v>
      </c>
      <c r="L24" s="44" t="str">
        <f t="shared" ca="1" si="0"/>
        <v/>
      </c>
      <c r="M24" s="83" t="str">
        <f t="shared" ca="1" si="1"/>
        <v/>
      </c>
      <c r="N24" s="92" t="str">
        <f t="shared" ca="1" si="4"/>
        <v/>
      </c>
      <c r="O24" s="52" t="str">
        <f>INDEX($A$2:$D$200, MATCH(LARGE($D$2:$D$200, 19), $D$2:$D$200, 0), 2)</f>
        <v>무비블록</v>
      </c>
      <c r="P24" s="44">
        <f t="shared" si="2"/>
        <v>20.100000000000001</v>
      </c>
      <c r="Q24" s="83">
        <f t="shared" si="3"/>
        <v>0</v>
      </c>
      <c r="R24" s="92">
        <f t="shared" si="5"/>
        <v>1500653379.3103938</v>
      </c>
    </row>
    <row r="25" spans="1:18" ht="17.25" thickBot="1">
      <c r="A25" s="45" t="s">
        <v>68</v>
      </c>
      <c r="B25" s="11" t="s">
        <v>69</v>
      </c>
      <c r="C25" s="101">
        <v>12470</v>
      </c>
      <c r="D25" s="98">
        <v>-1.0317460299999999E-2</v>
      </c>
      <c r="E25" s="99">
        <v>1875612.4348971499</v>
      </c>
      <c r="F25" s="40"/>
      <c r="G25" s="194"/>
      <c r="H25" s="188"/>
      <c r="I25" s="189"/>
      <c r="K25" s="62">
        <f ca="1">IFERROR(OFFSET(INDIRECT($H$3 &amp; "!A17"), 19, 0), "")</f>
        <v>0</v>
      </c>
      <c r="L25" s="42" t="str">
        <f t="shared" ref="L25" ca="1" si="6">_xlfn.IFNA(VLOOKUP(K25, $B$2:$D$200, 2, FALSE), "")</f>
        <v/>
      </c>
      <c r="M25" s="85" t="str">
        <f t="shared" ca="1" si="1"/>
        <v/>
      </c>
      <c r="N25" s="93" t="str">
        <f t="shared" ca="1" si="4"/>
        <v/>
      </c>
      <c r="O25" s="53" t="str">
        <f>INDEX($A$2:$D$200, MATCH(LARGE($D$2:$D$200, 20), $D$2:$D$200, 0), 2)</f>
        <v>퀴즈톡</v>
      </c>
      <c r="P25" s="42">
        <f t="shared" si="2"/>
        <v>93.7</v>
      </c>
      <c r="Q25" s="85">
        <f t="shared" si="3"/>
        <v>-2.1299255000000001E-3</v>
      </c>
      <c r="R25" s="93">
        <f t="shared" si="5"/>
        <v>282360019.50610638</v>
      </c>
    </row>
    <row r="26" spans="1:18">
      <c r="A26" s="45" t="s">
        <v>171</v>
      </c>
      <c r="B26" s="11" t="s">
        <v>172</v>
      </c>
      <c r="C26" s="101">
        <v>28.1</v>
      </c>
      <c r="D26" s="98">
        <v>-1.0563380299999999E-2</v>
      </c>
      <c r="E26" s="99">
        <v>238051539.22893155</v>
      </c>
      <c r="F26" s="40"/>
    </row>
    <row r="27" spans="1:18" ht="17.25" thickBot="1">
      <c r="A27" s="45" t="s">
        <v>48</v>
      </c>
      <c r="B27" s="11" t="s">
        <v>49</v>
      </c>
      <c r="C27" s="101">
        <v>68203000</v>
      </c>
      <c r="D27" s="98">
        <v>-1.22521687E-2</v>
      </c>
      <c r="E27" s="99">
        <v>4055.0807157700001</v>
      </c>
      <c r="F27" s="40"/>
    </row>
    <row r="28" spans="1:18" ht="17.25" thickBot="1">
      <c r="A28" s="45" t="s">
        <v>119</v>
      </c>
      <c r="B28" s="11" t="s">
        <v>120</v>
      </c>
      <c r="C28" s="101">
        <v>228</v>
      </c>
      <c r="D28" s="98">
        <v>-1.2987013E-2</v>
      </c>
      <c r="E28" s="99">
        <v>42694907.647046842</v>
      </c>
      <c r="F28" s="40"/>
      <c r="G28" s="149" t="s">
        <v>46</v>
      </c>
      <c r="H28" s="150"/>
      <c r="I28" s="150"/>
      <c r="J28" s="151"/>
      <c r="K28" s="149" t="s">
        <v>44</v>
      </c>
      <c r="L28" s="150"/>
      <c r="M28" s="150"/>
      <c r="N28" s="151"/>
      <c r="O28" s="149" t="s">
        <v>45</v>
      </c>
      <c r="P28" s="150"/>
      <c r="Q28" s="150"/>
      <c r="R28" s="151"/>
    </row>
    <row r="29" spans="1:18" ht="17.25" thickBot="1">
      <c r="A29" s="45" t="s">
        <v>129</v>
      </c>
      <c r="B29" s="11" t="s">
        <v>130</v>
      </c>
      <c r="C29" s="101">
        <v>325100</v>
      </c>
      <c r="D29" s="98">
        <v>-1.3353566000000001E-2</v>
      </c>
      <c r="E29" s="99">
        <v>68075.908245740007</v>
      </c>
      <c r="F29" s="40"/>
      <c r="G29" s="183" t="s">
        <v>55</v>
      </c>
      <c r="H29" s="195">
        <f ca="1">NOW()</f>
        <v>44318.651957638889</v>
      </c>
      <c r="I29" s="196"/>
      <c r="J29" s="197"/>
      <c r="K29" s="185" t="s">
        <v>55</v>
      </c>
      <c r="L29" s="195">
        <f ca="1">NOW()</f>
        <v>44318.651957638889</v>
      </c>
      <c r="M29" s="196"/>
      <c r="N29" s="197"/>
      <c r="O29" s="185" t="s">
        <v>55</v>
      </c>
      <c r="P29" s="195">
        <f ca="1">NOW()</f>
        <v>44318.651957638889</v>
      </c>
      <c r="Q29" s="196"/>
      <c r="R29" s="197"/>
    </row>
    <row r="30" spans="1:18" ht="17.25" thickBot="1">
      <c r="A30" s="45" t="s">
        <v>137</v>
      </c>
      <c r="B30" s="11" t="s">
        <v>138</v>
      </c>
      <c r="C30" s="101">
        <v>43470</v>
      </c>
      <c r="D30" s="98">
        <v>-1.33908307E-2</v>
      </c>
      <c r="E30" s="99">
        <v>529476.13361600996</v>
      </c>
      <c r="F30" s="40"/>
      <c r="G30" s="184"/>
      <c r="H30" s="41" t="s">
        <v>58</v>
      </c>
      <c r="I30" s="79" t="s">
        <v>59</v>
      </c>
      <c r="J30" s="75" t="s">
        <v>294</v>
      </c>
      <c r="K30" s="184"/>
      <c r="L30" s="41" t="s">
        <v>58</v>
      </c>
      <c r="M30" s="79" t="s">
        <v>59</v>
      </c>
      <c r="N30" s="75" t="s">
        <v>294</v>
      </c>
      <c r="O30" s="184"/>
      <c r="P30" s="41" t="s">
        <v>58</v>
      </c>
      <c r="Q30" s="79" t="s">
        <v>59</v>
      </c>
      <c r="R30" s="75" t="s">
        <v>294</v>
      </c>
    </row>
    <row r="31" spans="1:18">
      <c r="A31" s="45" t="s">
        <v>83</v>
      </c>
      <c r="B31" s="11" t="s">
        <v>84</v>
      </c>
      <c r="C31" s="101">
        <v>1590</v>
      </c>
      <c r="D31" s="98">
        <v>-1.5479876199999999E-2</v>
      </c>
      <c r="E31" s="99">
        <v>18874986.52487557</v>
      </c>
      <c r="F31" s="40"/>
      <c r="G31" s="60" t="str">
        <f ca="1">IFERROR(OFFSET(INDIRECT($H$3 &amp; "!A98"), 0, 0), "")</f>
        <v>이더리움클래식</v>
      </c>
      <c r="H31" s="43">
        <f t="shared" ref="H31:H50" ca="1" si="7">_xlfn.IFNA(VLOOKUP(G31, $B$2:$D$200, 2, FALSE), "")</f>
        <v>53980</v>
      </c>
      <c r="I31" s="82">
        <f t="shared" ref="I31:I50" ca="1" si="8">_xlfn.IFNA(VLOOKUP(G31, $B$2:$D$200, 3, FALSE), "")</f>
        <v>1.0861423199999999E-2</v>
      </c>
      <c r="J31" s="91">
        <f ca="1">_xlfn.IFNA(VLOOKUP(G31, $B$2:$E$200, 4, FALSE), "")</f>
        <v>13287765.012609459</v>
      </c>
      <c r="K31" s="60" t="str">
        <f ca="1">IFERROR(OFFSET(INDIRECT($H$3 &amp; "!A44"), 0, 0), "")</f>
        <v>쿼크체인</v>
      </c>
      <c r="L31" s="43">
        <f t="shared" ref="L31:L50" ca="1" si="9">_xlfn.IFNA(VLOOKUP(K31, $B$2:$D$200, 2, FALSE), "")</f>
        <v>36.5</v>
      </c>
      <c r="M31" s="82">
        <f t="shared" ref="M31:M50" ca="1" si="10">_xlfn.IFNA(VLOOKUP(K31, $B$2:$D$200, 3, FALSE), "")</f>
        <v>-3.1830238699999999E-2</v>
      </c>
      <c r="N31" s="91">
        <f ca="1">_xlfn.IFNA(VLOOKUP(K31, $B$2:$E$200, 4, FALSE), "")</f>
        <v>140169839.95943981</v>
      </c>
      <c r="O31" s="60" t="str">
        <f ca="1">IFERROR(OFFSET(INDIRECT($H$3 &amp; "!A71"), 0, 0), "")</f>
        <v>엘비알와이크레딧</v>
      </c>
      <c r="P31" s="43">
        <f t="shared" ref="P31:P50" ca="1" si="11">_xlfn.IFNA(VLOOKUP(O31, $B$2:$D$200, 2, FALSE), "")</f>
        <v>240</v>
      </c>
      <c r="Q31" s="82">
        <f t="shared" ref="Q31:Q50" ca="1" si="12">_xlfn.IFNA(VLOOKUP(O31, $B$2:$D$200, 3, FALSE), "")</f>
        <v>-4.3824701200000003E-2</v>
      </c>
      <c r="R31" s="91">
        <f ca="1">_xlfn.IFNA(VLOOKUP(O31, $B$2:$E$200, 4, FALSE), "")</f>
        <v>40423505.036088139</v>
      </c>
    </row>
    <row r="32" spans="1:18">
      <c r="A32" s="45" t="s">
        <v>223</v>
      </c>
      <c r="B32" s="11" t="s">
        <v>224</v>
      </c>
      <c r="C32" s="101">
        <v>2215</v>
      </c>
      <c r="D32" s="98">
        <v>-1.55555556E-2</v>
      </c>
      <c r="E32" s="99">
        <v>11384463.054951761</v>
      </c>
      <c r="F32" s="40"/>
      <c r="G32" s="61" t="str">
        <f ca="1">IFERROR(OFFSET(INDIRECT($H$3 &amp; "!A98"), 1, 0), "")</f>
        <v>엘비알와이크레딧</v>
      </c>
      <c r="H32" s="44">
        <f t="shared" ca="1" si="7"/>
        <v>240</v>
      </c>
      <c r="I32" s="83">
        <f t="shared" ca="1" si="8"/>
        <v>-4.3824701200000003E-2</v>
      </c>
      <c r="J32" s="92">
        <f t="shared" ref="J32:J50" ca="1" si="13">_xlfn.IFNA(VLOOKUP(G32, $B$2:$E$200, 4, FALSE), "")</f>
        <v>40423505.036088139</v>
      </c>
      <c r="K32" s="61" t="str">
        <f ca="1">IFERROR(OFFSET(INDIRECT($H$3 &amp; "!A44"), 1, 0), "")</f>
        <v>비트토렌트</v>
      </c>
      <c r="L32" s="44">
        <f t="shared" ca="1" si="9"/>
        <v>8.4499999999999993</v>
      </c>
      <c r="M32" s="83">
        <f t="shared" ca="1" si="10"/>
        <v>-2.1990740700000001E-2</v>
      </c>
      <c r="N32" s="92">
        <f t="shared" ref="N32:N50" ca="1" si="14">_xlfn.IFNA(VLOOKUP(K32, $B$2:$E$200, 4, FALSE), "")</f>
        <v>28190660482.553646</v>
      </c>
      <c r="O32" s="61" t="str">
        <f ca="1">IFERROR(OFFSET(INDIRECT($H$3 &amp; "!A71"), 1, 0), "")</f>
        <v>폴리매쓰</v>
      </c>
      <c r="P32" s="44">
        <f t="shared" ca="1" si="11"/>
        <v>476</v>
      </c>
      <c r="Q32" s="83">
        <f t="shared" ca="1" si="12"/>
        <v>-2.2587269E-2</v>
      </c>
      <c r="R32" s="92">
        <f t="shared" ref="R32:R50" ca="1" si="15">_xlfn.IFNA(VLOOKUP(O32, $B$2:$E$200, 4, FALSE), "")</f>
        <v>10869299.02760227</v>
      </c>
    </row>
    <row r="33" spans="1:18">
      <c r="A33" s="45" t="s">
        <v>213</v>
      </c>
      <c r="B33" s="11" t="s">
        <v>214</v>
      </c>
      <c r="C33" s="101">
        <v>24.1</v>
      </c>
      <c r="D33" s="98">
        <v>-1.63265306E-2</v>
      </c>
      <c r="E33" s="99">
        <v>448248437.23789501</v>
      </c>
      <c r="F33" s="40"/>
      <c r="G33" s="61" t="str">
        <f ca="1">IFERROR(OFFSET(INDIRECT($H$3 &amp; "!A98"), 2, 0), "")</f>
        <v>폴리매쓰</v>
      </c>
      <c r="H33" s="44">
        <f t="shared" ca="1" si="7"/>
        <v>476</v>
      </c>
      <c r="I33" s="83">
        <f t="shared" ca="1" si="8"/>
        <v>-2.2587269E-2</v>
      </c>
      <c r="J33" s="92">
        <f t="shared" ca="1" si="13"/>
        <v>10869299.02760227</v>
      </c>
      <c r="K33" s="61" t="str">
        <f ca="1">IFERROR(OFFSET(INDIRECT($H$3 &amp; "!A44"), 2, 0), "")</f>
        <v>무비블록</v>
      </c>
      <c r="L33" s="44">
        <f t="shared" ca="1" si="9"/>
        <v>20.100000000000001</v>
      </c>
      <c r="M33" s="83">
        <f t="shared" ca="1" si="10"/>
        <v>0</v>
      </c>
      <c r="N33" s="92">
        <f t="shared" ca="1" si="14"/>
        <v>1500653379.3103938</v>
      </c>
      <c r="O33" s="61" t="str">
        <f ca="1">IFERROR(OFFSET(INDIRECT($H$3 &amp; "!A71"), 2, 0), "")</f>
        <v>센티넬프로토콜</v>
      </c>
      <c r="P33" s="44">
        <f t="shared" ca="1" si="11"/>
        <v>194</v>
      </c>
      <c r="Q33" s="83">
        <f t="shared" ca="1" si="12"/>
        <v>-3.9603960399999999E-2</v>
      </c>
      <c r="R33" s="92">
        <f t="shared" ca="1" si="15"/>
        <v>44361191.889687523</v>
      </c>
    </row>
    <row r="34" spans="1:18">
      <c r="A34" s="45" t="s">
        <v>241</v>
      </c>
      <c r="B34" s="11" t="s">
        <v>242</v>
      </c>
      <c r="C34" s="101">
        <v>6445</v>
      </c>
      <c r="D34" s="98">
        <v>-1.7530487800000001E-2</v>
      </c>
      <c r="E34" s="99">
        <v>1024710.8771756</v>
      </c>
      <c r="F34" s="40"/>
      <c r="G34" s="61" t="str">
        <f ca="1">IFERROR(OFFSET(INDIRECT($H$3 &amp; "!A98"), 3, 0), "")</f>
        <v>센티넬프로토콜</v>
      </c>
      <c r="H34" s="44">
        <f t="shared" ca="1" si="7"/>
        <v>194</v>
      </c>
      <c r="I34" s="83">
        <f t="shared" ca="1" si="8"/>
        <v>-3.9603960399999999E-2</v>
      </c>
      <c r="J34" s="92">
        <f t="shared" ca="1" si="13"/>
        <v>44361191.889687523</v>
      </c>
      <c r="K34" s="61" t="str">
        <f ca="1">IFERROR(OFFSET(INDIRECT($H$3 &amp; "!A44"), 3, 0), "")</f>
        <v>메인프레임</v>
      </c>
      <c r="L34" s="44">
        <f t="shared" ca="1" si="9"/>
        <v>20.100000000000001</v>
      </c>
      <c r="M34" s="83">
        <f t="shared" ca="1" si="10"/>
        <v>-1.9512195100000001E-2</v>
      </c>
      <c r="N34" s="92">
        <f t="shared" ca="1" si="14"/>
        <v>208267476.9766573</v>
      </c>
      <c r="O34" s="61" t="str">
        <f ca="1">IFERROR(OFFSET(INDIRECT($H$3 &amp; "!A71"), 3, 0), "")</f>
        <v>도지코인</v>
      </c>
      <c r="P34" s="44">
        <f t="shared" ca="1" si="11"/>
        <v>456</v>
      </c>
      <c r="Q34" s="83">
        <f t="shared" ca="1" si="12"/>
        <v>-1.9354838700000002E-2</v>
      </c>
      <c r="R34" s="92">
        <f t="shared" ca="1" si="15"/>
        <v>1853105637.2545731</v>
      </c>
    </row>
    <row r="35" spans="1:18">
      <c r="A35" s="45" t="s">
        <v>109</v>
      </c>
      <c r="B35" s="11" t="s">
        <v>110</v>
      </c>
      <c r="C35" s="101">
        <v>3055</v>
      </c>
      <c r="D35" s="98">
        <v>-1.76848875E-2</v>
      </c>
      <c r="E35" s="99">
        <v>1017265.95760259</v>
      </c>
      <c r="F35" s="40"/>
      <c r="G35" s="63" t="str">
        <f ca="1">IFERROR(OFFSET(INDIRECT($H$3 &amp; "!A98"), 4, 0), "")</f>
        <v>도지코인</v>
      </c>
      <c r="H35" s="49">
        <f t="shared" ca="1" si="7"/>
        <v>456</v>
      </c>
      <c r="I35" s="84">
        <f t="shared" ca="1" si="8"/>
        <v>-1.9354838700000002E-2</v>
      </c>
      <c r="J35" s="96">
        <f t="shared" ca="1" si="13"/>
        <v>1853105637.2545731</v>
      </c>
      <c r="K35" s="63" t="str">
        <f ca="1">IFERROR(OFFSET(INDIRECT($H$3 &amp; "!A44"), 4, 0), "")</f>
        <v>아하토큰</v>
      </c>
      <c r="L35" s="49">
        <f t="shared" ca="1" si="9"/>
        <v>20</v>
      </c>
      <c r="M35" s="84">
        <f t="shared" ca="1" si="10"/>
        <v>-1.9607843100000001E-2</v>
      </c>
      <c r="N35" s="96">
        <f t="shared" ca="1" si="14"/>
        <v>266825655.22727004</v>
      </c>
      <c r="O35" s="63" t="str">
        <f ca="1">IFERROR(OFFSET(INDIRECT($H$3 &amp; "!A71"), 4, 0), "")</f>
        <v>헤데라해시그래프</v>
      </c>
      <c r="P35" s="49">
        <f t="shared" ca="1" si="11"/>
        <v>369</v>
      </c>
      <c r="Q35" s="84">
        <f t="shared" ca="1" si="12"/>
        <v>-5.1413881699999997E-2</v>
      </c>
      <c r="R35" s="96">
        <f t="shared" ca="1" si="15"/>
        <v>19380065.143520851</v>
      </c>
    </row>
    <row r="36" spans="1:18">
      <c r="A36" s="45" t="s">
        <v>123</v>
      </c>
      <c r="B36" s="11" t="s">
        <v>124</v>
      </c>
      <c r="C36" s="101">
        <v>7635</v>
      </c>
      <c r="D36" s="98">
        <v>-1.8006430899999998E-2</v>
      </c>
      <c r="E36" s="99">
        <v>860524.34564386995</v>
      </c>
      <c r="F36" s="40"/>
      <c r="G36" s="61" t="str">
        <f ca="1">IFERROR(OFFSET(INDIRECT($H$3 &amp; "!A98"), 5, 0), "")</f>
        <v>코스모스</v>
      </c>
      <c r="H36" s="44">
        <f t="shared" ca="1" si="7"/>
        <v>27500</v>
      </c>
      <c r="I36" s="83">
        <f t="shared" ca="1" si="8"/>
        <v>-2.96400847E-2</v>
      </c>
      <c r="J36" s="105">
        <f t="shared" ca="1" si="13"/>
        <v>137926.85809785</v>
      </c>
      <c r="K36" s="61" t="str">
        <f ca="1">IFERROR(OFFSET(INDIRECT($H$3 &amp; "!A44"), 5, 0), "")</f>
        <v>엠블</v>
      </c>
      <c r="L36" s="44">
        <f t="shared" ca="1" si="9"/>
        <v>31.5</v>
      </c>
      <c r="M36" s="83">
        <f t="shared" ca="1" si="10"/>
        <v>-1.8691588799999999E-2</v>
      </c>
      <c r="N36" s="105">
        <f t="shared" ca="1" si="14"/>
        <v>458188276.86466539</v>
      </c>
      <c r="O36" s="61" t="str">
        <f ca="1">IFERROR(OFFSET(INDIRECT($H$3 &amp; "!A71"), 5, 0), "")</f>
        <v>플레이댑</v>
      </c>
      <c r="P36" s="44">
        <f t="shared" ca="1" si="11"/>
        <v>539</v>
      </c>
      <c r="Q36" s="83">
        <f t="shared" ca="1" si="12"/>
        <v>-3.05755396E-2</v>
      </c>
      <c r="R36" s="105">
        <f t="shared" ca="1" si="15"/>
        <v>10478311.41856325</v>
      </c>
    </row>
    <row r="37" spans="1:18">
      <c r="A37" s="45" t="s">
        <v>89</v>
      </c>
      <c r="B37" s="11" t="s">
        <v>90</v>
      </c>
      <c r="C37" s="101">
        <v>387800</v>
      </c>
      <c r="D37" s="98">
        <v>-1.8476335100000001E-2</v>
      </c>
      <c r="E37" s="99">
        <v>28921.58768198</v>
      </c>
      <c r="F37" s="40"/>
      <c r="G37" s="61" t="str">
        <f ca="1">IFERROR(OFFSET(INDIRECT($H$3 &amp; "!A98"), 6, 0), "")</f>
        <v>비트코인캐시에이비씨</v>
      </c>
      <c r="H37" s="44">
        <f t="shared" ca="1" si="7"/>
        <v>49320</v>
      </c>
      <c r="I37" s="83">
        <f t="shared" ca="1" si="8"/>
        <v>-3.3699059599999998E-2</v>
      </c>
      <c r="J37" s="92">
        <f t="shared" ca="1" si="13"/>
        <v>448086.43341042998</v>
      </c>
      <c r="K37" s="61" t="str">
        <f ca="1">IFERROR(OFFSET(INDIRECT($H$3 &amp; "!A44"), 6, 0), "")</f>
        <v>에스티피</v>
      </c>
      <c r="L37" s="44">
        <f t="shared" ca="1" si="9"/>
        <v>93.3</v>
      </c>
      <c r="M37" s="83">
        <f t="shared" ca="1" si="10"/>
        <v>-3.21576763E-2</v>
      </c>
      <c r="N37" s="92">
        <f t="shared" ca="1" si="14"/>
        <v>91245036.217700973</v>
      </c>
      <c r="O37" s="61" t="str">
        <f ca="1">IFERROR(OFFSET(INDIRECT($H$3 &amp; "!A71"), 6, 0), "")</f>
        <v>메디블록</v>
      </c>
      <c r="P37" s="44">
        <f t="shared" ca="1" si="11"/>
        <v>177</v>
      </c>
      <c r="Q37" s="83">
        <f t="shared" ca="1" si="12"/>
        <v>8.5889570600000006E-2</v>
      </c>
      <c r="R37" s="92">
        <f t="shared" ca="1" si="15"/>
        <v>2897712431.2304063</v>
      </c>
    </row>
    <row r="38" spans="1:18">
      <c r="A38" s="45" t="s">
        <v>197</v>
      </c>
      <c r="B38" s="11" t="s">
        <v>198</v>
      </c>
      <c r="C38" s="101">
        <v>31.5</v>
      </c>
      <c r="D38" s="98">
        <v>-1.8691588799999999E-2</v>
      </c>
      <c r="E38" s="99">
        <v>458188276.86466539</v>
      </c>
      <c r="F38" s="40"/>
      <c r="G38" s="61" t="str">
        <f ca="1">IFERROR(OFFSET(INDIRECT($H$3 &amp; "!A98"), 7, 0), "")</f>
        <v>헤데라해시그래프</v>
      </c>
      <c r="H38" s="44">
        <f t="shared" ca="1" si="7"/>
        <v>369</v>
      </c>
      <c r="I38" s="83">
        <f t="shared" ca="1" si="8"/>
        <v>-5.1413881699999997E-2</v>
      </c>
      <c r="J38" s="92">
        <f t="shared" ca="1" si="13"/>
        <v>19380065.143520851</v>
      </c>
      <c r="K38" s="61" t="str">
        <f ca="1">IFERROR(OFFSET(INDIRECT($H$3 &amp; "!A44"), 7, 0), "")</f>
        <v>캐리프로토콜</v>
      </c>
      <c r="L38" s="44">
        <f t="shared" ca="1" si="9"/>
        <v>21.9</v>
      </c>
      <c r="M38" s="83">
        <f t="shared" ca="1" si="10"/>
        <v>-2.6666666700000001E-2</v>
      </c>
      <c r="N38" s="92">
        <f t="shared" ca="1" si="14"/>
        <v>584845194.01068616</v>
      </c>
      <c r="O38" s="61" t="str">
        <f ca="1">IFERROR(OFFSET(INDIRECT($H$3 &amp; "!A71"), 7, 0), "")</f>
        <v>질리카</v>
      </c>
      <c r="P38" s="44">
        <f t="shared" ca="1" si="11"/>
        <v>245</v>
      </c>
      <c r="Q38" s="83">
        <f t="shared" ca="1" si="12"/>
        <v>-2.3904382500000002E-2</v>
      </c>
      <c r="R38" s="92">
        <f t="shared" ca="1" si="15"/>
        <v>26070037.816241421</v>
      </c>
    </row>
    <row r="39" spans="1:18">
      <c r="A39" s="45" t="s">
        <v>273</v>
      </c>
      <c r="B39" s="11" t="s">
        <v>274</v>
      </c>
      <c r="C39" s="101">
        <v>9185</v>
      </c>
      <c r="D39" s="98">
        <v>-1.9220501899999999E-2</v>
      </c>
      <c r="E39" s="99">
        <v>816770.25877170998</v>
      </c>
      <c r="F39" s="40"/>
      <c r="G39" s="61" t="str">
        <f ca="1">IFERROR(OFFSET(INDIRECT($H$3 &amp; "!A98"), 8, 0), "")</f>
        <v>이더리움</v>
      </c>
      <c r="H39" s="44">
        <f t="shared" ca="1" si="7"/>
        <v>3490000</v>
      </c>
      <c r="I39" s="83">
        <f t="shared" ca="1" si="8"/>
        <v>-4.8474479999999999E-3</v>
      </c>
      <c r="J39" s="92">
        <f t="shared" ca="1" si="13"/>
        <v>62456.563035799998</v>
      </c>
      <c r="K39" s="61" t="str">
        <f ca="1">IFERROR(OFFSET(INDIRECT($H$3 &amp; "!A44"), 8, 0), "")</f>
        <v>엔도르</v>
      </c>
      <c r="L39" s="44">
        <f t="shared" ca="1" si="9"/>
        <v>76.099999999999994</v>
      </c>
      <c r="M39" s="83">
        <f t="shared" ca="1" si="10"/>
        <v>-2.80970626E-2</v>
      </c>
      <c r="N39" s="92">
        <f t="shared" ca="1" si="14"/>
        <v>110259576.18673055</v>
      </c>
      <c r="O39" s="61" t="str">
        <f ca="1">IFERROR(OFFSET(INDIRECT($H$3 &amp; "!A71"), 8, 0), "")</f>
        <v>픽셀</v>
      </c>
      <c r="P39" s="44">
        <f t="shared" ca="1" si="11"/>
        <v>129</v>
      </c>
      <c r="Q39" s="83">
        <f t="shared" ca="1" si="12"/>
        <v>2.3809523799999999E-2</v>
      </c>
      <c r="R39" s="92">
        <f t="shared" ca="1" si="15"/>
        <v>262631915.51925102</v>
      </c>
    </row>
    <row r="40" spans="1:18" ht="17.25" thickBot="1">
      <c r="A40" s="45" t="s">
        <v>295</v>
      </c>
      <c r="B40" s="11" t="s">
        <v>296</v>
      </c>
      <c r="C40" s="101">
        <v>456</v>
      </c>
      <c r="D40" s="98">
        <v>-1.9354838700000002E-2</v>
      </c>
      <c r="E40" s="99">
        <v>1853105637.2545731</v>
      </c>
      <c r="F40" s="40"/>
      <c r="G40" s="62" t="str">
        <f ca="1">IFERROR(OFFSET(INDIRECT($H$3 &amp; "!A98"), 9, 0), "")</f>
        <v>카바</v>
      </c>
      <c r="H40" s="42">
        <f t="shared" ca="1" si="7"/>
        <v>6710</v>
      </c>
      <c r="I40" s="85">
        <f t="shared" ca="1" si="8"/>
        <v>-2.7536231899999999E-2</v>
      </c>
      <c r="J40" s="93">
        <f t="shared" ca="1" si="13"/>
        <v>584692.41300943005</v>
      </c>
      <c r="K40" s="62" t="str">
        <f ca="1">IFERROR(OFFSET(INDIRECT($H$3 &amp; "!A44"), 9, 0), "")</f>
        <v>리퍼리움</v>
      </c>
      <c r="L40" s="42">
        <f t="shared" ca="1" si="9"/>
        <v>24.1</v>
      </c>
      <c r="M40" s="85">
        <f t="shared" ca="1" si="10"/>
        <v>-1.63265306E-2</v>
      </c>
      <c r="N40" s="93">
        <f t="shared" ca="1" si="14"/>
        <v>448248437.23789501</v>
      </c>
      <c r="O40" s="62" t="str">
        <f ca="1">IFERROR(OFFSET(INDIRECT($H$3 &amp; "!A71"), 9, 0), "")</f>
        <v>시빅</v>
      </c>
      <c r="P40" s="42">
        <f t="shared" ca="1" si="11"/>
        <v>621</v>
      </c>
      <c r="Q40" s="85">
        <f t="shared" ca="1" si="12"/>
        <v>-2.9687499999999999E-2</v>
      </c>
      <c r="R40" s="93">
        <f t="shared" ca="1" si="15"/>
        <v>5863874.0773193501</v>
      </c>
    </row>
    <row r="41" spans="1:18">
      <c r="A41" s="45" t="s">
        <v>219</v>
      </c>
      <c r="B41" s="11" t="s">
        <v>220</v>
      </c>
      <c r="C41" s="101">
        <v>20.100000000000001</v>
      </c>
      <c r="D41" s="98">
        <v>-1.9512195100000001E-2</v>
      </c>
      <c r="E41" s="99">
        <v>208267476.9766573</v>
      </c>
      <c r="F41" s="40"/>
      <c r="G41" s="64" t="str">
        <f ca="1">IFERROR(OFFSET(INDIRECT($H$3 &amp; "!A98"), 10, 0), "")</f>
        <v>플레이댑</v>
      </c>
      <c r="H41" s="43">
        <f t="shared" ca="1" si="7"/>
        <v>539</v>
      </c>
      <c r="I41" s="82">
        <f t="shared" ca="1" si="8"/>
        <v>-3.05755396E-2</v>
      </c>
      <c r="J41" s="91">
        <f t="shared" ca="1" si="13"/>
        <v>10478311.41856325</v>
      </c>
      <c r="K41" s="60" t="str">
        <f ca="1">IFERROR(OFFSET(INDIRECT($H$3 &amp; "!A44"), 10, 0), "")</f>
        <v>시아코인</v>
      </c>
      <c r="L41" s="43">
        <f t="shared" ca="1" si="9"/>
        <v>48.7</v>
      </c>
      <c r="M41" s="82">
        <f t="shared" ca="1" si="10"/>
        <v>2.0964360599999999E-2</v>
      </c>
      <c r="N41" s="91">
        <f t="shared" ca="1" si="14"/>
        <v>2166884840.1176963</v>
      </c>
      <c r="O41" s="60" t="str">
        <f ca="1">IFERROR(OFFSET(INDIRECT($H$3 &amp; "!A71"), 10, 0), "")</f>
        <v>쎄타퓨엘</v>
      </c>
      <c r="P41" s="43">
        <f t="shared" ca="1" si="11"/>
        <v>418</v>
      </c>
      <c r="Q41" s="82">
        <f t="shared" ca="1" si="12"/>
        <v>-2.1077283400000001E-2</v>
      </c>
      <c r="R41" s="91">
        <f t="shared" ca="1" si="15"/>
        <v>14621248.979505761</v>
      </c>
    </row>
    <row r="42" spans="1:18">
      <c r="A42" s="45" t="s">
        <v>177</v>
      </c>
      <c r="B42" s="11" t="s">
        <v>178</v>
      </c>
      <c r="C42" s="101">
        <v>49620</v>
      </c>
      <c r="D42" s="98">
        <v>-1.9561351500000001E-2</v>
      </c>
      <c r="E42" s="99">
        <v>108694.19121253</v>
      </c>
      <c r="F42" s="40"/>
      <c r="G42" s="61" t="str">
        <f ca="1">IFERROR(OFFSET(INDIRECT($H$3 &amp; "!A98"), 11, 0), "")</f>
        <v>메디블록</v>
      </c>
      <c r="H42" s="44">
        <f t="shared" ca="1" si="7"/>
        <v>177</v>
      </c>
      <c r="I42" s="83">
        <f t="shared" ca="1" si="8"/>
        <v>8.5889570600000006E-2</v>
      </c>
      <c r="J42" s="92">
        <f t="shared" ca="1" si="13"/>
        <v>2897712431.2304063</v>
      </c>
      <c r="K42" s="61" t="str">
        <f ca="1">IFERROR(OFFSET(INDIRECT($H$3 &amp; "!A44"), 11, 0), "")</f>
        <v>람다</v>
      </c>
      <c r="L42" s="44">
        <f t="shared" ca="1" si="9"/>
        <v>101</v>
      </c>
      <c r="M42" s="83">
        <f t="shared" ca="1" si="10"/>
        <v>2.2267206500000001E-2</v>
      </c>
      <c r="N42" s="92">
        <f t="shared" ca="1" si="14"/>
        <v>254218741.8910861</v>
      </c>
      <c r="O42" s="61" t="str">
        <f ca="1">IFERROR(OFFSET(INDIRECT($H$3 &amp; "!A71"), 11, 0), "")</f>
        <v>파워렛저</v>
      </c>
      <c r="P42" s="44">
        <f t="shared" ca="1" si="11"/>
        <v>487</v>
      </c>
      <c r="Q42" s="83">
        <f t="shared" ca="1" si="12"/>
        <v>-3.1809145099999998E-2</v>
      </c>
      <c r="R42" s="92">
        <f t="shared" ca="1" si="15"/>
        <v>7143729.0193606699</v>
      </c>
    </row>
    <row r="43" spans="1:18">
      <c r="A43" s="45" t="s">
        <v>221</v>
      </c>
      <c r="B43" s="11" t="s">
        <v>222</v>
      </c>
      <c r="C43" s="101">
        <v>20</v>
      </c>
      <c r="D43" s="98">
        <v>-1.9607843100000001E-2</v>
      </c>
      <c r="E43" s="99">
        <v>266825655.22727004</v>
      </c>
      <c r="F43" s="40"/>
      <c r="G43" s="61" t="str">
        <f ca="1">IFERROR(OFFSET(INDIRECT($H$3 &amp; "!A98"), 12, 0), "")</f>
        <v>세럼</v>
      </c>
      <c r="H43" s="44">
        <f t="shared" ca="1" si="7"/>
        <v>12470</v>
      </c>
      <c r="I43" s="83">
        <f t="shared" ca="1" si="8"/>
        <v>-1.0317460299999999E-2</v>
      </c>
      <c r="J43" s="92">
        <f t="shared" ca="1" si="13"/>
        <v>1875612.4348971499</v>
      </c>
      <c r="K43" s="61" t="str">
        <f ca="1">IFERROR(OFFSET(INDIRECT($H$3 &amp; "!A44"), 12, 0), "")</f>
        <v>썬더토큰</v>
      </c>
      <c r="L43" s="44">
        <f t="shared" ca="1" si="9"/>
        <v>21.7</v>
      </c>
      <c r="M43" s="83">
        <f t="shared" ca="1" si="10"/>
        <v>-2.69058296E-2</v>
      </c>
      <c r="N43" s="92">
        <f t="shared" ca="1" si="14"/>
        <v>443211987.09477752</v>
      </c>
      <c r="O43" s="61" t="str">
        <f ca="1">IFERROR(OFFSET(INDIRECT($H$3 &amp; "!A71"), 12, 0), "")</f>
        <v>스테이터스네트워크토큰</v>
      </c>
      <c r="P43" s="44">
        <f t="shared" ca="1" si="11"/>
        <v>205</v>
      </c>
      <c r="Q43" s="83">
        <f t="shared" ca="1" si="12"/>
        <v>-3.3018867899999998E-2</v>
      </c>
      <c r="R43" s="92">
        <f t="shared" ca="1" si="15"/>
        <v>94883752.82667169</v>
      </c>
    </row>
    <row r="44" spans="1:18">
      <c r="A44" s="45" t="s">
        <v>64</v>
      </c>
      <c r="B44" s="11" t="s">
        <v>65</v>
      </c>
      <c r="C44" s="101">
        <v>76.7</v>
      </c>
      <c r="D44" s="98">
        <v>-2.04342273E-2</v>
      </c>
      <c r="E44" s="99">
        <v>103850378.45740891</v>
      </c>
      <c r="F44" s="40"/>
      <c r="G44" s="61" t="str">
        <f ca="1">IFERROR(OFFSET(INDIRECT($H$3 &amp; "!A98"), 13, 0), "")</f>
        <v>체인링크</v>
      </c>
      <c r="H44" s="44">
        <f t="shared" ca="1" si="7"/>
        <v>47930</v>
      </c>
      <c r="I44" s="83">
        <f t="shared" ca="1" si="8"/>
        <v>-2.4623524599999998E-2</v>
      </c>
      <c r="J44" s="92">
        <f t="shared" ca="1" si="13"/>
        <v>529794.41075961001</v>
      </c>
      <c r="K44" s="61" t="str">
        <f ca="1">IFERROR(OFFSET(INDIRECT($H$3 &amp; "!A44"), 13, 0), "")</f>
        <v>에브리피디아</v>
      </c>
      <c r="L44" s="44">
        <f t="shared" ca="1" si="9"/>
        <v>27.2</v>
      </c>
      <c r="M44" s="83">
        <f t="shared" ca="1" si="10"/>
        <v>7.4074073999999997E-3</v>
      </c>
      <c r="N44" s="92">
        <f t="shared" ca="1" si="14"/>
        <v>589220610.58466542</v>
      </c>
      <c r="O44" s="61" t="str">
        <f ca="1">IFERROR(OFFSET(INDIRECT($H$3 &amp; "!A71"), 13, 0), "")</f>
        <v>모스코인</v>
      </c>
      <c r="P44" s="44">
        <f t="shared" ca="1" si="11"/>
        <v>207</v>
      </c>
      <c r="Q44" s="83">
        <f t="shared" ca="1" si="12"/>
        <v>-3.27102804E-2</v>
      </c>
      <c r="R44" s="92">
        <f t="shared" ca="1" si="15"/>
        <v>39800406.528868102</v>
      </c>
    </row>
    <row r="45" spans="1:18">
      <c r="A45" s="45" t="s">
        <v>141</v>
      </c>
      <c r="B45" s="11" t="s">
        <v>142</v>
      </c>
      <c r="C45" s="101">
        <v>418</v>
      </c>
      <c r="D45" s="98">
        <v>-2.1077283400000001E-2</v>
      </c>
      <c r="E45" s="99">
        <v>14621248.979505761</v>
      </c>
      <c r="F45" s="40"/>
      <c r="G45" s="63" t="str">
        <f ca="1">IFERROR(OFFSET(INDIRECT($H$3 &amp; "!A98"), 14, 0), "")</f>
        <v>질리카</v>
      </c>
      <c r="H45" s="49">
        <f t="shared" ca="1" si="7"/>
        <v>245</v>
      </c>
      <c r="I45" s="84">
        <f t="shared" ca="1" si="8"/>
        <v>-2.3904382500000002E-2</v>
      </c>
      <c r="J45" s="96">
        <f t="shared" ca="1" si="13"/>
        <v>26070037.816241421</v>
      </c>
      <c r="K45" s="63" t="str">
        <f ca="1">IFERROR(OFFSET(INDIRECT($H$3 &amp; "!A44"), 14, 0), "")</f>
        <v>트웰브쉽스</v>
      </c>
      <c r="L45" s="49">
        <f t="shared" ca="1" si="9"/>
        <v>28.1</v>
      </c>
      <c r="M45" s="84">
        <f t="shared" ca="1" si="10"/>
        <v>-1.0563380299999999E-2</v>
      </c>
      <c r="N45" s="96">
        <f t="shared" ca="1" si="14"/>
        <v>238051539.22893155</v>
      </c>
      <c r="O45" s="63" t="str">
        <f ca="1">IFERROR(OFFSET(INDIRECT($H$3 &amp; "!A71"), 14, 0), "")</f>
        <v>앵커</v>
      </c>
      <c r="P45" s="49">
        <f t="shared" ca="1" si="11"/>
        <v>207</v>
      </c>
      <c r="Q45" s="84">
        <f t="shared" ca="1" si="12"/>
        <v>-2.8169014100000001E-2</v>
      </c>
      <c r="R45" s="96">
        <f t="shared" ca="1" si="15"/>
        <v>42027628.399845898</v>
      </c>
    </row>
    <row r="46" spans="1:18">
      <c r="A46" s="45" t="s">
        <v>237</v>
      </c>
      <c r="B46" s="11" t="s">
        <v>238</v>
      </c>
      <c r="C46" s="101">
        <v>313</v>
      </c>
      <c r="D46" s="98">
        <v>-2.1874999999999999E-2</v>
      </c>
      <c r="E46" s="99">
        <v>19362824.098526001</v>
      </c>
      <c r="F46" s="40"/>
      <c r="G46" s="61" t="str">
        <f ca="1">IFERROR(OFFSET(INDIRECT($H$3 &amp; "!A98"), 15, 0), "")</f>
        <v>픽셀</v>
      </c>
      <c r="H46" s="44">
        <f t="shared" ca="1" si="7"/>
        <v>129</v>
      </c>
      <c r="I46" s="83">
        <f t="shared" ca="1" si="8"/>
        <v>2.3809523799999999E-2</v>
      </c>
      <c r="J46" s="105">
        <f t="shared" ca="1" si="13"/>
        <v>262631915.51925102</v>
      </c>
      <c r="K46" s="61" t="str">
        <f ca="1">IFERROR(OFFSET(INDIRECT($H$3 &amp; "!A44"), 15, 0), "")</f>
        <v>옵저버</v>
      </c>
      <c r="L46" s="44">
        <f t="shared" ca="1" si="9"/>
        <v>31.5</v>
      </c>
      <c r="M46" s="83">
        <f t="shared" ca="1" si="10"/>
        <v>-3.3742331299999997E-2</v>
      </c>
      <c r="N46" s="105">
        <f t="shared" ca="1" si="14"/>
        <v>463981911.98787922</v>
      </c>
      <c r="O46" s="61" t="str">
        <f ca="1">IFERROR(OFFSET(INDIRECT($H$3 &amp; "!A71"), 15, 0), "")</f>
        <v>크립토닷컴체인</v>
      </c>
      <c r="P46" s="44">
        <f t="shared" ca="1" si="11"/>
        <v>228</v>
      </c>
      <c r="Q46" s="83">
        <f t="shared" ca="1" si="12"/>
        <v>-1.2987013E-2</v>
      </c>
      <c r="R46" s="105">
        <f t="shared" ca="1" si="15"/>
        <v>42694907.647046842</v>
      </c>
    </row>
    <row r="47" spans="1:18">
      <c r="A47" s="45" t="s">
        <v>99</v>
      </c>
      <c r="B47" s="11" t="s">
        <v>100</v>
      </c>
      <c r="C47" s="101">
        <v>8.4499999999999993</v>
      </c>
      <c r="D47" s="98">
        <v>-2.1990740700000001E-2</v>
      </c>
      <c r="E47" s="99">
        <v>28190660482.553646</v>
      </c>
      <c r="F47" s="40"/>
      <c r="G47" s="61" t="str">
        <f ca="1">IFERROR(OFFSET(INDIRECT($H$3 &amp; "!A98"), 16, 0), "")</f>
        <v>쿼크체인</v>
      </c>
      <c r="H47" s="44">
        <f t="shared" ca="1" si="7"/>
        <v>36.5</v>
      </c>
      <c r="I47" s="83">
        <f t="shared" ca="1" si="8"/>
        <v>-3.1830238699999999E-2</v>
      </c>
      <c r="J47" s="92">
        <f t="shared" ca="1" si="13"/>
        <v>140169839.95943981</v>
      </c>
      <c r="K47" s="61" t="str">
        <f ca="1">IFERROR(OFFSET(INDIRECT($H$3 &amp; "!A44"), 16, 0), "")</f>
        <v>퀴즈톡</v>
      </c>
      <c r="L47" s="44">
        <f t="shared" ca="1" si="9"/>
        <v>93.7</v>
      </c>
      <c r="M47" s="83">
        <f t="shared" ca="1" si="10"/>
        <v>-2.1299255000000001E-3</v>
      </c>
      <c r="N47" s="92">
        <f t="shared" ca="1" si="14"/>
        <v>282360019.50610638</v>
      </c>
      <c r="O47" s="61" t="str">
        <f ca="1">IFERROR(OFFSET(INDIRECT($H$3 &amp; "!A71"), 16, 0), "")</f>
        <v>휴먼스케이프</v>
      </c>
      <c r="P47" s="44">
        <f t="shared" ca="1" si="11"/>
        <v>190</v>
      </c>
      <c r="Q47" s="83">
        <f t="shared" ca="1" si="12"/>
        <v>0</v>
      </c>
      <c r="R47" s="92">
        <f t="shared" ca="1" si="15"/>
        <v>118401089.29655954</v>
      </c>
    </row>
    <row r="48" spans="1:18">
      <c r="A48" s="45" t="s">
        <v>215</v>
      </c>
      <c r="B48" s="11" t="s">
        <v>216</v>
      </c>
      <c r="C48" s="101">
        <v>476</v>
      </c>
      <c r="D48" s="98">
        <v>-2.2587269E-2</v>
      </c>
      <c r="E48" s="99">
        <v>10869299.02760227</v>
      </c>
      <c r="F48" s="40"/>
      <c r="G48" s="61" t="str">
        <f ca="1">IFERROR(OFFSET(INDIRECT($H$3 &amp; "!A98"), 17, 0), "")</f>
        <v>아이콘</v>
      </c>
      <c r="H48" s="44">
        <f t="shared" ca="1" si="7"/>
        <v>3055</v>
      </c>
      <c r="I48" s="83">
        <f t="shared" ca="1" si="8"/>
        <v>-1.76848875E-2</v>
      </c>
      <c r="J48" s="92">
        <f t="shared" ca="1" si="13"/>
        <v>1017265.95760259</v>
      </c>
      <c r="K48" s="61" t="str">
        <f ca="1">IFERROR(OFFSET(INDIRECT($H$3 &amp; "!A44"), 17, 0), "")</f>
        <v>아이오에스티</v>
      </c>
      <c r="L48" s="44">
        <f t="shared" ca="1" si="9"/>
        <v>76.7</v>
      </c>
      <c r="M48" s="83">
        <f t="shared" ca="1" si="10"/>
        <v>-2.04342273E-2</v>
      </c>
      <c r="N48" s="92">
        <f t="shared" ca="1" si="14"/>
        <v>103850378.45740891</v>
      </c>
      <c r="O48" s="61" t="str">
        <f ca="1">IFERROR(OFFSET(INDIRECT($H$3 &amp; "!A71"), 17, 0), "")</f>
        <v>스텔라루멘</v>
      </c>
      <c r="P48" s="44">
        <f t="shared" ca="1" si="11"/>
        <v>628</v>
      </c>
      <c r="Q48" s="83">
        <f t="shared" ca="1" si="12"/>
        <v>-2.33281493E-2</v>
      </c>
      <c r="R48" s="92">
        <f t="shared" ca="1" si="15"/>
        <v>36324895.694856033</v>
      </c>
    </row>
    <row r="49" spans="1:18">
      <c r="A49" s="45" t="s">
        <v>193</v>
      </c>
      <c r="B49" s="11" t="s">
        <v>194</v>
      </c>
      <c r="C49" s="101">
        <v>14640</v>
      </c>
      <c r="D49" s="98">
        <v>-2.26969292E-2</v>
      </c>
      <c r="E49" s="99">
        <v>1095688.3928830901</v>
      </c>
      <c r="F49" s="40"/>
      <c r="G49" s="61" t="str">
        <f ca="1">IFERROR(OFFSET(INDIRECT($H$3 &amp; "!A98"), 18, 0), "")</f>
        <v>쎄타토큰</v>
      </c>
      <c r="H49" s="44">
        <f t="shared" ca="1" si="7"/>
        <v>13180</v>
      </c>
      <c r="I49" s="83">
        <f t="shared" ca="1" si="8"/>
        <v>-3.4432234399999997E-2</v>
      </c>
      <c r="J49" s="92">
        <f t="shared" ca="1" si="13"/>
        <v>477473.63246286998</v>
      </c>
      <c r="K49" s="61" t="str">
        <f ca="1">IFERROR(OFFSET(INDIRECT($H$3 &amp; "!A44"), 18, 0), "")</f>
        <v>스톰엑스</v>
      </c>
      <c r="L49" s="44">
        <f t="shared" ca="1" si="9"/>
        <v>68</v>
      </c>
      <c r="M49" s="83">
        <f t="shared" ca="1" si="10"/>
        <v>-4.7619047599999999E-2</v>
      </c>
      <c r="N49" s="92">
        <f t="shared" ca="1" si="14"/>
        <v>390908521.83650172</v>
      </c>
      <c r="O49" s="61" t="str">
        <f ca="1">IFERROR(OFFSET(INDIRECT($H$3 &amp; "!A71"), 18, 0), "")</f>
        <v>저스트</v>
      </c>
      <c r="P49" s="44">
        <f t="shared" ca="1" si="11"/>
        <v>152</v>
      </c>
      <c r="Q49" s="83">
        <f t="shared" ca="1" si="12"/>
        <v>-2.5641025599999999E-2</v>
      </c>
      <c r="R49" s="92">
        <f t="shared" ca="1" si="15"/>
        <v>43725138.427264579</v>
      </c>
    </row>
    <row r="50" spans="1:18" ht="17.25" thickBot="1">
      <c r="A50" s="45" t="s">
        <v>77</v>
      </c>
      <c r="B50" s="11" t="s">
        <v>78</v>
      </c>
      <c r="C50" s="101">
        <v>1173000</v>
      </c>
      <c r="D50" s="98">
        <v>-2.2907121999999999E-2</v>
      </c>
      <c r="E50" s="99">
        <v>49683.666978180001</v>
      </c>
      <c r="F50" s="40"/>
      <c r="G50" s="62" t="str">
        <f ca="1">IFERROR(OFFSET(INDIRECT($H$3 &amp; "!A98"), 19, 0), "")</f>
        <v>스토리지</v>
      </c>
      <c r="H50" s="42">
        <f t="shared" ca="1" si="7"/>
        <v>2485</v>
      </c>
      <c r="I50" s="85">
        <f t="shared" ca="1" si="8"/>
        <v>-4.6065259099999999E-2</v>
      </c>
      <c r="J50" s="93">
        <f t="shared" ca="1" si="13"/>
        <v>2515166.4393983502</v>
      </c>
      <c r="K50" s="62">
        <f ca="1">IFERROR(OFFSET(INDIRECT($H$3 &amp; "!A44"), 19, 0), "")</f>
        <v>0</v>
      </c>
      <c r="L50" s="42" t="str">
        <f t="shared" ca="1" si="9"/>
        <v/>
      </c>
      <c r="M50" s="85" t="str">
        <f t="shared" ca="1" si="10"/>
        <v/>
      </c>
      <c r="N50" s="93" t="str">
        <f t="shared" ca="1" si="14"/>
        <v/>
      </c>
      <c r="O50" s="62" t="str">
        <f ca="1">IFERROR(OFFSET(INDIRECT($H$3 &amp; "!A71"), 19, 0), "")</f>
        <v>비체인</v>
      </c>
      <c r="P50" s="42">
        <f t="shared" ca="1" si="11"/>
        <v>254</v>
      </c>
      <c r="Q50" s="85">
        <f t="shared" ca="1" si="12"/>
        <v>4.5267489700000003E-2</v>
      </c>
      <c r="R50" s="93">
        <f t="shared" ca="1" si="15"/>
        <v>1141674136.6626649</v>
      </c>
    </row>
    <row r="51" spans="1:18">
      <c r="A51" s="45" t="s">
        <v>209</v>
      </c>
      <c r="B51" s="11" t="s">
        <v>210</v>
      </c>
      <c r="C51" s="101">
        <v>213</v>
      </c>
      <c r="D51" s="98">
        <v>-2.29357798E-2</v>
      </c>
      <c r="E51" s="99">
        <v>26499533.634734701</v>
      </c>
      <c r="F51" s="40"/>
    </row>
    <row r="52" spans="1:18" ht="17.25" thickBot="1">
      <c r="A52" s="45" t="s">
        <v>157</v>
      </c>
      <c r="B52" s="11" t="s">
        <v>158</v>
      </c>
      <c r="C52" s="101">
        <v>11320</v>
      </c>
      <c r="D52" s="98">
        <v>-2.3295944799999999E-2</v>
      </c>
      <c r="E52" s="99">
        <v>2380765.75337849</v>
      </c>
      <c r="F52" s="40"/>
    </row>
    <row r="53" spans="1:18" ht="17.25" thickBot="1">
      <c r="A53" s="45" t="s">
        <v>50</v>
      </c>
      <c r="B53" s="11" t="s">
        <v>51</v>
      </c>
      <c r="C53" s="101">
        <v>628</v>
      </c>
      <c r="D53" s="98">
        <v>-2.33281493E-2</v>
      </c>
      <c r="E53" s="99">
        <v>36324895.694856033</v>
      </c>
      <c r="F53" s="40"/>
      <c r="G53" s="149" t="s">
        <v>285</v>
      </c>
      <c r="H53" s="150"/>
      <c r="I53" s="150"/>
      <c r="J53" s="151"/>
      <c r="K53" s="149" t="s">
        <v>288</v>
      </c>
      <c r="L53" s="150"/>
      <c r="M53" s="150"/>
      <c r="N53" s="151"/>
      <c r="O53" s="149" t="s">
        <v>289</v>
      </c>
      <c r="P53" s="150"/>
      <c r="Q53" s="150"/>
      <c r="R53" s="151"/>
    </row>
    <row r="54" spans="1:18" ht="17.25" thickBot="1">
      <c r="A54" s="45" t="s">
        <v>175</v>
      </c>
      <c r="B54" s="11" t="s">
        <v>176</v>
      </c>
      <c r="C54" s="101">
        <v>2505</v>
      </c>
      <c r="D54" s="98">
        <v>-2.33918129E-2</v>
      </c>
      <c r="E54" s="99">
        <v>3806918.3428762299</v>
      </c>
      <c r="F54" s="40"/>
      <c r="G54" s="183" t="s">
        <v>55</v>
      </c>
      <c r="H54" s="195">
        <f ca="1">NOW()</f>
        <v>44318.651957638889</v>
      </c>
      <c r="I54" s="196"/>
      <c r="J54" s="197"/>
      <c r="K54" s="185" t="s">
        <v>55</v>
      </c>
      <c r="L54" s="195">
        <f ca="1">NOW()</f>
        <v>44318.651957638889</v>
      </c>
      <c r="M54" s="196"/>
      <c r="N54" s="197"/>
      <c r="O54" s="185" t="s">
        <v>55</v>
      </c>
      <c r="P54" s="195">
        <f ca="1">NOW()</f>
        <v>44318.651957638889</v>
      </c>
      <c r="Q54" s="196"/>
      <c r="R54" s="197"/>
    </row>
    <row r="55" spans="1:18" ht="17.25" thickBot="1">
      <c r="A55" s="45" t="s">
        <v>269</v>
      </c>
      <c r="B55" s="11" t="s">
        <v>270</v>
      </c>
      <c r="C55" s="101">
        <v>540</v>
      </c>
      <c r="D55" s="98">
        <v>-2.35081374E-2</v>
      </c>
      <c r="E55" s="99">
        <v>9934834.6407866701</v>
      </c>
      <c r="F55" s="40"/>
      <c r="G55" s="184"/>
      <c r="H55" s="41" t="s">
        <v>58</v>
      </c>
      <c r="I55" s="79" t="s">
        <v>59</v>
      </c>
      <c r="J55" s="75" t="s">
        <v>294</v>
      </c>
      <c r="K55" s="184"/>
      <c r="L55" s="41" t="s">
        <v>58</v>
      </c>
      <c r="M55" s="79" t="s">
        <v>59</v>
      </c>
      <c r="N55" s="75" t="s">
        <v>294</v>
      </c>
      <c r="O55" s="184"/>
      <c r="P55" s="41" t="s">
        <v>58</v>
      </c>
      <c r="Q55" s="79" t="s">
        <v>59</v>
      </c>
      <c r="R55" s="75" t="s">
        <v>294</v>
      </c>
    </row>
    <row r="56" spans="1:18">
      <c r="A56" s="45" t="s">
        <v>135</v>
      </c>
      <c r="B56" s="11" t="s">
        <v>136</v>
      </c>
      <c r="C56" s="101">
        <v>245</v>
      </c>
      <c r="D56" s="98">
        <v>-2.3904382500000002E-2</v>
      </c>
      <c r="E56" s="99">
        <v>26070037.816241421</v>
      </c>
      <c r="F56" s="40"/>
      <c r="G56" s="60" t="str">
        <f ca="1">IFERROR(OFFSET(INDIRECT($H$3 &amp; "!A179"), 0, 0), "")</f>
        <v>룸네트워크</v>
      </c>
      <c r="H56" s="43">
        <f t="shared" ref="H56:H65" ca="1" si="16">_xlfn.IFNA(VLOOKUP(G56, $B$2:$D$200, 2, FALSE), "")</f>
        <v>181</v>
      </c>
      <c r="I56" s="82">
        <f t="shared" ref="I56:I65" ca="1" si="17">_xlfn.IFNA(VLOOKUP(G56, $B$2:$D$200, 3, FALSE), "")</f>
        <v>-3.7234042600000003E-2</v>
      </c>
      <c r="J56" s="91">
        <f ca="1">_xlfn.IFNA(VLOOKUP(G56, $B$2:$E$200, 4, FALSE), "")</f>
        <v>18042776.993536711</v>
      </c>
      <c r="K56" s="60" t="str">
        <f ca="1">IFERROR(OFFSET(INDIRECT($H$3 &amp; "!A125"), 0, 0), "")</f>
        <v>쿼크체인</v>
      </c>
      <c r="L56" s="43">
        <f t="shared" ref="L56:L75" ca="1" si="18">_xlfn.IFNA(VLOOKUP(K56, $B$2:$D$200, 2, FALSE), "")</f>
        <v>36.5</v>
      </c>
      <c r="M56" s="82">
        <f t="shared" ref="M56:M75" ca="1" si="19">_xlfn.IFNA(VLOOKUP(K56, $B$2:$D$200, 3, FALSE), "")</f>
        <v>-3.1830238699999999E-2</v>
      </c>
      <c r="N56" s="91">
        <f ca="1">_xlfn.IFNA(VLOOKUP(K56, $B$2:$E$200, 4, FALSE), "")</f>
        <v>140169839.95943981</v>
      </c>
      <c r="O56" s="60" t="str">
        <f ca="1">IFERROR(OFFSET(INDIRECT($H$3 &amp; "!A152"), 0, 0), "")</f>
        <v>솔브케어</v>
      </c>
      <c r="P56" s="43">
        <f t="shared" ref="P56:P75" ca="1" si="20">_xlfn.IFNA(VLOOKUP(O56, $B$2:$D$200, 2, FALSE), "")</f>
        <v>313</v>
      </c>
      <c r="Q56" s="82">
        <f t="shared" ref="Q56:Q75" ca="1" si="21">_xlfn.IFNA(VLOOKUP(O56, $B$2:$D$200, 3, FALSE), "")</f>
        <v>-2.1874999999999999E-2</v>
      </c>
      <c r="R56" s="91">
        <f ca="1">_xlfn.IFNA(VLOOKUP(O56, $B$2:$E$200, 4, FALSE), "")</f>
        <v>19362824.098526001</v>
      </c>
    </row>
    <row r="57" spans="1:18">
      <c r="A57" s="45" t="s">
        <v>243</v>
      </c>
      <c r="B57" s="11" t="s">
        <v>244</v>
      </c>
      <c r="C57" s="101">
        <v>3855</v>
      </c>
      <c r="D57" s="98">
        <v>-2.40506329E-2</v>
      </c>
      <c r="E57" s="99">
        <v>4840851.2745399103</v>
      </c>
      <c r="F57" s="40"/>
      <c r="G57" s="61" t="str">
        <f ca="1">IFERROR(OFFSET(INDIRECT($H$3 &amp; "!A179"), 1, 0), "")</f>
        <v>썬더토큰</v>
      </c>
      <c r="H57" s="44">
        <f t="shared" ca="1" si="16"/>
        <v>21.7</v>
      </c>
      <c r="I57" s="83">
        <f t="shared" ca="1" si="17"/>
        <v>-2.69058296E-2</v>
      </c>
      <c r="J57" s="92">
        <f t="shared" ref="J57:J75" ca="1" si="22">_xlfn.IFNA(VLOOKUP(G57, $B$2:$E$200, 4, FALSE), "")</f>
        <v>443211987.09477752</v>
      </c>
      <c r="K57" s="61" t="str">
        <f ca="1">IFERROR(OFFSET(INDIRECT($H$3 &amp; "!A125"), 1, 0), "")</f>
        <v>비트토렌트</v>
      </c>
      <c r="L57" s="44">
        <f t="shared" ca="1" si="18"/>
        <v>8.4499999999999993</v>
      </c>
      <c r="M57" s="83">
        <f t="shared" ca="1" si="19"/>
        <v>-2.1990740700000001E-2</v>
      </c>
      <c r="N57" s="92">
        <f t="shared" ref="N57:N75" ca="1" si="23">_xlfn.IFNA(VLOOKUP(K57, $B$2:$E$200, 4, FALSE), "")</f>
        <v>28190660482.553646</v>
      </c>
      <c r="O57" s="61" t="str">
        <f ca="1">IFERROR(OFFSET(INDIRECT($H$3 &amp; "!A152"), 1, 0), "")</f>
        <v>메타디움</v>
      </c>
      <c r="P57" s="44">
        <f t="shared" ca="1" si="20"/>
        <v>230</v>
      </c>
      <c r="Q57" s="83">
        <f t="shared" ca="1" si="21"/>
        <v>4.5454545499999999E-2</v>
      </c>
      <c r="R57" s="92">
        <f t="shared" ref="R57:R75" ca="1" si="24">_xlfn.IFNA(VLOOKUP(O57, $B$2:$E$200, 4, FALSE), "")</f>
        <v>226834065.94746763</v>
      </c>
    </row>
    <row r="58" spans="1:18">
      <c r="A58" s="45" t="s">
        <v>75</v>
      </c>
      <c r="B58" s="11" t="s">
        <v>76</v>
      </c>
      <c r="C58" s="101">
        <v>47930</v>
      </c>
      <c r="D58" s="98">
        <v>-2.4623524599999998E-2</v>
      </c>
      <c r="E58" s="99">
        <v>529794.41075961001</v>
      </c>
      <c r="F58" s="40"/>
      <c r="G58" s="61" t="str">
        <f ca="1">IFERROR(OFFSET(INDIRECT($H$3 &amp; "!A179"), 2, 0), "")</f>
        <v>피르마체인</v>
      </c>
      <c r="H58" s="44">
        <f t="shared" ca="1" si="16"/>
        <v>213</v>
      </c>
      <c r="I58" s="83">
        <f t="shared" ca="1" si="17"/>
        <v>-2.29357798E-2</v>
      </c>
      <c r="J58" s="92">
        <f t="shared" ca="1" si="22"/>
        <v>26499533.634734701</v>
      </c>
      <c r="K58" s="61" t="str">
        <f ca="1">IFERROR(OFFSET(INDIRECT($H$3 &amp; "!A125"), 2, 0), "")</f>
        <v>무비블록</v>
      </c>
      <c r="L58" s="44">
        <f t="shared" ca="1" si="18"/>
        <v>20.100000000000001</v>
      </c>
      <c r="M58" s="83">
        <f t="shared" ca="1" si="19"/>
        <v>0</v>
      </c>
      <c r="N58" s="92">
        <f t="shared" ca="1" si="23"/>
        <v>1500653379.3103938</v>
      </c>
      <c r="O58" s="61" t="str">
        <f ca="1">IFERROR(OFFSET(INDIRECT($H$3 &amp; "!A152"), 2, 0), "")</f>
        <v>아르고</v>
      </c>
      <c r="P58" s="44">
        <f t="shared" ca="1" si="20"/>
        <v>401</v>
      </c>
      <c r="Q58" s="83">
        <f t="shared" ca="1" si="21"/>
        <v>-3.1400966199999998E-2</v>
      </c>
      <c r="R58" s="92">
        <f t="shared" ca="1" si="24"/>
        <v>13921848.65385622</v>
      </c>
    </row>
    <row r="59" spans="1:18">
      <c r="A59" s="45" t="s">
        <v>159</v>
      </c>
      <c r="B59" s="11" t="s">
        <v>160</v>
      </c>
      <c r="C59" s="101">
        <v>3160</v>
      </c>
      <c r="D59" s="98">
        <v>-2.4691358E-2</v>
      </c>
      <c r="E59" s="99">
        <v>2026716.6073237499</v>
      </c>
      <c r="F59" s="40"/>
      <c r="G59" s="61" t="str">
        <f ca="1">IFERROR(OFFSET(INDIRECT($H$3 &amp; "!A179"), 3, 0), "")</f>
        <v>아이오타</v>
      </c>
      <c r="H59" s="44">
        <f t="shared" ca="1" si="16"/>
        <v>2600</v>
      </c>
      <c r="I59" s="83">
        <f t="shared" ca="1" si="17"/>
        <v>-3.8817005500000001E-2</v>
      </c>
      <c r="J59" s="92">
        <f t="shared" ca="1" si="22"/>
        <v>1422649.9404662901</v>
      </c>
      <c r="K59" s="61" t="str">
        <f ca="1">IFERROR(OFFSET(INDIRECT($H$3 &amp; "!A125"), 3, 0), "")</f>
        <v>메인프레임</v>
      </c>
      <c r="L59" s="44">
        <f t="shared" ca="1" si="18"/>
        <v>20.100000000000001</v>
      </c>
      <c r="M59" s="83">
        <f t="shared" ca="1" si="19"/>
        <v>-1.9512195100000001E-2</v>
      </c>
      <c r="N59" s="92">
        <f t="shared" ca="1" si="23"/>
        <v>208267476.9766573</v>
      </c>
      <c r="O59" s="61" t="str">
        <f ca="1">IFERROR(OFFSET(INDIRECT($H$3 &amp; "!A152"), 3, 0), "")</f>
        <v>골렘</v>
      </c>
      <c r="P59" s="44">
        <f t="shared" ca="1" si="20"/>
        <v>540</v>
      </c>
      <c r="Q59" s="83">
        <f t="shared" ca="1" si="21"/>
        <v>-2.35081374E-2</v>
      </c>
      <c r="R59" s="92">
        <f t="shared" ca="1" si="24"/>
        <v>9934834.6407866701</v>
      </c>
    </row>
    <row r="60" spans="1:18">
      <c r="A60" s="45" t="s">
        <v>133</v>
      </c>
      <c r="B60" s="11" t="s">
        <v>134</v>
      </c>
      <c r="C60" s="101">
        <v>157</v>
      </c>
      <c r="D60" s="98">
        <v>-2.48447205E-2</v>
      </c>
      <c r="E60" s="99">
        <v>76258935.610476598</v>
      </c>
      <c r="F60" s="40"/>
      <c r="G60" s="61" t="str">
        <f ca="1">IFERROR(OFFSET(INDIRECT($H$3 &amp; "!A179"), 4, 0), "")</f>
        <v>칠리즈</v>
      </c>
      <c r="H60" s="44">
        <f t="shared" ca="1" si="16"/>
        <v>635</v>
      </c>
      <c r="I60" s="83">
        <f t="shared" ca="1" si="17"/>
        <v>-3.7878787900000002E-2</v>
      </c>
      <c r="J60" s="96">
        <f t="shared" ca="1" si="22"/>
        <v>89174319.353555486</v>
      </c>
      <c r="K60" s="63" t="str">
        <f ca="1">IFERROR(OFFSET(INDIRECT($H$3 &amp; "!A125"), 4, 0), "")</f>
        <v>아하토큰</v>
      </c>
      <c r="L60" s="49">
        <f t="shared" ca="1" si="18"/>
        <v>20</v>
      </c>
      <c r="M60" s="84">
        <f t="shared" ca="1" si="19"/>
        <v>-1.9607843100000001E-2</v>
      </c>
      <c r="N60" s="96">
        <f t="shared" ca="1" si="23"/>
        <v>266825655.22727004</v>
      </c>
      <c r="O60" s="63" t="str">
        <f ca="1">IFERROR(OFFSET(INDIRECT($H$3 &amp; "!A152"), 4, 0), "")</f>
        <v>마로</v>
      </c>
      <c r="P60" s="49">
        <f t="shared" ca="1" si="20"/>
        <v>534</v>
      </c>
      <c r="Q60" s="84">
        <f t="shared" ca="1" si="21"/>
        <v>1.8761725999999999E-3</v>
      </c>
      <c r="R60" s="96">
        <f t="shared" ca="1" si="24"/>
        <v>85918566.099021286</v>
      </c>
    </row>
    <row r="61" spans="1:18">
      <c r="A61" s="45" t="s">
        <v>247</v>
      </c>
      <c r="B61" s="11" t="s">
        <v>248</v>
      </c>
      <c r="C61" s="101">
        <v>3295</v>
      </c>
      <c r="D61" s="98">
        <v>-2.5147928999999999E-2</v>
      </c>
      <c r="E61" s="99">
        <v>1298417.05590814</v>
      </c>
      <c r="F61" s="40"/>
      <c r="G61" s="65" t="str">
        <f ca="1">IFERROR(OFFSET(INDIRECT($H$3 &amp; "!A179"), 5, 0), "")</f>
        <v>디센트럴랜드</v>
      </c>
      <c r="H61" s="50">
        <f t="shared" ca="1" si="16"/>
        <v>1695</v>
      </c>
      <c r="I61" s="86">
        <f t="shared" ca="1" si="17"/>
        <v>-2.86532951E-2</v>
      </c>
      <c r="J61" s="105">
        <f t="shared" ca="1" si="22"/>
        <v>14720319.171468129</v>
      </c>
      <c r="K61" s="61" t="str">
        <f ca="1">IFERROR(OFFSET(INDIRECT($H$3 &amp; "!A125"), 5, 0), "")</f>
        <v>엠블</v>
      </c>
      <c r="L61" s="44">
        <f t="shared" ca="1" si="18"/>
        <v>31.5</v>
      </c>
      <c r="M61" s="83">
        <f t="shared" ca="1" si="19"/>
        <v>-1.8691588799999999E-2</v>
      </c>
      <c r="N61" s="105">
        <f t="shared" ca="1" si="23"/>
        <v>458188276.86466539</v>
      </c>
      <c r="O61" s="61" t="str">
        <f ca="1">IFERROR(OFFSET(INDIRECT($H$3 &amp; "!A152"), 5, 0), "")</f>
        <v>이그니스</v>
      </c>
      <c r="P61" s="44">
        <f t="shared" ca="1" si="20"/>
        <v>178</v>
      </c>
      <c r="Q61" s="83">
        <f t="shared" ca="1" si="21"/>
        <v>-3.7837837800000003E-2</v>
      </c>
      <c r="R61" s="105">
        <f t="shared" ca="1" si="24"/>
        <v>24140096.879714958</v>
      </c>
    </row>
    <row r="62" spans="1:18">
      <c r="A62" s="45" t="s">
        <v>155</v>
      </c>
      <c r="B62" s="11" t="s">
        <v>156</v>
      </c>
      <c r="C62" s="101">
        <v>153</v>
      </c>
      <c r="D62" s="98">
        <v>-2.5477706999999999E-2</v>
      </c>
      <c r="E62" s="99">
        <v>341718880.60158932</v>
      </c>
      <c r="F62" s="40"/>
      <c r="G62" s="61" t="str">
        <f ca="1">IFERROR(OFFSET(INDIRECT($H$3 &amp; "!A179"), 6, 0), "")</f>
        <v>에브리피디아</v>
      </c>
      <c r="H62" s="44">
        <f t="shared" ca="1" si="16"/>
        <v>27.2</v>
      </c>
      <c r="I62" s="83">
        <f t="shared" ca="1" si="17"/>
        <v>7.4074073999999997E-3</v>
      </c>
      <c r="J62" s="92">
        <f t="shared" ca="1" si="22"/>
        <v>589220610.58466542</v>
      </c>
      <c r="K62" s="61" t="str">
        <f ca="1">IFERROR(OFFSET(INDIRECT($H$3 &amp; "!A125"), 6, 0), "")</f>
        <v>에스티피</v>
      </c>
      <c r="L62" s="44">
        <f t="shared" ca="1" si="18"/>
        <v>93.3</v>
      </c>
      <c r="M62" s="83">
        <f t="shared" ca="1" si="19"/>
        <v>-3.21576763E-2</v>
      </c>
      <c r="N62" s="92">
        <f t="shared" ca="1" si="23"/>
        <v>91245036.217700973</v>
      </c>
      <c r="O62" s="61" t="str">
        <f ca="1">IFERROR(OFFSET(INDIRECT($H$3 &amp; "!A152"), 6, 0), "")</f>
        <v>디카르고</v>
      </c>
      <c r="P62" s="44">
        <f t="shared" ca="1" si="20"/>
        <v>279</v>
      </c>
      <c r="Q62" s="83">
        <f t="shared" ca="1" si="21"/>
        <v>0</v>
      </c>
      <c r="R62" s="92">
        <f t="shared" ca="1" si="24"/>
        <v>57982779.048899792</v>
      </c>
    </row>
    <row r="63" spans="1:18">
      <c r="A63" s="45" t="s">
        <v>277</v>
      </c>
      <c r="B63" s="11" t="s">
        <v>278</v>
      </c>
      <c r="C63" s="101">
        <v>152</v>
      </c>
      <c r="D63" s="98">
        <v>-2.5641025599999999E-2</v>
      </c>
      <c r="E63" s="99">
        <v>43725138.427264579</v>
      </c>
      <c r="F63" s="40"/>
      <c r="G63" s="61" t="str">
        <f ca="1">IFERROR(OFFSET(INDIRECT($H$3 &amp; "!A179"), 7, 0), "")</f>
        <v>아인스타이늄</v>
      </c>
      <c r="H63" s="44">
        <f t="shared" ca="1" si="16"/>
        <v>581</v>
      </c>
      <c r="I63" s="83">
        <f t="shared" ca="1" si="17"/>
        <v>-3.3277870199999997E-2</v>
      </c>
      <c r="J63" s="92">
        <f t="shared" ca="1" si="22"/>
        <v>15512250.509519549</v>
      </c>
      <c r="K63" s="61" t="str">
        <f ca="1">IFERROR(OFFSET(INDIRECT($H$3 &amp; "!A125"), 7, 0), "")</f>
        <v>캐리프로토콜</v>
      </c>
      <c r="L63" s="44">
        <f t="shared" ca="1" si="18"/>
        <v>21.9</v>
      </c>
      <c r="M63" s="83">
        <f t="shared" ca="1" si="19"/>
        <v>-2.6666666700000001E-2</v>
      </c>
      <c r="N63" s="92">
        <f t="shared" ca="1" si="23"/>
        <v>584845194.01068616</v>
      </c>
      <c r="O63" s="61" t="str">
        <f ca="1">IFERROR(OFFSET(INDIRECT($H$3 &amp; "!A152"), 7, 0), "")</f>
        <v>오브스</v>
      </c>
      <c r="P63" s="44">
        <f t="shared" ca="1" si="20"/>
        <v>157</v>
      </c>
      <c r="Q63" s="83">
        <f t="shared" ca="1" si="21"/>
        <v>-2.48447205E-2</v>
      </c>
      <c r="R63" s="92">
        <f t="shared" ca="1" si="24"/>
        <v>76258935.610476598</v>
      </c>
    </row>
    <row r="64" spans="1:18">
      <c r="A64" s="45" t="s">
        <v>173</v>
      </c>
      <c r="B64" s="11" t="s">
        <v>174</v>
      </c>
      <c r="C64" s="101">
        <v>302</v>
      </c>
      <c r="D64" s="98">
        <v>-2.5806451599999999E-2</v>
      </c>
      <c r="E64" s="99">
        <v>34501262.537711859</v>
      </c>
      <c r="F64" s="40"/>
      <c r="G64" s="61" t="str">
        <f ca="1">IFERROR(OFFSET(INDIRECT($H$3 &amp; "!A179"), 8, 0), "")</f>
        <v>트웰브쉽스</v>
      </c>
      <c r="H64" s="44">
        <f t="shared" ca="1" si="16"/>
        <v>28.1</v>
      </c>
      <c r="I64" s="83">
        <f t="shared" ca="1" si="17"/>
        <v>-1.0563380299999999E-2</v>
      </c>
      <c r="J64" s="92">
        <f t="shared" ca="1" si="22"/>
        <v>238051539.22893155</v>
      </c>
      <c r="K64" s="61" t="str">
        <f ca="1">IFERROR(OFFSET(INDIRECT($H$3 &amp; "!A125"), 8, 0), "")</f>
        <v>엔도르</v>
      </c>
      <c r="L64" s="44">
        <f t="shared" ca="1" si="18"/>
        <v>76.099999999999994</v>
      </c>
      <c r="M64" s="83">
        <f t="shared" ca="1" si="19"/>
        <v>-2.80970626E-2</v>
      </c>
      <c r="N64" s="92">
        <f t="shared" ca="1" si="23"/>
        <v>110259576.18673055</v>
      </c>
      <c r="O64" s="61" t="str">
        <f ca="1">IFERROR(OFFSET(INDIRECT($H$3 &amp; "!A152"), 8, 0), "")</f>
        <v>썸씽</v>
      </c>
      <c r="P64" s="44">
        <f t="shared" ca="1" si="20"/>
        <v>136</v>
      </c>
      <c r="Q64" s="83">
        <f t="shared" ca="1" si="21"/>
        <v>-2.85714286E-2</v>
      </c>
      <c r="R64" s="92">
        <f t="shared" ca="1" si="24"/>
        <v>112747368.0024419</v>
      </c>
    </row>
    <row r="65" spans="1:18" ht="17.25" thickBot="1">
      <c r="A65" s="45" t="s">
        <v>105</v>
      </c>
      <c r="B65" s="11" t="s">
        <v>106</v>
      </c>
      <c r="C65" s="101">
        <v>2255</v>
      </c>
      <c r="D65" s="98">
        <v>-2.5917926599999998E-2</v>
      </c>
      <c r="E65" s="99">
        <v>3482850.4187759901</v>
      </c>
      <c r="F65" s="40"/>
      <c r="G65" s="62" t="str">
        <f ca="1">IFERROR(OFFSET(INDIRECT($H$3 &amp; "!A179"), 9, 0), "")</f>
        <v>디마켓</v>
      </c>
      <c r="H65" s="42">
        <f t="shared" ca="1" si="16"/>
        <v>1500</v>
      </c>
      <c r="I65" s="85">
        <f t="shared" ca="1" si="17"/>
        <v>4.5296167200000001E-2</v>
      </c>
      <c r="J65" s="93">
        <f t="shared" ca="1" si="22"/>
        <v>28671853.4628742</v>
      </c>
      <c r="K65" s="62" t="str">
        <f ca="1">IFERROR(OFFSET(INDIRECT($H$3 &amp; "!A125"), 9, 0), "")</f>
        <v>리퍼리움</v>
      </c>
      <c r="L65" s="42">
        <f t="shared" ca="1" si="18"/>
        <v>24.1</v>
      </c>
      <c r="M65" s="85">
        <f t="shared" ca="1" si="19"/>
        <v>-1.63265306E-2</v>
      </c>
      <c r="N65" s="93">
        <f t="shared" ca="1" si="23"/>
        <v>448248437.23789501</v>
      </c>
      <c r="O65" s="62" t="str">
        <f ca="1">IFERROR(OFFSET(INDIRECT($H$3 &amp; "!A152"), 9, 0), "")</f>
        <v>샌드박스</v>
      </c>
      <c r="P65" s="42">
        <f t="shared" ca="1" si="20"/>
        <v>696</v>
      </c>
      <c r="Q65" s="85">
        <f t="shared" ca="1" si="21"/>
        <v>-3.1988873399999999E-2</v>
      </c>
      <c r="R65" s="93">
        <f t="shared" ca="1" si="24"/>
        <v>8506154.7536750101</v>
      </c>
    </row>
    <row r="66" spans="1:18">
      <c r="A66" s="45" t="s">
        <v>139</v>
      </c>
      <c r="B66" s="11" t="s">
        <v>140</v>
      </c>
      <c r="C66" s="101">
        <v>3860</v>
      </c>
      <c r="D66" s="98">
        <v>-2.6481714999999999E-2</v>
      </c>
      <c r="E66" s="99">
        <v>1048826.23106484</v>
      </c>
      <c r="F66" s="40"/>
      <c r="G66" s="61" t="str">
        <f ca="1">IFERROR(OFFSET(INDIRECT($H$3 &amp; "!A179"), 10, 0), "")</f>
        <v>던프로토콜</v>
      </c>
      <c r="H66" s="43">
        <f t="shared" ref="H66:H75" ca="1" si="25">_xlfn.IFNA(VLOOKUP(G66, $B$2:$D$200, 2, FALSE), "")</f>
        <v>9970</v>
      </c>
      <c r="I66" s="82">
        <f t="shared" ref="I66:I75" ca="1" si="26">_xlfn.IFNA(VLOOKUP(G66, $B$2:$D$200, 3, FALSE), "")</f>
        <v>-3.76447876E-2</v>
      </c>
      <c r="J66" s="91">
        <f t="shared" ca="1" si="22"/>
        <v>12635819.79487611</v>
      </c>
      <c r="K66" s="60" t="str">
        <f ca="1">IFERROR(OFFSET(INDIRECT($H$3 &amp; "!A125"), 10, 0), "")</f>
        <v>시아코인</v>
      </c>
      <c r="L66" s="43">
        <f t="shared" ca="1" si="18"/>
        <v>48.7</v>
      </c>
      <c r="M66" s="82">
        <f t="shared" ca="1" si="19"/>
        <v>2.0964360599999999E-2</v>
      </c>
      <c r="N66" s="91">
        <f t="shared" ca="1" si="23"/>
        <v>2166884840.1176963</v>
      </c>
      <c r="O66" s="60" t="str">
        <f ca="1">IFERROR(OFFSET(INDIRECT($H$3 &amp; "!A152"), 10, 0), "")</f>
        <v>헌트</v>
      </c>
      <c r="P66" s="43">
        <f t="shared" ca="1" si="20"/>
        <v>435</v>
      </c>
      <c r="Q66" s="82">
        <f t="shared" ca="1" si="21"/>
        <v>-3.7610619499999998E-2</v>
      </c>
      <c r="R66" s="91">
        <f t="shared" ca="1" si="24"/>
        <v>15778377.608329421</v>
      </c>
    </row>
    <row r="67" spans="1:18">
      <c r="A67" s="45" t="s">
        <v>85</v>
      </c>
      <c r="B67" s="11" t="s">
        <v>86</v>
      </c>
      <c r="C67" s="101">
        <v>7675</v>
      </c>
      <c r="D67" s="98">
        <v>-2.66328472E-2</v>
      </c>
      <c r="E67" s="99">
        <v>12110173.42596321</v>
      </c>
      <c r="F67" s="40"/>
      <c r="G67" s="61" t="str">
        <f ca="1">IFERROR(OFFSET(INDIRECT($H$3 &amp; "!A179"), 11, 0), "")</f>
        <v>아더</v>
      </c>
      <c r="H67" s="44">
        <f t="shared" ca="1" si="25"/>
        <v>462</v>
      </c>
      <c r="I67" s="83">
        <f t="shared" ca="1" si="26"/>
        <v>-4.1493775900000002E-2</v>
      </c>
      <c r="J67" s="92">
        <f t="shared" ca="1" si="22"/>
        <v>18317394.660448302</v>
      </c>
      <c r="K67" s="61" t="str">
        <f ca="1">IFERROR(OFFSET(INDIRECT($H$3 &amp; "!A125"), 11, 0), "")</f>
        <v>람다</v>
      </c>
      <c r="L67" s="44">
        <f t="shared" ca="1" si="18"/>
        <v>101</v>
      </c>
      <c r="M67" s="83">
        <f t="shared" ca="1" si="19"/>
        <v>2.2267206500000001E-2</v>
      </c>
      <c r="N67" s="92">
        <f t="shared" ca="1" si="23"/>
        <v>254218741.8910861</v>
      </c>
      <c r="O67" s="61" t="str">
        <f ca="1">IFERROR(OFFSET(INDIRECT($H$3 &amp; "!A152"), 11, 0), "")</f>
        <v>엘프</v>
      </c>
      <c r="P67" s="44">
        <f t="shared" ca="1" si="20"/>
        <v>528</v>
      </c>
      <c r="Q67" s="83">
        <f t="shared" ca="1" si="21"/>
        <v>-3.8251366100000003E-2</v>
      </c>
      <c r="R67" s="92">
        <f t="shared" ca="1" si="24"/>
        <v>26136127.24639447</v>
      </c>
    </row>
    <row r="68" spans="1:18">
      <c r="A68" s="45" t="s">
        <v>153</v>
      </c>
      <c r="B68" s="11" t="s">
        <v>154</v>
      </c>
      <c r="C68" s="101">
        <v>21.9</v>
      </c>
      <c r="D68" s="98">
        <v>-2.6666666700000001E-2</v>
      </c>
      <c r="E68" s="99">
        <v>584845194.01068616</v>
      </c>
      <c r="F68" s="40"/>
      <c r="G68" s="61" t="str">
        <f ca="1">IFERROR(OFFSET(INDIRECT($H$3 &amp; "!A179"), 12, 0), "")</f>
        <v>옵저버</v>
      </c>
      <c r="H68" s="44">
        <f t="shared" ca="1" si="25"/>
        <v>31.5</v>
      </c>
      <c r="I68" s="83">
        <f t="shared" ca="1" si="26"/>
        <v>-3.3742331299999997E-2</v>
      </c>
      <c r="J68" s="92">
        <f t="shared" ca="1" si="22"/>
        <v>463981911.98787922</v>
      </c>
      <c r="K68" s="61" t="str">
        <f ca="1">IFERROR(OFFSET(INDIRECT($H$3 &amp; "!A125"), 12, 0), "")</f>
        <v>썬더토큰</v>
      </c>
      <c r="L68" s="44">
        <f t="shared" ca="1" si="18"/>
        <v>21.7</v>
      </c>
      <c r="M68" s="83">
        <f t="shared" ca="1" si="19"/>
        <v>-2.69058296E-2</v>
      </c>
      <c r="N68" s="92">
        <f t="shared" ca="1" si="23"/>
        <v>443211987.09477752</v>
      </c>
      <c r="O68" s="61" t="str">
        <f ca="1">IFERROR(OFFSET(INDIRECT($H$3 &amp; "!A152"), 12, 0), "")</f>
        <v>보라</v>
      </c>
      <c r="P68" s="44">
        <f t="shared" ca="1" si="20"/>
        <v>302</v>
      </c>
      <c r="Q68" s="83">
        <f t="shared" ca="1" si="21"/>
        <v>-2.5806451599999999E-2</v>
      </c>
      <c r="R68" s="92">
        <f t="shared" ca="1" si="24"/>
        <v>34501262.537711859</v>
      </c>
    </row>
    <row r="69" spans="1:18">
      <c r="A69" s="45" t="s">
        <v>195</v>
      </c>
      <c r="B69" s="11" t="s">
        <v>196</v>
      </c>
      <c r="C69" s="101">
        <v>21.7</v>
      </c>
      <c r="D69" s="98">
        <v>-2.69058296E-2</v>
      </c>
      <c r="E69" s="99">
        <v>443211987.09477752</v>
      </c>
      <c r="F69" s="40"/>
      <c r="G69" s="61" t="str">
        <f ca="1">IFERROR(OFFSET(INDIRECT($H$3 &amp; "!A179"), 13, 0), "")</f>
        <v>애드엑스</v>
      </c>
      <c r="H69" s="44">
        <f t="shared" ca="1" si="25"/>
        <v>1560</v>
      </c>
      <c r="I69" s="83">
        <f t="shared" ca="1" si="26"/>
        <v>-3.7037037000000002E-2</v>
      </c>
      <c r="J69" s="92">
        <f t="shared" ca="1" si="22"/>
        <v>2024779.96689676</v>
      </c>
      <c r="K69" s="61" t="str">
        <f ca="1">IFERROR(OFFSET(INDIRECT($H$3 &amp; "!A125"), 13, 0), "")</f>
        <v>에브리피디아</v>
      </c>
      <c r="L69" s="44">
        <f t="shared" ca="1" si="18"/>
        <v>27.2</v>
      </c>
      <c r="M69" s="83">
        <f t="shared" ca="1" si="19"/>
        <v>7.4074073999999997E-3</v>
      </c>
      <c r="N69" s="92">
        <f t="shared" ca="1" si="23"/>
        <v>589220610.58466542</v>
      </c>
      <c r="O69" s="61" t="str">
        <f ca="1">IFERROR(OFFSET(INDIRECT($H$3 &amp; "!A152"), 13, 0), "")</f>
        <v>하이브</v>
      </c>
      <c r="P69" s="44">
        <f t="shared" ca="1" si="20"/>
        <v>745</v>
      </c>
      <c r="Q69" s="83">
        <f t="shared" ca="1" si="21"/>
        <v>-4.6094750300000001E-2</v>
      </c>
      <c r="R69" s="92">
        <f t="shared" ca="1" si="24"/>
        <v>16340377.16434516</v>
      </c>
    </row>
    <row r="70" spans="1:18">
      <c r="A70" s="45" t="s">
        <v>117</v>
      </c>
      <c r="B70" s="11" t="s">
        <v>118</v>
      </c>
      <c r="C70" s="101">
        <v>6710</v>
      </c>
      <c r="D70" s="98">
        <v>-2.7536231899999999E-2</v>
      </c>
      <c r="E70" s="99">
        <v>584692.41300943005</v>
      </c>
      <c r="F70" s="40"/>
      <c r="G70" s="61" t="str">
        <f ca="1">IFERROR(OFFSET(INDIRECT($H$3 &amp; "!A179"), 14, 0), "")</f>
        <v>퀴즈톡</v>
      </c>
      <c r="H70" s="44">
        <f t="shared" ca="1" si="25"/>
        <v>93.7</v>
      </c>
      <c r="I70" s="83">
        <f t="shared" ca="1" si="26"/>
        <v>-2.1299255000000001E-3</v>
      </c>
      <c r="J70" s="96">
        <f t="shared" ca="1" si="22"/>
        <v>282360019.50610638</v>
      </c>
      <c r="K70" s="63" t="str">
        <f ca="1">IFERROR(OFFSET(INDIRECT($H$3 &amp; "!A125"), 14, 0), "")</f>
        <v>트웰브쉽스</v>
      </c>
      <c r="L70" s="49">
        <f t="shared" ca="1" si="18"/>
        <v>28.1</v>
      </c>
      <c r="M70" s="84">
        <f t="shared" ca="1" si="19"/>
        <v>-1.0563380299999999E-2</v>
      </c>
      <c r="N70" s="96">
        <f t="shared" ca="1" si="23"/>
        <v>238051539.22893155</v>
      </c>
      <c r="O70" s="63" t="str">
        <f ca="1">IFERROR(OFFSET(INDIRECT($H$3 &amp; "!A152"), 14, 0), "")</f>
        <v>트론</v>
      </c>
      <c r="P70" s="49">
        <f t="shared" ca="1" si="20"/>
        <v>153</v>
      </c>
      <c r="Q70" s="84">
        <f t="shared" ca="1" si="21"/>
        <v>-2.5477706999999999E-2</v>
      </c>
      <c r="R70" s="96">
        <f t="shared" ca="1" si="24"/>
        <v>341718880.60158932</v>
      </c>
    </row>
    <row r="71" spans="1:18">
      <c r="A71" s="45" t="s">
        <v>205</v>
      </c>
      <c r="B71" s="11" t="s">
        <v>206</v>
      </c>
      <c r="C71" s="101">
        <v>37760</v>
      </c>
      <c r="D71" s="98">
        <v>-2.7556013399999999E-2</v>
      </c>
      <c r="E71" s="99">
        <v>241093.24707596001</v>
      </c>
      <c r="F71" s="40"/>
      <c r="G71" s="65" t="str">
        <f ca="1">IFERROR(OFFSET(INDIRECT($H$3 &amp; "!A179"), 15, 0), "")</f>
        <v>스트라이크</v>
      </c>
      <c r="H71" s="50">
        <f t="shared" ca="1" si="25"/>
        <v>76720</v>
      </c>
      <c r="I71" s="86">
        <f t="shared" ca="1" si="26"/>
        <v>-3.8114343000000002E-2</v>
      </c>
      <c r="J71" s="105">
        <f t="shared" ca="1" si="22"/>
        <v>185760.77242672001</v>
      </c>
      <c r="K71" s="61" t="str">
        <f ca="1">IFERROR(OFFSET(INDIRECT($H$3 &amp; "!A125"), 15, 0), "")</f>
        <v>옵저버</v>
      </c>
      <c r="L71" s="44">
        <f t="shared" ca="1" si="18"/>
        <v>31.5</v>
      </c>
      <c r="M71" s="83">
        <f t="shared" ca="1" si="19"/>
        <v>-3.3742331299999997E-2</v>
      </c>
      <c r="N71" s="105">
        <f t="shared" ca="1" si="23"/>
        <v>463981911.98787922</v>
      </c>
      <c r="O71" s="61" t="str">
        <f ca="1">IFERROR(OFFSET(INDIRECT($H$3 &amp; "!A152"), 15, 0), "")</f>
        <v>룸네트워크</v>
      </c>
      <c r="P71" s="44">
        <f t="shared" ca="1" si="20"/>
        <v>181</v>
      </c>
      <c r="Q71" s="83">
        <f t="shared" ca="1" si="21"/>
        <v>-3.7234042600000003E-2</v>
      </c>
      <c r="R71" s="105">
        <f t="shared" ca="1" si="24"/>
        <v>18042776.993536711</v>
      </c>
    </row>
    <row r="72" spans="1:18">
      <c r="A72" s="45" t="s">
        <v>235</v>
      </c>
      <c r="B72" s="11" t="s">
        <v>236</v>
      </c>
      <c r="C72" s="101">
        <v>76.099999999999994</v>
      </c>
      <c r="D72" s="98">
        <v>-2.80970626E-2</v>
      </c>
      <c r="E72" s="99">
        <v>110259576.18673055</v>
      </c>
      <c r="F72" s="40"/>
      <c r="G72" s="61" t="str">
        <f ca="1">IFERROR(OFFSET(INDIRECT($H$3 &amp; "!A179"), 16, 0), "")</f>
        <v>코박토큰</v>
      </c>
      <c r="H72" s="44">
        <f t="shared" ca="1" si="25"/>
        <v>9735</v>
      </c>
      <c r="I72" s="83">
        <f t="shared" ca="1" si="26"/>
        <v>-4.1830708699999997E-2</v>
      </c>
      <c r="J72" s="92">
        <f t="shared" ca="1" si="22"/>
        <v>2146307.9573280602</v>
      </c>
      <c r="K72" s="61" t="str">
        <f ca="1">IFERROR(OFFSET(INDIRECT($H$3 &amp; "!A125"), 16, 0), "")</f>
        <v>퀴즈톡</v>
      </c>
      <c r="L72" s="44">
        <f t="shared" ca="1" si="18"/>
        <v>93.7</v>
      </c>
      <c r="M72" s="83">
        <f t="shared" ca="1" si="19"/>
        <v>-2.1299255000000001E-3</v>
      </c>
      <c r="N72" s="92">
        <f t="shared" ca="1" si="23"/>
        <v>282360019.50610638</v>
      </c>
      <c r="O72" s="61" t="str">
        <f ca="1">IFERROR(OFFSET(INDIRECT($H$3 &amp; "!A152"), 16, 0), "")</f>
        <v>피르마체인</v>
      </c>
      <c r="P72" s="44">
        <f t="shared" ca="1" si="20"/>
        <v>213</v>
      </c>
      <c r="Q72" s="83">
        <f t="shared" ca="1" si="21"/>
        <v>-2.29357798E-2</v>
      </c>
      <c r="R72" s="92">
        <f t="shared" ca="1" si="24"/>
        <v>26499533.634734701</v>
      </c>
    </row>
    <row r="73" spans="1:18">
      <c r="A73" s="45" t="s">
        <v>147</v>
      </c>
      <c r="B73" s="11" t="s">
        <v>148</v>
      </c>
      <c r="C73" s="101">
        <v>207</v>
      </c>
      <c r="D73" s="98">
        <v>-2.8169014100000001E-2</v>
      </c>
      <c r="E73" s="99">
        <v>42027628.399845898</v>
      </c>
      <c r="F73" s="40"/>
      <c r="G73" s="61" t="str">
        <f ca="1">IFERROR(OFFSET(INDIRECT($H$3 &amp; "!A179"), 17, 0), "")</f>
        <v>엑시인피니티</v>
      </c>
      <c r="H73" s="44">
        <f t="shared" ca="1" si="25"/>
        <v>11320</v>
      </c>
      <c r="I73" s="83">
        <f t="shared" ca="1" si="26"/>
        <v>-2.3295944799999999E-2</v>
      </c>
      <c r="J73" s="92">
        <f t="shared" ca="1" si="22"/>
        <v>2380765.75337849</v>
      </c>
      <c r="K73" s="61" t="str">
        <f ca="1">IFERROR(OFFSET(INDIRECT($H$3 &amp; "!A125"), 17, 0), "")</f>
        <v>아이오에스티</v>
      </c>
      <c r="L73" s="44">
        <f t="shared" ca="1" si="18"/>
        <v>76.7</v>
      </c>
      <c r="M73" s="83">
        <f t="shared" ca="1" si="19"/>
        <v>-2.04342273E-2</v>
      </c>
      <c r="N73" s="92">
        <f t="shared" ca="1" si="23"/>
        <v>103850378.45740891</v>
      </c>
      <c r="O73" s="61" t="str">
        <f ca="1">IFERROR(OFFSET(INDIRECT($H$3 &amp; "!A152"), 17, 0), "")</f>
        <v>칠리즈</v>
      </c>
      <c r="P73" s="44">
        <f t="shared" ca="1" si="20"/>
        <v>635</v>
      </c>
      <c r="Q73" s="83">
        <f t="shared" ca="1" si="21"/>
        <v>-3.7878787900000002E-2</v>
      </c>
      <c r="R73" s="92">
        <f t="shared" ca="1" si="24"/>
        <v>89174319.353555486</v>
      </c>
    </row>
    <row r="74" spans="1:18">
      <c r="A74" s="45" t="s">
        <v>259</v>
      </c>
      <c r="B74" s="11" t="s">
        <v>260</v>
      </c>
      <c r="C74" s="101">
        <v>136</v>
      </c>
      <c r="D74" s="98">
        <v>-2.85714286E-2</v>
      </c>
      <c r="E74" s="99">
        <v>112747368.0024419</v>
      </c>
      <c r="F74" s="40"/>
      <c r="G74" s="61" t="str">
        <f ca="1">IFERROR(OFFSET(INDIRECT($H$3 &amp; "!A179"), 18, 0), "")</f>
        <v>아이오에스티</v>
      </c>
      <c r="H74" s="44">
        <f t="shared" ca="1" si="25"/>
        <v>76.7</v>
      </c>
      <c r="I74" s="83">
        <f t="shared" ca="1" si="26"/>
        <v>-2.04342273E-2</v>
      </c>
      <c r="J74" s="92">
        <f t="shared" ca="1" si="22"/>
        <v>103850378.45740891</v>
      </c>
      <c r="K74" s="61" t="str">
        <f ca="1">IFERROR(OFFSET(INDIRECT($H$3 &amp; "!A125"), 18, 0), "")</f>
        <v>스톰엑스</v>
      </c>
      <c r="L74" s="44">
        <f t="shared" ca="1" si="18"/>
        <v>68</v>
      </c>
      <c r="M74" s="83">
        <f t="shared" ca="1" si="19"/>
        <v>-4.7619047599999999E-2</v>
      </c>
      <c r="N74" s="92">
        <f t="shared" ca="1" si="23"/>
        <v>390908521.83650172</v>
      </c>
      <c r="O74" s="61" t="str">
        <f ca="1">IFERROR(OFFSET(INDIRECT($H$3 &amp; "!A152"), 18, 0), "")</f>
        <v>아인스타이늄</v>
      </c>
      <c r="P74" s="44">
        <f t="shared" ca="1" si="20"/>
        <v>581</v>
      </c>
      <c r="Q74" s="83">
        <f t="shared" ca="1" si="21"/>
        <v>-3.3277870199999997E-2</v>
      </c>
      <c r="R74" s="92">
        <f t="shared" ca="1" si="24"/>
        <v>15512250.509519549</v>
      </c>
    </row>
    <row r="75" spans="1:18" ht="17.25" thickBot="1">
      <c r="A75" s="45" t="s">
        <v>56</v>
      </c>
      <c r="B75" s="11" t="s">
        <v>57</v>
      </c>
      <c r="C75" s="101">
        <v>407</v>
      </c>
      <c r="D75" s="98">
        <v>-2.86396181E-2</v>
      </c>
      <c r="E75" s="99">
        <v>78628291.30113712</v>
      </c>
      <c r="F75" s="40"/>
      <c r="G75" s="62" t="str">
        <f ca="1">IFERROR(OFFSET(INDIRECT($H$3 &amp; "!A179"), 19, 0), "")</f>
        <v>스톰엑스</v>
      </c>
      <c r="H75" s="42">
        <f t="shared" ca="1" si="25"/>
        <v>68</v>
      </c>
      <c r="I75" s="85">
        <f t="shared" ca="1" si="26"/>
        <v>-4.7619047599999999E-2</v>
      </c>
      <c r="J75" s="93">
        <f t="shared" ca="1" si="22"/>
        <v>390908521.83650172</v>
      </c>
      <c r="K75" s="62">
        <f ca="1">IFERROR(OFFSET(INDIRECT($H$3 &amp; "!A125"), 19, 0), "")</f>
        <v>0</v>
      </c>
      <c r="L75" s="42" t="str">
        <f t="shared" ca="1" si="18"/>
        <v/>
      </c>
      <c r="M75" s="85" t="str">
        <f t="shared" ca="1" si="19"/>
        <v/>
      </c>
      <c r="N75" s="93" t="str">
        <f t="shared" ca="1" si="23"/>
        <v/>
      </c>
      <c r="O75" s="62" t="str">
        <f ca="1">IFERROR(OFFSET(INDIRECT($H$3 &amp; "!A152"), 19, 0), "")</f>
        <v>아더</v>
      </c>
      <c r="P75" s="42">
        <f t="shared" ca="1" si="20"/>
        <v>462</v>
      </c>
      <c r="Q75" s="85">
        <f t="shared" ca="1" si="21"/>
        <v>-4.1493775900000002E-2</v>
      </c>
      <c r="R75" s="93">
        <f t="shared" ca="1" si="24"/>
        <v>18317394.660448302</v>
      </c>
    </row>
    <row r="76" spans="1:18">
      <c r="A76" s="45" t="s">
        <v>60</v>
      </c>
      <c r="B76" s="11" t="s">
        <v>61</v>
      </c>
      <c r="C76" s="101">
        <v>1695</v>
      </c>
      <c r="D76" s="98">
        <v>-2.86532951E-2</v>
      </c>
      <c r="E76" s="99">
        <v>14720319.171468129</v>
      </c>
      <c r="F76" s="40"/>
      <c r="G76" s="40"/>
      <c r="H76" s="40"/>
      <c r="I76" s="40"/>
    </row>
    <row r="77" spans="1:18">
      <c r="A77" s="45" t="s">
        <v>275</v>
      </c>
      <c r="B77" s="11" t="s">
        <v>276</v>
      </c>
      <c r="C77" s="101">
        <v>4135</v>
      </c>
      <c r="D77" s="98">
        <v>-2.9342723000000001E-2</v>
      </c>
      <c r="E77" s="99">
        <v>894448.25732384995</v>
      </c>
      <c r="F77" s="40"/>
      <c r="G77" s="40"/>
      <c r="H77" s="40"/>
      <c r="I77" s="40"/>
    </row>
    <row r="78" spans="1:18">
      <c r="A78" s="45" t="s">
        <v>73</v>
      </c>
      <c r="B78" s="11" t="s">
        <v>74</v>
      </c>
      <c r="C78" s="101">
        <v>27500</v>
      </c>
      <c r="D78" s="98">
        <v>-2.96400847E-2</v>
      </c>
      <c r="E78" s="99">
        <v>137926.85809785</v>
      </c>
      <c r="F78" s="40"/>
      <c r="G78" s="40"/>
      <c r="H78" s="40"/>
      <c r="I78" s="40"/>
    </row>
    <row r="79" spans="1:18">
      <c r="A79" s="45" t="s">
        <v>127</v>
      </c>
      <c r="B79" s="11" t="s">
        <v>128</v>
      </c>
      <c r="C79" s="101">
        <v>621</v>
      </c>
      <c r="D79" s="98">
        <v>-2.9687499999999999E-2</v>
      </c>
      <c r="E79" s="99">
        <v>5863874.0773193501</v>
      </c>
      <c r="F79" s="40"/>
      <c r="G79" s="40"/>
      <c r="H79" s="40"/>
      <c r="I79" s="40"/>
    </row>
    <row r="80" spans="1:18">
      <c r="A80" s="45" t="s">
        <v>93</v>
      </c>
      <c r="B80" s="11" t="s">
        <v>94</v>
      </c>
      <c r="C80" s="101">
        <v>113200</v>
      </c>
      <c r="D80" s="98">
        <v>-2.9991430999999999E-2</v>
      </c>
      <c r="E80" s="99">
        <v>583687.52879321994</v>
      </c>
      <c r="F80" s="40"/>
      <c r="G80" s="40"/>
      <c r="H80" s="40"/>
      <c r="I80" s="40"/>
    </row>
    <row r="81" spans="1:9">
      <c r="A81" s="45" t="s">
        <v>225</v>
      </c>
      <c r="B81" s="11" t="s">
        <v>226</v>
      </c>
      <c r="C81" s="101">
        <v>539</v>
      </c>
      <c r="D81" s="98">
        <v>-3.05755396E-2</v>
      </c>
      <c r="E81" s="99">
        <v>10478311.41856325</v>
      </c>
      <c r="F81" s="40"/>
      <c r="G81" s="40"/>
      <c r="H81" s="40"/>
      <c r="I81" s="40"/>
    </row>
    <row r="82" spans="1:9">
      <c r="A82" s="45" t="s">
        <v>161</v>
      </c>
      <c r="B82" s="11" t="s">
        <v>162</v>
      </c>
      <c r="C82" s="101">
        <v>2180</v>
      </c>
      <c r="D82" s="98">
        <v>-3.1111111100000002E-2</v>
      </c>
      <c r="E82" s="99">
        <v>7426718.84667823</v>
      </c>
      <c r="F82" s="40"/>
      <c r="G82" s="40"/>
      <c r="H82" s="40"/>
      <c r="I82" s="40"/>
    </row>
    <row r="83" spans="1:9">
      <c r="A83" s="45" t="s">
        <v>199</v>
      </c>
      <c r="B83" s="11" t="s">
        <v>200</v>
      </c>
      <c r="C83" s="101">
        <v>401</v>
      </c>
      <c r="D83" s="98">
        <v>-3.1400966199999998E-2</v>
      </c>
      <c r="E83" s="99">
        <v>13921848.65385622</v>
      </c>
      <c r="F83" s="40"/>
      <c r="G83" s="40"/>
      <c r="H83" s="40"/>
      <c r="I83" s="40"/>
    </row>
    <row r="84" spans="1:9">
      <c r="A84" s="45" t="s">
        <v>143</v>
      </c>
      <c r="B84" s="11" t="s">
        <v>144</v>
      </c>
      <c r="C84" s="101">
        <v>9385</v>
      </c>
      <c r="D84" s="98">
        <v>-3.1475748200000001E-2</v>
      </c>
      <c r="E84" s="99">
        <v>1006898.62139491</v>
      </c>
      <c r="F84" s="40"/>
      <c r="G84" s="40"/>
      <c r="H84" s="40"/>
      <c r="I84" s="40"/>
    </row>
    <row r="85" spans="1:9">
      <c r="A85" s="45" t="s">
        <v>181</v>
      </c>
      <c r="B85" s="11" t="s">
        <v>182</v>
      </c>
      <c r="C85" s="101">
        <v>487</v>
      </c>
      <c r="D85" s="98">
        <v>-3.1809145099999998E-2</v>
      </c>
      <c r="E85" s="99">
        <v>7143729.0193606699</v>
      </c>
      <c r="F85" s="40"/>
      <c r="G85" s="40"/>
      <c r="H85" s="40"/>
      <c r="I85" s="40"/>
    </row>
    <row r="86" spans="1:9">
      <c r="A86" s="45" t="s">
        <v>71</v>
      </c>
      <c r="B86" s="11" t="s">
        <v>72</v>
      </c>
      <c r="C86" s="101">
        <v>36.5</v>
      </c>
      <c r="D86" s="98">
        <v>-3.1830238699999999E-2</v>
      </c>
      <c r="E86" s="99">
        <v>140169839.95943981</v>
      </c>
      <c r="F86" s="40"/>
      <c r="G86" s="40"/>
      <c r="H86" s="40"/>
      <c r="I86" s="40"/>
    </row>
    <row r="87" spans="1:9">
      <c r="A87" s="45" t="s">
        <v>115</v>
      </c>
      <c r="B87" s="11" t="s">
        <v>116</v>
      </c>
      <c r="C87" s="101">
        <v>696</v>
      </c>
      <c r="D87" s="98">
        <v>-3.1988873399999999E-2</v>
      </c>
      <c r="E87" s="99">
        <v>8506154.7536750101</v>
      </c>
      <c r="F87" s="40"/>
      <c r="G87" s="40"/>
      <c r="H87" s="40"/>
      <c r="I87" s="40"/>
    </row>
    <row r="88" spans="1:9">
      <c r="A88" s="45" t="s">
        <v>265</v>
      </c>
      <c r="B88" s="11" t="s">
        <v>266</v>
      </c>
      <c r="C88" s="101">
        <v>93.3</v>
      </c>
      <c r="D88" s="98">
        <v>-3.21576763E-2</v>
      </c>
      <c r="E88" s="99">
        <v>91245036.217700973</v>
      </c>
      <c r="F88" s="40"/>
      <c r="G88" s="40"/>
      <c r="H88" s="40"/>
      <c r="I88" s="40"/>
    </row>
    <row r="89" spans="1:9">
      <c r="A89" s="45" t="s">
        <v>97</v>
      </c>
      <c r="B89" s="11" t="s">
        <v>98</v>
      </c>
      <c r="C89" s="101">
        <v>6715</v>
      </c>
      <c r="D89" s="98">
        <v>-3.2420749300000003E-2</v>
      </c>
      <c r="E89" s="99">
        <v>1766259.49233611</v>
      </c>
      <c r="F89" s="40"/>
      <c r="G89" s="40"/>
      <c r="H89" s="40"/>
      <c r="I89" s="40"/>
    </row>
    <row r="90" spans="1:9">
      <c r="A90" s="45" t="s">
        <v>239</v>
      </c>
      <c r="B90" s="11" t="s">
        <v>240</v>
      </c>
      <c r="C90" s="101">
        <v>207</v>
      </c>
      <c r="D90" s="98">
        <v>-3.27102804E-2</v>
      </c>
      <c r="E90" s="99">
        <v>39800406.528868102</v>
      </c>
      <c r="F90" s="40"/>
      <c r="G90" s="40"/>
      <c r="H90" s="40"/>
      <c r="I90" s="40"/>
    </row>
    <row r="91" spans="1:9">
      <c r="A91" s="45" t="s">
        <v>167</v>
      </c>
      <c r="B91" s="11" t="s">
        <v>168</v>
      </c>
      <c r="C91" s="101">
        <v>205</v>
      </c>
      <c r="D91" s="98">
        <v>-3.3018867899999998E-2</v>
      </c>
      <c r="E91" s="99">
        <v>94883752.82667169</v>
      </c>
      <c r="F91" s="40"/>
      <c r="G91" s="40"/>
      <c r="H91" s="40"/>
      <c r="I91" s="40"/>
    </row>
    <row r="92" spans="1:9">
      <c r="A92" s="45" t="s">
        <v>91</v>
      </c>
      <c r="B92" s="11" t="s">
        <v>92</v>
      </c>
      <c r="C92" s="101">
        <v>1900</v>
      </c>
      <c r="D92" s="98">
        <v>-3.3078880400000003E-2</v>
      </c>
      <c r="E92" s="99">
        <v>301793899.04262596</v>
      </c>
      <c r="F92" s="40"/>
      <c r="G92" s="40"/>
      <c r="H92" s="40"/>
      <c r="I92" s="40"/>
    </row>
    <row r="93" spans="1:9">
      <c r="A93" s="45" t="s">
        <v>251</v>
      </c>
      <c r="B93" s="11" t="s">
        <v>252</v>
      </c>
      <c r="C93" s="101">
        <v>581</v>
      </c>
      <c r="D93" s="98">
        <v>-3.3277870199999997E-2</v>
      </c>
      <c r="E93" s="99">
        <v>15512250.509519549</v>
      </c>
      <c r="F93" s="40"/>
      <c r="G93" s="40"/>
      <c r="H93" s="40"/>
      <c r="I93" s="40"/>
    </row>
    <row r="94" spans="1:9">
      <c r="A94" s="45" t="s">
        <v>107</v>
      </c>
      <c r="B94" s="11" t="s">
        <v>108</v>
      </c>
      <c r="C94" s="101">
        <v>49320</v>
      </c>
      <c r="D94" s="98">
        <v>-3.3699059599999998E-2</v>
      </c>
      <c r="E94" s="99">
        <v>448086.43341042998</v>
      </c>
      <c r="F94" s="40"/>
      <c r="G94" s="40"/>
      <c r="H94" s="40"/>
      <c r="I94" s="40"/>
    </row>
    <row r="95" spans="1:9">
      <c r="A95" s="45" t="s">
        <v>217</v>
      </c>
      <c r="B95" s="11" t="s">
        <v>218</v>
      </c>
      <c r="C95" s="101">
        <v>31.5</v>
      </c>
      <c r="D95" s="98">
        <v>-3.3742331299999997E-2</v>
      </c>
      <c r="E95" s="99">
        <v>463981911.98787922</v>
      </c>
      <c r="F95" s="40"/>
      <c r="G95" s="40"/>
      <c r="H95" s="40"/>
      <c r="I95" s="40"/>
    </row>
    <row r="96" spans="1:9">
      <c r="A96" s="45" t="s">
        <v>163</v>
      </c>
      <c r="B96" s="11" t="s">
        <v>164</v>
      </c>
      <c r="C96" s="101">
        <v>25930</v>
      </c>
      <c r="D96" s="98">
        <v>-3.3904620000000003E-2</v>
      </c>
      <c r="E96" s="99">
        <v>222168.72717299999</v>
      </c>
      <c r="F96" s="40"/>
      <c r="G96" s="40"/>
      <c r="H96" s="40"/>
      <c r="I96" s="40"/>
    </row>
    <row r="97" spans="1:9">
      <c r="A97" s="45" t="s">
        <v>179</v>
      </c>
      <c r="B97" s="11" t="s">
        <v>180</v>
      </c>
      <c r="C97" s="101">
        <v>4695</v>
      </c>
      <c r="D97" s="98">
        <v>-3.3950617299999999E-2</v>
      </c>
      <c r="E97" s="99">
        <v>3479719.8911182</v>
      </c>
      <c r="F97" s="40"/>
      <c r="G97" s="40"/>
      <c r="H97" s="40"/>
      <c r="I97" s="40"/>
    </row>
    <row r="98" spans="1:9">
      <c r="A98" s="45" t="s">
        <v>271</v>
      </c>
      <c r="B98" s="11" t="s">
        <v>272</v>
      </c>
      <c r="C98" s="101">
        <v>2405</v>
      </c>
      <c r="D98" s="98">
        <v>-3.4136546199999999E-2</v>
      </c>
      <c r="E98" s="99">
        <v>3667827.68996053</v>
      </c>
      <c r="F98" s="40"/>
      <c r="G98" s="40"/>
      <c r="H98" s="40"/>
      <c r="I98" s="40"/>
    </row>
    <row r="99" spans="1:9">
      <c r="A99" s="45" t="s">
        <v>113</v>
      </c>
      <c r="B99" s="11" t="s">
        <v>114</v>
      </c>
      <c r="C99" s="101">
        <v>13180</v>
      </c>
      <c r="D99" s="98">
        <v>-3.4432234399999997E-2</v>
      </c>
      <c r="E99" s="99">
        <v>477473.63246286998</v>
      </c>
      <c r="F99" s="40"/>
      <c r="G99" s="40"/>
      <c r="H99" s="40"/>
      <c r="I99" s="40"/>
    </row>
    <row r="100" spans="1:9">
      <c r="A100" s="45" t="s">
        <v>255</v>
      </c>
      <c r="B100" s="11" t="s">
        <v>256</v>
      </c>
      <c r="C100" s="101">
        <v>265</v>
      </c>
      <c r="D100" s="98">
        <v>-3.6363636400000003E-2</v>
      </c>
      <c r="E100" s="99">
        <v>12504561.03856148</v>
      </c>
      <c r="F100" s="40"/>
      <c r="G100" s="40"/>
      <c r="H100" s="40"/>
      <c r="I100" s="40"/>
    </row>
    <row r="101" spans="1:9">
      <c r="A101" s="45" t="s">
        <v>81</v>
      </c>
      <c r="B101" s="11" t="s">
        <v>82</v>
      </c>
      <c r="C101" s="101">
        <v>1560</v>
      </c>
      <c r="D101" s="98">
        <v>-3.7037037000000002E-2</v>
      </c>
      <c r="E101" s="99">
        <v>2024779.96689676</v>
      </c>
      <c r="F101" s="40"/>
      <c r="G101" s="40"/>
      <c r="H101" s="40"/>
      <c r="I101" s="40"/>
    </row>
    <row r="102" spans="1:9">
      <c r="A102" s="45" t="s">
        <v>263</v>
      </c>
      <c r="B102" s="11" t="s">
        <v>264</v>
      </c>
      <c r="C102" s="101">
        <v>181</v>
      </c>
      <c r="D102" s="98">
        <v>-3.7234042600000003E-2</v>
      </c>
      <c r="E102" s="99">
        <v>18042776.993536711</v>
      </c>
      <c r="F102" s="40"/>
      <c r="G102" s="40"/>
      <c r="H102" s="40"/>
      <c r="I102" s="40"/>
    </row>
    <row r="103" spans="1:9">
      <c r="A103" s="45" t="s">
        <v>245</v>
      </c>
      <c r="B103" s="11" t="s">
        <v>246</v>
      </c>
      <c r="C103" s="101">
        <v>435</v>
      </c>
      <c r="D103" s="98">
        <v>-3.7610619499999998E-2</v>
      </c>
      <c r="E103" s="99">
        <v>15778377.608329421</v>
      </c>
      <c r="F103" s="40"/>
      <c r="G103" s="40"/>
      <c r="H103" s="40"/>
      <c r="I103" s="40"/>
    </row>
    <row r="104" spans="1:9">
      <c r="A104" s="45" t="s">
        <v>203</v>
      </c>
      <c r="B104" s="11" t="s">
        <v>204</v>
      </c>
      <c r="C104" s="101">
        <v>9970</v>
      </c>
      <c r="D104" s="98">
        <v>-3.76447876E-2</v>
      </c>
      <c r="E104" s="99">
        <v>12635819.79487611</v>
      </c>
      <c r="F104" s="40"/>
      <c r="G104" s="40"/>
      <c r="H104" s="40"/>
      <c r="I104" s="40"/>
    </row>
    <row r="105" spans="1:9">
      <c r="A105" s="45" t="s">
        <v>281</v>
      </c>
      <c r="B105" s="11" t="s">
        <v>282</v>
      </c>
      <c r="C105" s="101">
        <v>178</v>
      </c>
      <c r="D105" s="98">
        <v>-3.7837837800000003E-2</v>
      </c>
      <c r="E105" s="99">
        <v>24140096.879714958</v>
      </c>
      <c r="F105" s="40"/>
      <c r="G105" s="40"/>
      <c r="H105" s="40"/>
      <c r="I105" s="40"/>
    </row>
    <row r="106" spans="1:9">
      <c r="A106" s="45" t="s">
        <v>87</v>
      </c>
      <c r="B106" s="11" t="s">
        <v>88</v>
      </c>
      <c r="C106" s="101">
        <v>635</v>
      </c>
      <c r="D106" s="98">
        <v>-3.7878787900000002E-2</v>
      </c>
      <c r="E106" s="99">
        <v>89174319.353555486</v>
      </c>
      <c r="F106" s="40"/>
      <c r="G106" s="40"/>
      <c r="H106" s="40"/>
      <c r="I106" s="40"/>
    </row>
    <row r="107" spans="1:9">
      <c r="A107" s="45" t="s">
        <v>149</v>
      </c>
      <c r="B107" s="11" t="s">
        <v>150</v>
      </c>
      <c r="C107" s="101">
        <v>5830</v>
      </c>
      <c r="D107" s="98">
        <v>-3.7953795399999997E-2</v>
      </c>
      <c r="E107" s="99">
        <v>7928912.9618172804</v>
      </c>
      <c r="F107" s="40"/>
      <c r="G107" s="40"/>
      <c r="H107" s="40"/>
      <c r="I107" s="40"/>
    </row>
    <row r="108" spans="1:9">
      <c r="A108" s="45" t="s">
        <v>189</v>
      </c>
      <c r="B108" s="11" t="s">
        <v>190</v>
      </c>
      <c r="C108" s="101">
        <v>76720</v>
      </c>
      <c r="D108" s="98">
        <v>-3.8114343000000002E-2</v>
      </c>
      <c r="E108" s="99">
        <v>185760.77242672001</v>
      </c>
      <c r="F108" s="40"/>
      <c r="G108" s="40"/>
      <c r="H108" s="40"/>
      <c r="I108" s="40"/>
    </row>
    <row r="109" spans="1:9">
      <c r="A109" s="45" t="s">
        <v>169</v>
      </c>
      <c r="B109" s="11" t="s">
        <v>170</v>
      </c>
      <c r="C109" s="101">
        <v>528</v>
      </c>
      <c r="D109" s="98">
        <v>-3.8251366100000003E-2</v>
      </c>
      <c r="E109" s="46">
        <v>26136127.24639447</v>
      </c>
    </row>
    <row r="110" spans="1:9">
      <c r="A110" s="45" t="s">
        <v>183</v>
      </c>
      <c r="B110" s="11" t="s">
        <v>184</v>
      </c>
      <c r="C110" s="101">
        <v>2600</v>
      </c>
      <c r="D110" s="98">
        <v>-3.8817005500000001E-2</v>
      </c>
      <c r="E110" s="46">
        <v>1422649.9404662901</v>
      </c>
    </row>
    <row r="111" spans="1:9">
      <c r="A111" s="45" t="s">
        <v>231</v>
      </c>
      <c r="B111" s="11" t="s">
        <v>232</v>
      </c>
      <c r="C111" s="101">
        <v>194</v>
      </c>
      <c r="D111" s="98">
        <v>-3.9603960399999999E-2</v>
      </c>
      <c r="E111" s="46">
        <v>44361191.889687523</v>
      </c>
    </row>
    <row r="112" spans="1:9">
      <c r="A112" s="45" t="s">
        <v>283</v>
      </c>
      <c r="B112" s="11" t="s">
        <v>284</v>
      </c>
      <c r="C112" s="101">
        <v>462</v>
      </c>
      <c r="D112" s="98">
        <v>-4.1493775900000002E-2</v>
      </c>
      <c r="E112" s="46">
        <v>18317394.660448302</v>
      </c>
    </row>
    <row r="113" spans="1:5">
      <c r="A113" s="45" t="s">
        <v>66</v>
      </c>
      <c r="B113" s="11" t="s">
        <v>67</v>
      </c>
      <c r="C113" s="101">
        <v>9735</v>
      </c>
      <c r="D113" s="98">
        <v>-4.1830708699999997E-2</v>
      </c>
      <c r="E113" s="46">
        <v>2146307.9573280602</v>
      </c>
    </row>
    <row r="114" spans="1:5">
      <c r="A114" s="45" t="s">
        <v>249</v>
      </c>
      <c r="B114" s="11" t="s">
        <v>250</v>
      </c>
      <c r="C114" s="101">
        <v>240</v>
      </c>
      <c r="D114" s="98">
        <v>-4.3824701200000003E-2</v>
      </c>
      <c r="E114" s="46">
        <v>40423505.036088139</v>
      </c>
    </row>
    <row r="115" spans="1:5">
      <c r="A115" s="45" t="s">
        <v>165</v>
      </c>
      <c r="B115" s="11" t="s">
        <v>166</v>
      </c>
      <c r="C115" s="101">
        <v>2485</v>
      </c>
      <c r="D115" s="98">
        <v>-4.6065259099999999E-2</v>
      </c>
      <c r="E115" s="46">
        <v>2515166.4393983502</v>
      </c>
    </row>
    <row r="116" spans="1:5">
      <c r="A116" s="45" t="s">
        <v>257</v>
      </c>
      <c r="B116" s="11" t="s">
        <v>258</v>
      </c>
      <c r="C116" s="101">
        <v>745</v>
      </c>
      <c r="D116" s="98">
        <v>-4.6094750300000001E-2</v>
      </c>
      <c r="E116" s="46">
        <v>16340377.16434516</v>
      </c>
    </row>
    <row r="117" spans="1:5">
      <c r="A117" s="45" t="s">
        <v>125</v>
      </c>
      <c r="B117" s="11" t="s">
        <v>126</v>
      </c>
      <c r="C117" s="101">
        <v>68</v>
      </c>
      <c r="D117" s="98">
        <v>-4.7619047599999999E-2</v>
      </c>
      <c r="E117" s="46">
        <v>390908521.83650172</v>
      </c>
    </row>
    <row r="118" spans="1:5">
      <c r="A118" s="45" t="s">
        <v>53</v>
      </c>
      <c r="B118" s="11" t="s">
        <v>54</v>
      </c>
      <c r="C118" s="101">
        <v>369</v>
      </c>
      <c r="D118" s="98">
        <v>-5.1413881699999997E-2</v>
      </c>
      <c r="E118" s="46">
        <v>19380065.143520851</v>
      </c>
    </row>
    <row r="119" spans="1:5">
      <c r="A119" s="45"/>
      <c r="B119" s="11"/>
      <c r="C119" s="101"/>
      <c r="D119" s="98"/>
      <c r="E119" s="46"/>
    </row>
    <row r="120" spans="1:5">
      <c r="A120" s="45"/>
      <c r="B120" s="11"/>
      <c r="C120" s="101"/>
      <c r="D120" s="98"/>
      <c r="E120" s="46"/>
    </row>
    <row r="121" spans="1:5">
      <c r="A121" s="45"/>
      <c r="B121" s="11"/>
      <c r="C121" s="101"/>
      <c r="D121" s="98"/>
      <c r="E121" s="46"/>
    </row>
    <row r="122" spans="1:5">
      <c r="A122" s="45"/>
      <c r="B122" s="11"/>
      <c r="C122" s="101"/>
      <c r="D122" s="98"/>
      <c r="E122" s="46"/>
    </row>
    <row r="123" spans="1:5">
      <c r="A123" s="45"/>
      <c r="B123" s="11"/>
      <c r="C123" s="101"/>
      <c r="D123" s="98"/>
      <c r="E123" s="46"/>
    </row>
    <row r="124" spans="1:5">
      <c r="A124" s="45"/>
      <c r="B124" s="11"/>
      <c r="C124" s="101"/>
      <c r="D124" s="98"/>
      <c r="E124" s="46"/>
    </row>
    <row r="125" spans="1:5">
      <c r="A125" s="45"/>
      <c r="B125" s="11"/>
      <c r="C125" s="101"/>
      <c r="D125" s="98"/>
      <c r="E125" s="46"/>
    </row>
    <row r="126" spans="1:5">
      <c r="A126" s="45"/>
      <c r="B126" s="11"/>
      <c r="C126" s="101"/>
      <c r="D126" s="98"/>
      <c r="E126" s="46"/>
    </row>
    <row r="127" spans="1:5">
      <c r="A127" s="45"/>
      <c r="B127" s="11"/>
      <c r="C127" s="101"/>
      <c r="D127" s="98"/>
      <c r="E127" s="46"/>
    </row>
    <row r="128" spans="1:5">
      <c r="A128" s="45"/>
      <c r="B128" s="11"/>
      <c r="C128" s="101"/>
      <c r="D128" s="98"/>
      <c r="E128" s="46"/>
    </row>
    <row r="129" spans="1:5">
      <c r="A129" s="45"/>
      <c r="B129" s="11"/>
      <c r="C129" s="101"/>
      <c r="D129" s="98"/>
      <c r="E129" s="46"/>
    </row>
    <row r="130" spans="1:5">
      <c r="A130" s="45"/>
      <c r="B130" s="11"/>
      <c r="C130" s="101"/>
      <c r="D130" s="98"/>
      <c r="E130" s="46"/>
    </row>
    <row r="131" spans="1:5">
      <c r="A131" s="45"/>
      <c r="B131" s="11"/>
      <c r="C131" s="101"/>
      <c r="D131" s="98"/>
      <c r="E131" s="46"/>
    </row>
    <row r="132" spans="1:5">
      <c r="A132" s="45"/>
      <c r="B132" s="11"/>
      <c r="C132" s="101"/>
      <c r="D132" s="98"/>
      <c r="E132" s="46"/>
    </row>
    <row r="133" spans="1:5">
      <c r="A133" s="45"/>
      <c r="B133" s="11"/>
      <c r="C133" s="101"/>
      <c r="D133" s="98"/>
      <c r="E133" s="46"/>
    </row>
    <row r="134" spans="1:5">
      <c r="A134" s="45"/>
      <c r="B134" s="11"/>
      <c r="C134" s="101"/>
      <c r="D134" s="98"/>
      <c r="E134" s="46"/>
    </row>
    <row r="135" spans="1:5">
      <c r="A135" s="45"/>
      <c r="B135" s="11"/>
      <c r="C135" s="101"/>
      <c r="D135" s="98"/>
      <c r="E135" s="46"/>
    </row>
    <row r="136" spans="1:5">
      <c r="A136" s="45"/>
      <c r="B136" s="11"/>
      <c r="C136" s="101"/>
      <c r="D136" s="98"/>
      <c r="E136" s="46"/>
    </row>
    <row r="137" spans="1:5">
      <c r="A137" s="45"/>
      <c r="B137" s="11"/>
      <c r="C137" s="101"/>
      <c r="D137" s="98"/>
      <c r="E137" s="46"/>
    </row>
    <row r="138" spans="1:5">
      <c r="A138" s="45"/>
      <c r="B138" s="11"/>
      <c r="C138" s="101"/>
      <c r="D138" s="98"/>
      <c r="E138" s="46"/>
    </row>
    <row r="139" spans="1:5">
      <c r="A139" s="45"/>
      <c r="B139" s="11"/>
      <c r="C139" s="101"/>
      <c r="D139" s="98"/>
      <c r="E139" s="46"/>
    </row>
    <row r="140" spans="1:5">
      <c r="A140" s="45"/>
      <c r="B140" s="11"/>
      <c r="C140" s="101"/>
      <c r="D140" s="98"/>
      <c r="E140" s="46"/>
    </row>
    <row r="141" spans="1:5">
      <c r="A141" s="45"/>
      <c r="B141" s="11"/>
      <c r="C141" s="101"/>
      <c r="D141" s="98"/>
      <c r="E141" s="46"/>
    </row>
    <row r="142" spans="1:5">
      <c r="A142" s="45"/>
      <c r="B142" s="11"/>
      <c r="C142" s="101"/>
      <c r="D142" s="98"/>
      <c r="E142" s="46"/>
    </row>
    <row r="143" spans="1:5">
      <c r="A143" s="45"/>
      <c r="B143" s="11"/>
      <c r="C143" s="101"/>
      <c r="D143" s="98"/>
      <c r="E143" s="46"/>
    </row>
    <row r="144" spans="1:5">
      <c r="A144" s="45"/>
      <c r="B144" s="11"/>
      <c r="C144" s="101"/>
      <c r="D144" s="98"/>
      <c r="E144" s="46"/>
    </row>
    <row r="145" spans="1:5">
      <c r="A145" s="45"/>
      <c r="B145" s="11"/>
      <c r="C145" s="101"/>
      <c r="D145" s="98"/>
      <c r="E145" s="46"/>
    </row>
    <row r="146" spans="1:5">
      <c r="A146" s="45"/>
      <c r="B146" s="11"/>
      <c r="C146" s="101"/>
      <c r="D146" s="98"/>
      <c r="E146" s="46"/>
    </row>
    <row r="147" spans="1:5">
      <c r="A147" s="45"/>
      <c r="B147" s="11"/>
      <c r="C147" s="101"/>
      <c r="D147" s="98"/>
      <c r="E147" s="46"/>
    </row>
    <row r="148" spans="1:5">
      <c r="A148" s="45"/>
      <c r="B148" s="11"/>
      <c r="C148" s="101"/>
      <c r="D148" s="98"/>
      <c r="E148" s="46"/>
    </row>
    <row r="149" spans="1:5">
      <c r="A149" s="45"/>
      <c r="B149" s="11"/>
      <c r="C149" s="101"/>
      <c r="D149" s="98"/>
      <c r="E149" s="46"/>
    </row>
    <row r="150" spans="1:5">
      <c r="A150" s="45"/>
      <c r="B150" s="11"/>
      <c r="C150" s="101"/>
      <c r="D150" s="98"/>
      <c r="E150" s="46"/>
    </row>
    <row r="151" spans="1:5">
      <c r="A151" s="45"/>
      <c r="B151" s="11"/>
      <c r="C151" s="101"/>
      <c r="D151" s="98"/>
      <c r="E151" s="46"/>
    </row>
    <row r="152" spans="1:5">
      <c r="A152" s="45"/>
      <c r="B152" s="11"/>
      <c r="C152" s="101"/>
      <c r="D152" s="98"/>
      <c r="E152" s="46"/>
    </row>
    <row r="153" spans="1:5">
      <c r="A153" s="45"/>
      <c r="B153" s="11"/>
      <c r="C153" s="101"/>
      <c r="D153" s="98"/>
      <c r="E153" s="46"/>
    </row>
    <row r="154" spans="1:5">
      <c r="A154" s="45"/>
      <c r="B154" s="11"/>
      <c r="C154" s="101"/>
      <c r="D154" s="98"/>
      <c r="E154" s="46"/>
    </row>
    <row r="155" spans="1:5">
      <c r="A155" s="45"/>
      <c r="B155" s="11"/>
      <c r="C155" s="101"/>
      <c r="D155" s="98"/>
      <c r="E155" s="46"/>
    </row>
    <row r="156" spans="1:5">
      <c r="A156" s="45"/>
      <c r="B156" s="11"/>
      <c r="C156" s="101"/>
      <c r="D156" s="98"/>
      <c r="E156" s="46"/>
    </row>
    <row r="157" spans="1:5">
      <c r="A157" s="45"/>
      <c r="B157" s="11"/>
      <c r="C157" s="101"/>
      <c r="D157" s="98"/>
      <c r="E157" s="46"/>
    </row>
    <row r="158" spans="1:5">
      <c r="A158" s="45"/>
      <c r="B158" s="11"/>
      <c r="C158" s="101"/>
      <c r="D158" s="98"/>
      <c r="E158" s="46"/>
    </row>
    <row r="159" spans="1:5">
      <c r="A159" s="45"/>
      <c r="B159" s="11"/>
      <c r="C159" s="101"/>
      <c r="D159" s="98"/>
      <c r="E159" s="46"/>
    </row>
    <row r="160" spans="1:5">
      <c r="A160" s="45"/>
      <c r="B160" s="11"/>
      <c r="C160" s="101"/>
      <c r="D160" s="98"/>
      <c r="E160" s="46"/>
    </row>
    <row r="161" spans="1:5">
      <c r="A161" s="45"/>
      <c r="B161" s="11"/>
      <c r="C161" s="101"/>
      <c r="D161" s="98"/>
      <c r="E161" s="46"/>
    </row>
    <row r="162" spans="1:5">
      <c r="A162" s="45"/>
      <c r="B162" s="11"/>
      <c r="C162" s="101"/>
      <c r="D162" s="98"/>
      <c r="E162" s="46"/>
    </row>
    <row r="163" spans="1:5">
      <c r="A163" s="45"/>
      <c r="B163" s="11"/>
      <c r="C163" s="101"/>
      <c r="D163" s="98"/>
      <c r="E163" s="46"/>
    </row>
    <row r="164" spans="1:5">
      <c r="A164" s="45"/>
      <c r="B164" s="11"/>
      <c r="C164" s="101"/>
      <c r="D164" s="98"/>
      <c r="E164" s="46"/>
    </row>
    <row r="165" spans="1:5">
      <c r="A165" s="45"/>
      <c r="B165" s="11"/>
      <c r="C165" s="101"/>
      <c r="D165" s="98"/>
      <c r="E165" s="46"/>
    </row>
    <row r="166" spans="1:5">
      <c r="A166" s="45"/>
      <c r="B166" s="11"/>
      <c r="C166" s="101"/>
      <c r="D166" s="98"/>
      <c r="E166" s="46"/>
    </row>
    <row r="167" spans="1:5">
      <c r="A167" s="45"/>
      <c r="B167" s="11"/>
      <c r="C167" s="101"/>
      <c r="D167" s="98"/>
      <c r="E167" s="46"/>
    </row>
    <row r="168" spans="1:5">
      <c r="A168" s="45"/>
      <c r="B168" s="11"/>
      <c r="C168" s="101"/>
      <c r="D168" s="98"/>
      <c r="E168" s="46"/>
    </row>
    <row r="169" spans="1:5">
      <c r="A169" s="45"/>
      <c r="B169" s="11"/>
      <c r="C169" s="101"/>
      <c r="D169" s="98"/>
      <c r="E169" s="46"/>
    </row>
    <row r="170" spans="1:5">
      <c r="A170" s="45"/>
      <c r="B170" s="11"/>
      <c r="C170" s="101"/>
      <c r="D170" s="98"/>
      <c r="E170" s="46"/>
    </row>
    <row r="171" spans="1:5">
      <c r="A171" s="45"/>
      <c r="B171" s="11"/>
      <c r="C171" s="101"/>
      <c r="D171" s="98"/>
      <c r="E171" s="46"/>
    </row>
    <row r="172" spans="1:5">
      <c r="A172" s="45"/>
      <c r="B172" s="11"/>
      <c r="C172" s="101"/>
      <c r="D172" s="98"/>
      <c r="E172" s="46"/>
    </row>
    <row r="173" spans="1:5">
      <c r="A173" s="45"/>
      <c r="B173" s="11"/>
      <c r="C173" s="101"/>
      <c r="D173" s="98"/>
      <c r="E173" s="46"/>
    </row>
    <row r="174" spans="1:5">
      <c r="A174" s="45"/>
      <c r="B174" s="11"/>
      <c r="C174" s="101"/>
      <c r="D174" s="98"/>
      <c r="E174" s="46"/>
    </row>
    <row r="175" spans="1:5">
      <c r="A175" s="45"/>
      <c r="B175" s="11"/>
      <c r="C175" s="101"/>
      <c r="D175" s="98"/>
      <c r="E175" s="46"/>
    </row>
    <row r="176" spans="1:5">
      <c r="A176" s="45"/>
      <c r="B176" s="11"/>
      <c r="C176" s="101"/>
      <c r="D176" s="98"/>
      <c r="E176" s="46"/>
    </row>
    <row r="177" spans="1:5">
      <c r="A177" s="45"/>
      <c r="B177" s="11"/>
      <c r="C177" s="101"/>
      <c r="D177" s="98"/>
      <c r="E177" s="46"/>
    </row>
    <row r="178" spans="1:5">
      <c r="A178" s="45"/>
      <c r="B178" s="11"/>
      <c r="C178" s="101"/>
      <c r="D178" s="98"/>
      <c r="E178" s="46"/>
    </row>
    <row r="179" spans="1:5">
      <c r="A179" s="45"/>
      <c r="B179" s="11"/>
      <c r="C179" s="101"/>
      <c r="D179" s="98"/>
      <c r="E179" s="46"/>
    </row>
    <row r="180" spans="1:5">
      <c r="A180" s="45"/>
      <c r="B180" s="11"/>
      <c r="C180" s="101"/>
      <c r="D180" s="98"/>
      <c r="E180" s="46"/>
    </row>
    <row r="181" spans="1:5">
      <c r="A181" s="45"/>
      <c r="B181" s="11"/>
      <c r="C181" s="101"/>
      <c r="D181" s="98"/>
      <c r="E181" s="46"/>
    </row>
    <row r="182" spans="1:5">
      <c r="A182" s="45"/>
      <c r="B182" s="11"/>
      <c r="C182" s="101"/>
      <c r="D182" s="98"/>
      <c r="E182" s="46"/>
    </row>
    <row r="183" spans="1:5">
      <c r="A183" s="45"/>
      <c r="B183" s="11"/>
      <c r="C183" s="101"/>
      <c r="D183" s="98"/>
      <c r="E183" s="46"/>
    </row>
    <row r="184" spans="1:5">
      <c r="A184" s="45"/>
      <c r="B184" s="11"/>
      <c r="C184" s="101"/>
      <c r="D184" s="98"/>
      <c r="E184" s="46"/>
    </row>
    <row r="185" spans="1:5">
      <c r="A185" s="45"/>
      <c r="B185" s="11"/>
      <c r="C185" s="101"/>
      <c r="D185" s="98"/>
      <c r="E185" s="46"/>
    </row>
    <row r="186" spans="1:5">
      <c r="A186" s="45"/>
      <c r="B186" s="11"/>
      <c r="C186" s="101"/>
      <c r="D186" s="98"/>
      <c r="E186" s="46"/>
    </row>
    <row r="187" spans="1:5">
      <c r="A187" s="45"/>
      <c r="B187" s="11"/>
      <c r="C187" s="101"/>
      <c r="D187" s="98"/>
      <c r="E187" s="46"/>
    </row>
    <row r="188" spans="1:5">
      <c r="A188" s="45"/>
      <c r="B188" s="11"/>
      <c r="C188" s="101"/>
      <c r="D188" s="98"/>
      <c r="E188" s="46"/>
    </row>
    <row r="189" spans="1:5">
      <c r="A189" s="45"/>
      <c r="B189" s="11"/>
      <c r="C189" s="101"/>
      <c r="D189" s="98"/>
      <c r="E189" s="46"/>
    </row>
    <row r="190" spans="1:5">
      <c r="A190" s="45"/>
      <c r="B190" s="11"/>
      <c r="C190" s="101"/>
      <c r="D190" s="98"/>
      <c r="E190" s="46"/>
    </row>
    <row r="191" spans="1:5">
      <c r="A191" s="45"/>
      <c r="B191" s="11"/>
      <c r="C191" s="101"/>
      <c r="D191" s="98"/>
      <c r="E191" s="46"/>
    </row>
    <row r="192" spans="1:5">
      <c r="A192" s="45"/>
      <c r="B192" s="11"/>
      <c r="C192" s="101"/>
      <c r="D192" s="98"/>
      <c r="E192" s="46"/>
    </row>
    <row r="193" spans="1:5">
      <c r="A193" s="45"/>
      <c r="B193" s="11"/>
      <c r="C193" s="101"/>
      <c r="D193" s="98"/>
      <c r="E193" s="46"/>
    </row>
    <row r="194" spans="1:5">
      <c r="A194" s="45"/>
      <c r="B194" s="11"/>
      <c r="C194" s="101"/>
      <c r="D194" s="98"/>
      <c r="E194" s="46"/>
    </row>
    <row r="195" spans="1:5">
      <c r="A195" s="45"/>
      <c r="B195" s="11"/>
      <c r="C195" s="101"/>
      <c r="D195" s="98"/>
      <c r="E195" s="46"/>
    </row>
    <row r="196" spans="1:5">
      <c r="A196" s="45"/>
      <c r="B196" s="11"/>
      <c r="C196" s="101"/>
      <c r="D196" s="98"/>
      <c r="E196" s="46"/>
    </row>
    <row r="197" spans="1:5">
      <c r="A197" s="45"/>
      <c r="B197" s="11"/>
      <c r="C197" s="101"/>
      <c r="D197" s="98"/>
      <c r="E197" s="46"/>
    </row>
    <row r="198" spans="1:5">
      <c r="A198" s="45"/>
      <c r="B198" s="11"/>
      <c r="C198" s="101"/>
      <c r="D198" s="98"/>
      <c r="E198" s="46"/>
    </row>
    <row r="199" spans="1:5">
      <c r="A199" s="45"/>
      <c r="B199" s="102"/>
      <c r="C199" s="103"/>
      <c r="D199" s="98"/>
      <c r="E199" s="46"/>
    </row>
    <row r="200" spans="1:5" ht="17.25" thickBot="1">
      <c r="A200" s="47"/>
      <c r="B200" s="77"/>
      <c r="C200" s="104"/>
      <c r="D200" s="100"/>
      <c r="E200" s="48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O22" sqref="O22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9" bestFit="1" customWidth="1"/>
    <col min="7" max="7" width="17.375" customWidth="1"/>
    <col min="8" max="8" width="17.5" bestFit="1" customWidth="1"/>
    <col min="10" max="10" width="9" style="81"/>
    <col min="11" max="11" width="17.375" customWidth="1"/>
    <col min="12" max="12" width="17.5" bestFit="1" customWidth="1"/>
    <col min="14" max="14" width="9" style="81"/>
    <col min="15" max="15" width="17.375" customWidth="1"/>
    <col min="16" max="16" width="17.5" bestFit="1" customWidth="1"/>
    <col min="18" max="18" width="9" style="81"/>
  </cols>
  <sheetData>
    <row r="1" spans="1:18" ht="17.25" thickBot="1">
      <c r="A1" s="73" t="s">
        <v>287</v>
      </c>
      <c r="B1" s="75" t="s">
        <v>39</v>
      </c>
      <c r="C1" s="74" t="s">
        <v>37</v>
      </c>
      <c r="D1" s="76" t="s">
        <v>38</v>
      </c>
      <c r="E1" s="97" t="s">
        <v>294</v>
      </c>
    </row>
    <row r="2" spans="1:18" ht="17.25" thickBot="1">
      <c r="A2" s="45" t="s">
        <v>211</v>
      </c>
      <c r="B2" s="11" t="s">
        <v>212</v>
      </c>
      <c r="C2" s="101">
        <v>177</v>
      </c>
      <c r="D2" s="98">
        <v>8.5889570600000006E-2</v>
      </c>
      <c r="E2" s="99">
        <v>2897712431.2304063</v>
      </c>
      <c r="F2" s="40"/>
      <c r="G2" s="59"/>
      <c r="H2" s="40"/>
      <c r="I2" s="40"/>
    </row>
    <row r="3" spans="1:18" ht="17.25" thickBot="1">
      <c r="A3" s="45" t="s">
        <v>145</v>
      </c>
      <c r="B3" s="11" t="s">
        <v>146</v>
      </c>
      <c r="C3" s="101">
        <v>19780</v>
      </c>
      <c r="D3" s="98">
        <v>6.9767441900000005E-2</v>
      </c>
      <c r="E3" s="99">
        <v>7329076.6897662999</v>
      </c>
      <c r="F3" s="40"/>
      <c r="G3" s="190" t="s">
        <v>290</v>
      </c>
      <c r="H3" s="191" t="s">
        <v>299</v>
      </c>
      <c r="I3" s="191"/>
      <c r="K3" s="149" t="s">
        <v>34</v>
      </c>
      <c r="L3" s="150"/>
      <c r="M3" s="150"/>
      <c r="N3" s="151"/>
      <c r="O3" s="149" t="s">
        <v>291</v>
      </c>
      <c r="P3" s="150"/>
      <c r="Q3" s="150"/>
      <c r="R3" s="151"/>
    </row>
    <row r="4" spans="1:18" ht="17.25" thickBot="1">
      <c r="A4" s="45" t="s">
        <v>279</v>
      </c>
      <c r="B4" s="11" t="s">
        <v>280</v>
      </c>
      <c r="C4" s="101">
        <v>1705</v>
      </c>
      <c r="D4" s="98">
        <v>4.60122699E-2</v>
      </c>
      <c r="E4" s="99">
        <v>16210583.65364182</v>
      </c>
      <c r="F4" s="40"/>
      <c r="G4" s="184"/>
      <c r="H4" s="192"/>
      <c r="I4" s="192"/>
      <c r="K4" s="183" t="s">
        <v>55</v>
      </c>
      <c r="L4" s="195">
        <f ca="1">NOW()</f>
        <v>44318.651957638889</v>
      </c>
      <c r="M4" s="196"/>
      <c r="N4" s="197"/>
      <c r="O4" s="185" t="s">
        <v>55</v>
      </c>
      <c r="P4" s="195">
        <f ca="1">NOW()</f>
        <v>44318.651957638889</v>
      </c>
      <c r="Q4" s="196"/>
      <c r="R4" s="197"/>
    </row>
    <row r="5" spans="1:18" ht="17.25" thickBot="1">
      <c r="A5" s="45" t="s">
        <v>201</v>
      </c>
      <c r="B5" s="11" t="s">
        <v>202</v>
      </c>
      <c r="C5" s="101">
        <v>230</v>
      </c>
      <c r="D5" s="98">
        <v>4.5454545499999999E-2</v>
      </c>
      <c r="E5" s="99">
        <v>226834065.94746763</v>
      </c>
      <c r="F5" s="40"/>
      <c r="K5" s="184"/>
      <c r="L5" s="56" t="s">
        <v>58</v>
      </c>
      <c r="M5" s="79" t="s">
        <v>59</v>
      </c>
      <c r="N5" s="75" t="s">
        <v>294</v>
      </c>
      <c r="O5" s="170"/>
      <c r="P5" s="56" t="s">
        <v>58</v>
      </c>
      <c r="Q5" s="79" t="s">
        <v>59</v>
      </c>
      <c r="R5" s="97" t="s">
        <v>294</v>
      </c>
    </row>
    <row r="6" spans="1:18" ht="17.25" thickBot="1">
      <c r="A6" s="45" t="s">
        <v>233</v>
      </c>
      <c r="B6" s="11" t="s">
        <v>234</v>
      </c>
      <c r="C6" s="101">
        <v>1500</v>
      </c>
      <c r="D6" s="98">
        <v>4.5296167200000001E-2</v>
      </c>
      <c r="E6" s="99">
        <v>28671853.4628742</v>
      </c>
      <c r="F6" s="40"/>
      <c r="G6" s="149" t="s">
        <v>52</v>
      </c>
      <c r="H6" s="150"/>
      <c r="I6" s="151"/>
      <c r="K6" s="60" t="str">
        <f ca="1">IFERROR(OFFSET(INDIRECT($H$3 &amp; "!A17"), 0, 0), "")</f>
        <v>룸네트워크</v>
      </c>
      <c r="L6" s="43">
        <f t="shared" ref="L6:L25" ca="1" si="0">_xlfn.IFNA(VLOOKUP(K6, $B$2:$D$200, 2, FALSE), "")</f>
        <v>181</v>
      </c>
      <c r="M6" s="82">
        <f t="shared" ref="M6:M25" ca="1" si="1">_xlfn.IFNA(VLOOKUP(K6, $B$2:$D$200, 3, FALSE), "")</f>
        <v>-3.7234042600000003E-2</v>
      </c>
      <c r="N6" s="91">
        <f ca="1">_xlfn.IFNA(VLOOKUP(K6, $B$2:$E$200, 4, FALSE), "")</f>
        <v>18042776.993536711</v>
      </c>
      <c r="O6" s="78" t="s">
        <v>212</v>
      </c>
      <c r="P6" s="43">
        <f t="shared" ref="P6:P25" si="2">_xlfn.IFNA(VLOOKUP(O6, $B$2:$D$200, 2, FALSE), "")</f>
        <v>177</v>
      </c>
      <c r="Q6" s="82">
        <f t="shared" ref="Q6:Q25" si="3">_xlfn.IFNA(VLOOKUP(O6, $B$2:$D$200, 3, FALSE), "")</f>
        <v>8.5889570600000006E-2</v>
      </c>
      <c r="R6" s="91">
        <f>_xlfn.IFNA(VLOOKUP(O6, $B$2:$E$200, 4, FALSE), "")</f>
        <v>2897712431.2304063</v>
      </c>
    </row>
    <row r="7" spans="1:18">
      <c r="A7" s="45" t="s">
        <v>131</v>
      </c>
      <c r="B7" s="11" t="s">
        <v>132</v>
      </c>
      <c r="C7" s="101">
        <v>254</v>
      </c>
      <c r="D7" s="98">
        <v>4.5267489700000003E-2</v>
      </c>
      <c r="E7" s="99">
        <v>1141674136.6626649</v>
      </c>
      <c r="F7" s="40"/>
      <c r="G7" s="174" t="s">
        <v>36</v>
      </c>
      <c r="H7" s="175"/>
      <c r="I7" s="176"/>
      <c r="K7" s="61" t="str">
        <f ca="1">IFERROR(OFFSET(INDIRECT($H$3 &amp; "!A17"), 1, 0), "")</f>
        <v>피르마체인</v>
      </c>
      <c r="L7" s="44">
        <f t="shared" ca="1" si="0"/>
        <v>213</v>
      </c>
      <c r="M7" s="83">
        <f t="shared" ca="1" si="1"/>
        <v>-2.29357798E-2</v>
      </c>
      <c r="N7" s="92">
        <f t="shared" ref="N7:N25" ca="1" si="4">_xlfn.IFNA(VLOOKUP(K7, $B$2:$E$200, 4, FALSE), "")</f>
        <v>26499533.634734701</v>
      </c>
      <c r="O7" s="94" t="s">
        <v>146</v>
      </c>
      <c r="P7" s="44">
        <f t="shared" si="2"/>
        <v>19780</v>
      </c>
      <c r="Q7" s="83">
        <f t="shared" si="3"/>
        <v>6.9767441900000005E-2</v>
      </c>
      <c r="R7" s="92">
        <f t="shared" ref="R7:R25" si="5">_xlfn.IFNA(VLOOKUP(O7, $B$2:$E$200, 4, FALSE), "")</f>
        <v>7329076.6897662999</v>
      </c>
    </row>
    <row r="8" spans="1:18" ht="17.25" thickBot="1">
      <c r="A8" s="45" t="s">
        <v>261</v>
      </c>
      <c r="B8" s="11" t="s">
        <v>262</v>
      </c>
      <c r="C8" s="101">
        <v>1115</v>
      </c>
      <c r="D8" s="98">
        <v>4.2056074800000003E-2</v>
      </c>
      <c r="E8" s="99">
        <v>22654663.308202811</v>
      </c>
      <c r="F8" s="40"/>
      <c r="G8" s="168"/>
      <c r="H8" s="169"/>
      <c r="I8" s="170"/>
      <c r="K8" s="61" t="str">
        <f ca="1">IFERROR(OFFSET(INDIRECT($H$3 &amp; "!A17"), 2, 0), "")</f>
        <v>칠리즈</v>
      </c>
      <c r="L8" s="44">
        <f t="shared" ca="1" si="0"/>
        <v>635</v>
      </c>
      <c r="M8" s="83">
        <f t="shared" ca="1" si="1"/>
        <v>-3.7878787900000002E-2</v>
      </c>
      <c r="N8" s="92">
        <f t="shared" ca="1" si="4"/>
        <v>89174319.353555486</v>
      </c>
      <c r="O8" s="94" t="s">
        <v>280</v>
      </c>
      <c r="P8" s="44">
        <f t="shared" si="2"/>
        <v>1705</v>
      </c>
      <c r="Q8" s="83">
        <f t="shared" si="3"/>
        <v>4.60122699E-2</v>
      </c>
      <c r="R8" s="92">
        <f t="shared" si="5"/>
        <v>16210583.65364182</v>
      </c>
    </row>
    <row r="9" spans="1:18" ht="17.25" thickBot="1">
      <c r="A9" s="45" t="s">
        <v>187</v>
      </c>
      <c r="B9" s="11" t="s">
        <v>188</v>
      </c>
      <c r="C9" s="101">
        <v>18480</v>
      </c>
      <c r="D9" s="98">
        <v>2.5527192000000001E-2</v>
      </c>
      <c r="E9" s="99">
        <v>8597495.1855589692</v>
      </c>
      <c r="F9" s="40"/>
      <c r="G9" s="55" t="s">
        <v>38</v>
      </c>
      <c r="H9" s="150" t="s">
        <v>37</v>
      </c>
      <c r="I9" s="151"/>
      <c r="K9" s="61" t="str">
        <f ca="1">IFERROR(OFFSET(INDIRECT($H$3 &amp; "!A17"), 3, 0), "")</f>
        <v>아인스타이늄</v>
      </c>
      <c r="L9" s="44">
        <f t="shared" ca="1" si="0"/>
        <v>581</v>
      </c>
      <c r="M9" s="83">
        <f t="shared" ca="1" si="1"/>
        <v>-3.3277870199999997E-2</v>
      </c>
      <c r="N9" s="92">
        <f t="shared" ca="1" si="4"/>
        <v>15512250.509519549</v>
      </c>
      <c r="O9" s="94" t="s">
        <v>202</v>
      </c>
      <c r="P9" s="44">
        <f t="shared" si="2"/>
        <v>230</v>
      </c>
      <c r="Q9" s="83">
        <f t="shared" si="3"/>
        <v>4.5454545499999999E-2</v>
      </c>
      <c r="R9" s="92">
        <f t="shared" si="5"/>
        <v>226834065.94746763</v>
      </c>
    </row>
    <row r="10" spans="1:18">
      <c r="A10" s="45" t="s">
        <v>121</v>
      </c>
      <c r="B10" s="11" t="s">
        <v>122</v>
      </c>
      <c r="C10" s="101">
        <v>129</v>
      </c>
      <c r="D10" s="98">
        <v>2.3809523799999999E-2</v>
      </c>
      <c r="E10" s="99">
        <v>262631915.51925102</v>
      </c>
      <c r="F10" s="40"/>
      <c r="G10" s="193">
        <f>_xlfn.IFNA(VLOOKUP(G7, $B$2:$D$200, 3, FALSE), "-")</f>
        <v>-1.22521687E-2</v>
      </c>
      <c r="H10" s="186">
        <f>_xlfn.IFNA(VLOOKUP(G7, $B$2:$D$200, 2, FALSE), "-")</f>
        <v>68203000</v>
      </c>
      <c r="I10" s="187"/>
      <c r="K10" s="63" t="str">
        <f ca="1">IFERROR(OFFSET(INDIRECT($H$3 &amp; "!A17"), 4, 0), "")</f>
        <v>아더</v>
      </c>
      <c r="L10" s="49">
        <f t="shared" ca="1" si="0"/>
        <v>462</v>
      </c>
      <c r="M10" s="84">
        <f t="shared" ca="1" si="1"/>
        <v>-4.1493775900000002E-2</v>
      </c>
      <c r="N10" s="96">
        <f t="shared" ca="1" si="4"/>
        <v>18317394.660448302</v>
      </c>
      <c r="O10" s="94" t="s">
        <v>234</v>
      </c>
      <c r="P10" s="44">
        <f t="shared" si="2"/>
        <v>1500</v>
      </c>
      <c r="Q10" s="83">
        <f t="shared" si="3"/>
        <v>4.5296167200000001E-2</v>
      </c>
      <c r="R10" s="96">
        <f t="shared" si="5"/>
        <v>28671853.4628742</v>
      </c>
    </row>
    <row r="11" spans="1:18" ht="17.25" thickBot="1">
      <c r="A11" s="45" t="s">
        <v>267</v>
      </c>
      <c r="B11" s="11" t="s">
        <v>268</v>
      </c>
      <c r="C11" s="101">
        <v>101</v>
      </c>
      <c r="D11" s="98">
        <v>2.2267206500000001E-2</v>
      </c>
      <c r="E11" s="99">
        <v>254218741.8910861</v>
      </c>
      <c r="F11" s="40"/>
      <c r="G11" s="194"/>
      <c r="H11" s="188"/>
      <c r="I11" s="189"/>
      <c r="K11" s="61">
        <f ca="1">IFERROR(OFFSET(INDIRECT($H$3 &amp; "!A17"), 5, 0), "")</f>
        <v>0</v>
      </c>
      <c r="L11" s="44" t="str">
        <f t="shared" ca="1" si="0"/>
        <v/>
      </c>
      <c r="M11" s="83" t="str">
        <f t="shared" ca="1" si="1"/>
        <v/>
      </c>
      <c r="N11" s="105" t="str">
        <f t="shared" ca="1" si="4"/>
        <v/>
      </c>
      <c r="O11" s="95" t="s">
        <v>132</v>
      </c>
      <c r="P11" s="50">
        <f t="shared" si="2"/>
        <v>254</v>
      </c>
      <c r="Q11" s="86">
        <f t="shared" si="3"/>
        <v>4.5267489700000003E-2</v>
      </c>
      <c r="R11" s="105">
        <f t="shared" si="5"/>
        <v>1141674136.6626649</v>
      </c>
    </row>
    <row r="12" spans="1:18" ht="17.25" thickBot="1">
      <c r="A12" s="45" t="s">
        <v>151</v>
      </c>
      <c r="B12" s="11" t="s">
        <v>152</v>
      </c>
      <c r="C12" s="101">
        <v>48.7</v>
      </c>
      <c r="D12" s="98">
        <v>2.0964360599999999E-2</v>
      </c>
      <c r="E12" s="99">
        <v>2166884840.1176963</v>
      </c>
      <c r="F12" s="40"/>
      <c r="K12" s="61">
        <f ca="1">IFERROR(OFFSET(INDIRECT($H$3 &amp; "!A17"), 6, 0), "")</f>
        <v>0</v>
      </c>
      <c r="L12" s="44" t="str">
        <f t="shared" ca="1" si="0"/>
        <v/>
      </c>
      <c r="M12" s="83" t="str">
        <f t="shared" ca="1" si="1"/>
        <v/>
      </c>
      <c r="N12" s="92" t="str">
        <f t="shared" ca="1" si="4"/>
        <v/>
      </c>
      <c r="O12" s="94" t="s">
        <v>262</v>
      </c>
      <c r="P12" s="44">
        <f t="shared" si="2"/>
        <v>1115</v>
      </c>
      <c r="Q12" s="83">
        <f t="shared" si="3"/>
        <v>4.2056074800000003E-2</v>
      </c>
      <c r="R12" s="92">
        <f t="shared" si="5"/>
        <v>22654663.308202811</v>
      </c>
    </row>
    <row r="13" spans="1:18" ht="17.25" thickBot="1">
      <c r="A13" s="45" t="s">
        <v>191</v>
      </c>
      <c r="B13" s="11" t="s">
        <v>192</v>
      </c>
      <c r="C13" s="101">
        <v>1215</v>
      </c>
      <c r="D13" s="98">
        <v>1.67364017E-2</v>
      </c>
      <c r="E13" s="99">
        <v>15831945.322909281</v>
      </c>
      <c r="F13" s="40"/>
      <c r="G13" s="149" t="s">
        <v>70</v>
      </c>
      <c r="H13" s="150"/>
      <c r="I13" s="151"/>
      <c r="K13" s="61">
        <f ca="1">IFERROR(OFFSET(INDIRECT($H$3 &amp; "!A17"), 7, 0), "")</f>
        <v>0</v>
      </c>
      <c r="L13" s="44" t="str">
        <f t="shared" ca="1" si="0"/>
        <v/>
      </c>
      <c r="M13" s="83" t="str">
        <f t="shared" ca="1" si="1"/>
        <v/>
      </c>
      <c r="N13" s="92" t="str">
        <f t="shared" ca="1" si="4"/>
        <v/>
      </c>
      <c r="O13" s="94" t="s">
        <v>188</v>
      </c>
      <c r="P13" s="44">
        <f t="shared" si="2"/>
        <v>18480</v>
      </c>
      <c r="Q13" s="83">
        <f t="shared" si="3"/>
        <v>2.5527192000000001E-2</v>
      </c>
      <c r="R13" s="92">
        <f t="shared" si="5"/>
        <v>8597495.1855589692</v>
      </c>
    </row>
    <row r="14" spans="1:18">
      <c r="A14" s="45" t="s">
        <v>101</v>
      </c>
      <c r="B14" s="11" t="s">
        <v>102</v>
      </c>
      <c r="C14" s="101">
        <v>53980</v>
      </c>
      <c r="D14" s="98">
        <v>1.0861423199999999E-2</v>
      </c>
      <c r="E14" s="99">
        <v>13287765.012609459</v>
      </c>
      <c r="F14" s="40"/>
      <c r="G14" s="174" t="s">
        <v>36</v>
      </c>
      <c r="H14" s="175"/>
      <c r="I14" s="176"/>
      <c r="K14" s="61">
        <f ca="1">IFERROR(OFFSET(INDIRECT($H$3 &amp; "!A17"), 8, 0), "")</f>
        <v>0</v>
      </c>
      <c r="L14" s="44" t="str">
        <f t="shared" ca="1" si="0"/>
        <v/>
      </c>
      <c r="M14" s="83" t="str">
        <f t="shared" ca="1" si="1"/>
        <v/>
      </c>
      <c r="N14" s="92" t="str">
        <f t="shared" ca="1" si="4"/>
        <v/>
      </c>
      <c r="O14" s="94" t="s">
        <v>122</v>
      </c>
      <c r="P14" s="44">
        <f t="shared" si="2"/>
        <v>129</v>
      </c>
      <c r="Q14" s="83">
        <f t="shared" si="3"/>
        <v>2.3809523799999999E-2</v>
      </c>
      <c r="R14" s="92">
        <f t="shared" si="5"/>
        <v>262631915.51925102</v>
      </c>
    </row>
    <row r="15" spans="1:18" ht="17.25" thickBot="1">
      <c r="A15" s="45" t="s">
        <v>62</v>
      </c>
      <c r="B15" s="11" t="s">
        <v>63</v>
      </c>
      <c r="C15" s="101">
        <v>122850</v>
      </c>
      <c r="D15" s="98">
        <v>9.8643649999999999E-3</v>
      </c>
      <c r="E15" s="99">
        <v>1376230.66875921</v>
      </c>
      <c r="F15" s="40"/>
      <c r="G15" s="168"/>
      <c r="H15" s="169"/>
      <c r="I15" s="170"/>
      <c r="K15" s="62">
        <f ca="1">IFERROR(OFFSET(INDIRECT($H$3 &amp; "!A17"), 9, 0), "")</f>
        <v>0</v>
      </c>
      <c r="L15" s="42" t="str">
        <f t="shared" ca="1" si="0"/>
        <v/>
      </c>
      <c r="M15" s="85" t="str">
        <f t="shared" ca="1" si="1"/>
        <v/>
      </c>
      <c r="N15" s="93" t="str">
        <f t="shared" ca="1" si="4"/>
        <v/>
      </c>
      <c r="O15" s="80" t="s">
        <v>268</v>
      </c>
      <c r="P15" s="42">
        <f t="shared" si="2"/>
        <v>101</v>
      </c>
      <c r="Q15" s="85">
        <f t="shared" si="3"/>
        <v>2.2267206500000001E-2</v>
      </c>
      <c r="R15" s="93">
        <f t="shared" si="5"/>
        <v>254218741.8910861</v>
      </c>
    </row>
    <row r="16" spans="1:18" ht="17.25" thickBot="1">
      <c r="A16" s="45" t="s">
        <v>185</v>
      </c>
      <c r="B16" s="11" t="s">
        <v>186</v>
      </c>
      <c r="C16" s="101">
        <v>27.2</v>
      </c>
      <c r="D16" s="98">
        <v>7.4074073999999997E-3</v>
      </c>
      <c r="E16" s="99">
        <v>589220610.58466542</v>
      </c>
      <c r="F16" s="40"/>
      <c r="G16" s="55" t="s">
        <v>38</v>
      </c>
      <c r="H16" s="150" t="s">
        <v>37</v>
      </c>
      <c r="I16" s="151"/>
      <c r="K16" s="60">
        <f ca="1">IFERROR(OFFSET(INDIRECT($H$3 &amp; "!A17"), 10, 0), "")</f>
        <v>0</v>
      </c>
      <c r="L16" s="43" t="str">
        <f t="shared" ca="1" si="0"/>
        <v/>
      </c>
      <c r="M16" s="82" t="str">
        <f t="shared" ca="1" si="1"/>
        <v/>
      </c>
      <c r="N16" s="91" t="str">
        <f t="shared" ca="1" si="4"/>
        <v/>
      </c>
      <c r="O16" s="78" t="s">
        <v>152</v>
      </c>
      <c r="P16" s="43">
        <f t="shared" si="2"/>
        <v>48.7</v>
      </c>
      <c r="Q16" s="82">
        <f t="shared" si="3"/>
        <v>2.0964360599999999E-2</v>
      </c>
      <c r="R16" s="91">
        <f t="shared" si="5"/>
        <v>2166884840.1176963</v>
      </c>
    </row>
    <row r="17" spans="1:18">
      <c r="A17" s="45" t="s">
        <v>207</v>
      </c>
      <c r="B17" s="11" t="s">
        <v>208</v>
      </c>
      <c r="C17" s="101">
        <v>534</v>
      </c>
      <c r="D17" s="98">
        <v>1.8761725999999999E-3</v>
      </c>
      <c r="E17" s="99">
        <v>85918566.099021286</v>
      </c>
      <c r="F17" s="40"/>
      <c r="G17" s="193">
        <f>_xlfn.IFNA(VLOOKUP(G14, $B$2:$D$200, 3, FALSE), "-")</f>
        <v>-1.22521687E-2</v>
      </c>
      <c r="H17" s="186">
        <f>_xlfn.IFNA(VLOOKUP(G14, $B$2:$D$200, 2, FALSE), "-")</f>
        <v>68203000</v>
      </c>
      <c r="I17" s="187"/>
      <c r="K17" s="61">
        <f ca="1">IFERROR(OFFSET(INDIRECT($H$3 &amp; "!A17"), 11, 0), "")</f>
        <v>0</v>
      </c>
      <c r="L17" s="44" t="str">
        <f t="shared" ca="1" si="0"/>
        <v/>
      </c>
      <c r="M17" s="83" t="str">
        <f t="shared" ca="1" si="1"/>
        <v/>
      </c>
      <c r="N17" s="92" t="str">
        <f t="shared" ca="1" si="4"/>
        <v/>
      </c>
      <c r="O17" s="94" t="s">
        <v>192</v>
      </c>
      <c r="P17" s="44">
        <f t="shared" si="2"/>
        <v>1215</v>
      </c>
      <c r="Q17" s="83">
        <f t="shared" si="3"/>
        <v>1.67364017E-2</v>
      </c>
      <c r="R17" s="92">
        <f t="shared" si="5"/>
        <v>15831945.322909281</v>
      </c>
    </row>
    <row r="18" spans="1:18" ht="17.25" thickBot="1">
      <c r="A18" s="45" t="s">
        <v>227</v>
      </c>
      <c r="B18" s="11" t="s">
        <v>228</v>
      </c>
      <c r="C18" s="101">
        <v>20.100000000000001</v>
      </c>
      <c r="D18" s="98">
        <v>0</v>
      </c>
      <c r="E18" s="99">
        <v>1500653379.3103938</v>
      </c>
      <c r="F18" s="40"/>
      <c r="G18" s="194"/>
      <c r="H18" s="188"/>
      <c r="I18" s="189"/>
      <c r="K18" s="61">
        <f ca="1">IFERROR(OFFSET(INDIRECT($H$3 &amp; "!A17"), 12, 0), "")</f>
        <v>0</v>
      </c>
      <c r="L18" s="44" t="str">
        <f t="shared" ca="1" si="0"/>
        <v/>
      </c>
      <c r="M18" s="83" t="str">
        <f t="shared" ca="1" si="1"/>
        <v/>
      </c>
      <c r="N18" s="92" t="str">
        <f t="shared" ca="1" si="4"/>
        <v/>
      </c>
      <c r="O18" s="94" t="s">
        <v>102</v>
      </c>
      <c r="P18" s="44">
        <f t="shared" si="2"/>
        <v>53980</v>
      </c>
      <c r="Q18" s="83">
        <f t="shared" si="3"/>
        <v>1.0861423199999999E-2</v>
      </c>
      <c r="R18" s="92">
        <f t="shared" si="5"/>
        <v>13287765.012609459</v>
      </c>
    </row>
    <row r="19" spans="1:18" ht="17.25" thickBot="1">
      <c r="A19" s="45" t="s">
        <v>111</v>
      </c>
      <c r="B19" s="11" t="s">
        <v>112</v>
      </c>
      <c r="C19" s="101">
        <v>279</v>
      </c>
      <c r="D19" s="98">
        <v>0</v>
      </c>
      <c r="E19" s="99">
        <v>57982779.048899792</v>
      </c>
      <c r="F19" s="40"/>
      <c r="K19" s="61">
        <f ca="1">IFERROR(OFFSET(INDIRECT($H$3 &amp; "!A17"), 13, 0), "")</f>
        <v>0</v>
      </c>
      <c r="L19" s="44" t="str">
        <f t="shared" ca="1" si="0"/>
        <v/>
      </c>
      <c r="M19" s="83" t="str">
        <f t="shared" ca="1" si="1"/>
        <v/>
      </c>
      <c r="N19" s="92" t="str">
        <f t="shared" ca="1" si="4"/>
        <v/>
      </c>
      <c r="O19" s="94" t="s">
        <v>63</v>
      </c>
      <c r="P19" s="44">
        <f t="shared" si="2"/>
        <v>122850</v>
      </c>
      <c r="Q19" s="83">
        <f t="shared" si="3"/>
        <v>9.8643649999999999E-3</v>
      </c>
      <c r="R19" s="92">
        <f t="shared" si="5"/>
        <v>1376230.66875921</v>
      </c>
    </row>
    <row r="20" spans="1:18" ht="17.25" thickBot="1">
      <c r="A20" s="45" t="s">
        <v>229</v>
      </c>
      <c r="B20" s="11" t="s">
        <v>230</v>
      </c>
      <c r="C20" s="101">
        <v>190</v>
      </c>
      <c r="D20" s="98">
        <v>0</v>
      </c>
      <c r="E20" s="99">
        <v>118401089.29655954</v>
      </c>
      <c r="F20" s="40"/>
      <c r="G20" s="149" t="s">
        <v>286</v>
      </c>
      <c r="H20" s="150"/>
      <c r="I20" s="151"/>
      <c r="K20" s="63">
        <f ca="1">IFERROR(OFFSET(INDIRECT($H$3 &amp; "!A17"), 14, 0), "")</f>
        <v>0</v>
      </c>
      <c r="L20" s="49" t="str">
        <f t="shared" ca="1" si="0"/>
        <v/>
      </c>
      <c r="M20" s="84" t="str">
        <f t="shared" ca="1" si="1"/>
        <v/>
      </c>
      <c r="N20" s="96" t="str">
        <f t="shared" ca="1" si="4"/>
        <v/>
      </c>
      <c r="O20" s="94" t="s">
        <v>186</v>
      </c>
      <c r="P20" s="44">
        <f t="shared" si="2"/>
        <v>27.2</v>
      </c>
      <c r="Q20" s="83">
        <f t="shared" si="3"/>
        <v>7.4074073999999997E-3</v>
      </c>
      <c r="R20" s="96">
        <f t="shared" si="5"/>
        <v>589220610.58466542</v>
      </c>
    </row>
    <row r="21" spans="1:18">
      <c r="A21" s="45" t="s">
        <v>253</v>
      </c>
      <c r="B21" s="11" t="s">
        <v>254</v>
      </c>
      <c r="C21" s="101">
        <v>93.7</v>
      </c>
      <c r="D21" s="98">
        <v>-2.1299255000000001E-3</v>
      </c>
      <c r="E21" s="99">
        <v>282360019.50610638</v>
      </c>
      <c r="F21" s="40"/>
      <c r="G21" s="174" t="s">
        <v>36</v>
      </c>
      <c r="H21" s="175"/>
      <c r="I21" s="176"/>
      <c r="K21" s="61">
        <f ca="1">IFERROR(OFFSET(INDIRECT($H$3 &amp; "!A17"), 15, 0), "")</f>
        <v>0</v>
      </c>
      <c r="L21" s="44" t="str">
        <f t="shared" ca="1" si="0"/>
        <v/>
      </c>
      <c r="M21" s="83" t="str">
        <f t="shared" ca="1" si="1"/>
        <v/>
      </c>
      <c r="N21" s="105" t="str">
        <f t="shared" ca="1" si="4"/>
        <v/>
      </c>
      <c r="O21" s="95" t="s">
        <v>208</v>
      </c>
      <c r="P21" s="50">
        <f t="shared" si="2"/>
        <v>534</v>
      </c>
      <c r="Q21" s="86">
        <f t="shared" si="3"/>
        <v>1.8761725999999999E-3</v>
      </c>
      <c r="R21" s="105">
        <f t="shared" si="5"/>
        <v>85918566.099021286</v>
      </c>
    </row>
    <row r="22" spans="1:18" ht="17.25" thickBot="1">
      <c r="A22" s="45" t="s">
        <v>95</v>
      </c>
      <c r="B22" s="11" t="s">
        <v>96</v>
      </c>
      <c r="C22" s="101">
        <v>3490000</v>
      </c>
      <c r="D22" s="98">
        <v>-4.8474479999999999E-3</v>
      </c>
      <c r="E22" s="99">
        <v>62456.563035799998</v>
      </c>
      <c r="F22" s="40"/>
      <c r="G22" s="168"/>
      <c r="H22" s="169"/>
      <c r="I22" s="170"/>
      <c r="K22" s="61">
        <f ca="1">IFERROR(OFFSET(INDIRECT($H$3 &amp; "!A17"), 16, 0), "")</f>
        <v>0</v>
      </c>
      <c r="L22" s="44" t="str">
        <f t="shared" ca="1" si="0"/>
        <v/>
      </c>
      <c r="M22" s="83" t="str">
        <f t="shared" ca="1" si="1"/>
        <v/>
      </c>
      <c r="N22" s="92" t="str">
        <f t="shared" ca="1" si="4"/>
        <v/>
      </c>
      <c r="O22" s="94" t="s">
        <v>228</v>
      </c>
      <c r="P22" s="44">
        <f t="shared" si="2"/>
        <v>20.100000000000001</v>
      </c>
      <c r="Q22" s="83">
        <f t="shared" si="3"/>
        <v>0</v>
      </c>
      <c r="R22" s="92">
        <f t="shared" si="5"/>
        <v>1500653379.3103938</v>
      </c>
    </row>
    <row r="23" spans="1:18" ht="17.25" thickBot="1">
      <c r="A23" s="45" t="s">
        <v>103</v>
      </c>
      <c r="B23" s="11" t="s">
        <v>104</v>
      </c>
      <c r="C23" s="101">
        <v>2140</v>
      </c>
      <c r="D23" s="98">
        <v>-6.9605568E-3</v>
      </c>
      <c r="E23" s="99">
        <v>7310007.7069685301</v>
      </c>
      <c r="F23" s="40"/>
      <c r="G23" s="55" t="s">
        <v>38</v>
      </c>
      <c r="H23" s="150" t="s">
        <v>37</v>
      </c>
      <c r="I23" s="151"/>
      <c r="K23" s="61">
        <f ca="1">IFERROR(OFFSET(INDIRECT($H$3 &amp; "!A17"), 17, 0), "")</f>
        <v>0</v>
      </c>
      <c r="L23" s="44" t="str">
        <f t="shared" ca="1" si="0"/>
        <v/>
      </c>
      <c r="M23" s="83" t="str">
        <f t="shared" ca="1" si="1"/>
        <v/>
      </c>
      <c r="N23" s="92" t="str">
        <f t="shared" ca="1" si="4"/>
        <v/>
      </c>
      <c r="O23" s="94" t="s">
        <v>112</v>
      </c>
      <c r="P23" s="44">
        <f t="shared" si="2"/>
        <v>279</v>
      </c>
      <c r="Q23" s="83">
        <f t="shared" si="3"/>
        <v>0</v>
      </c>
      <c r="R23" s="92">
        <f t="shared" si="5"/>
        <v>57982779.048899792</v>
      </c>
    </row>
    <row r="24" spans="1:18">
      <c r="A24" s="45" t="s">
        <v>79</v>
      </c>
      <c r="B24" s="11" t="s">
        <v>80</v>
      </c>
      <c r="C24" s="101">
        <v>1505</v>
      </c>
      <c r="D24" s="98">
        <v>-9.8684211000000001E-3</v>
      </c>
      <c r="E24" s="99">
        <v>3242741.4447618099</v>
      </c>
      <c r="F24" s="40"/>
      <c r="G24" s="193">
        <f>_xlfn.IFNA(VLOOKUP(G21, $B$2:$D$200, 3, FALSE), "-")</f>
        <v>-1.22521687E-2</v>
      </c>
      <c r="H24" s="186">
        <f>_xlfn.IFNA(VLOOKUP(G21, $B$2:$D$200, 2, FALSE), "-")</f>
        <v>68203000</v>
      </c>
      <c r="I24" s="187"/>
      <c r="K24" s="61">
        <f ca="1">IFERROR(OFFSET(INDIRECT($H$3 &amp; "!A17"), 18, 0), "")</f>
        <v>0</v>
      </c>
      <c r="L24" s="44" t="str">
        <f t="shared" ca="1" si="0"/>
        <v/>
      </c>
      <c r="M24" s="83" t="str">
        <f t="shared" ca="1" si="1"/>
        <v/>
      </c>
      <c r="N24" s="92" t="str">
        <f t="shared" ca="1" si="4"/>
        <v/>
      </c>
      <c r="O24" s="94" t="s">
        <v>230</v>
      </c>
      <c r="P24" s="44">
        <f t="shared" si="2"/>
        <v>190</v>
      </c>
      <c r="Q24" s="83">
        <f t="shared" si="3"/>
        <v>0</v>
      </c>
      <c r="R24" s="92">
        <f t="shared" si="5"/>
        <v>118401089.29655954</v>
      </c>
    </row>
    <row r="25" spans="1:18" ht="17.25" thickBot="1">
      <c r="A25" s="45" t="s">
        <v>68</v>
      </c>
      <c r="B25" s="11" t="s">
        <v>69</v>
      </c>
      <c r="C25" s="101">
        <v>12470</v>
      </c>
      <c r="D25" s="98">
        <v>-1.0317460299999999E-2</v>
      </c>
      <c r="E25" s="99">
        <v>1875612.4348971499</v>
      </c>
      <c r="F25" s="40"/>
      <c r="G25" s="194"/>
      <c r="H25" s="188"/>
      <c r="I25" s="189"/>
      <c r="K25" s="62">
        <f ca="1">IFERROR(OFFSET(INDIRECT($H$3 &amp; "!A17"), 19, 0), "")</f>
        <v>0</v>
      </c>
      <c r="L25" s="42" t="str">
        <f t="shared" ca="1" si="0"/>
        <v/>
      </c>
      <c r="M25" s="85" t="str">
        <f t="shared" ca="1" si="1"/>
        <v/>
      </c>
      <c r="N25" s="93" t="str">
        <f t="shared" ca="1" si="4"/>
        <v/>
      </c>
      <c r="O25" s="80" t="s">
        <v>254</v>
      </c>
      <c r="P25" s="42">
        <f t="shared" si="2"/>
        <v>93.7</v>
      </c>
      <c r="Q25" s="85">
        <f t="shared" si="3"/>
        <v>-2.1299255000000001E-3</v>
      </c>
      <c r="R25" s="93">
        <f t="shared" si="5"/>
        <v>282360019.50610638</v>
      </c>
    </row>
    <row r="26" spans="1:18">
      <c r="A26" s="45" t="s">
        <v>171</v>
      </c>
      <c r="B26" s="11" t="s">
        <v>172</v>
      </c>
      <c r="C26" s="101">
        <v>28.1</v>
      </c>
      <c r="D26" s="98">
        <v>-1.0563380299999999E-2</v>
      </c>
      <c r="E26" s="99">
        <v>238051539.22893155</v>
      </c>
      <c r="F26" s="40"/>
    </row>
    <row r="27" spans="1:18" ht="17.25" thickBot="1">
      <c r="A27" s="45" t="s">
        <v>48</v>
      </c>
      <c r="B27" s="11" t="s">
        <v>49</v>
      </c>
      <c r="C27" s="101">
        <v>68203000</v>
      </c>
      <c r="D27" s="98">
        <v>-1.22521687E-2</v>
      </c>
      <c r="E27" s="99">
        <v>4055.0807157700001</v>
      </c>
      <c r="F27" s="40"/>
    </row>
    <row r="28" spans="1:18" ht="17.25" thickBot="1">
      <c r="A28" s="45" t="s">
        <v>119</v>
      </c>
      <c r="B28" s="11" t="s">
        <v>120</v>
      </c>
      <c r="C28" s="101">
        <v>228</v>
      </c>
      <c r="D28" s="98">
        <v>-1.2987013E-2</v>
      </c>
      <c r="E28" s="99">
        <v>42694907.647046842</v>
      </c>
      <c r="F28" s="40"/>
      <c r="G28" s="149" t="s">
        <v>46</v>
      </c>
      <c r="H28" s="150"/>
      <c r="I28" s="150"/>
      <c r="J28" s="151"/>
      <c r="K28" s="149" t="s">
        <v>44</v>
      </c>
      <c r="L28" s="150"/>
      <c r="M28" s="150"/>
      <c r="N28" s="151"/>
      <c r="O28" s="149" t="s">
        <v>45</v>
      </c>
      <c r="P28" s="150"/>
      <c r="Q28" s="150"/>
      <c r="R28" s="151"/>
    </row>
    <row r="29" spans="1:18" ht="17.25" thickBot="1">
      <c r="A29" s="45" t="s">
        <v>129</v>
      </c>
      <c r="B29" s="11" t="s">
        <v>130</v>
      </c>
      <c r="C29" s="101">
        <v>325100</v>
      </c>
      <c r="D29" s="98">
        <v>-1.3353566000000001E-2</v>
      </c>
      <c r="E29" s="99">
        <v>68075.908245740007</v>
      </c>
      <c r="F29" s="40"/>
      <c r="G29" s="183" t="s">
        <v>55</v>
      </c>
      <c r="H29" s="195">
        <f ca="1">NOW()</f>
        <v>44318.651957638889</v>
      </c>
      <c r="I29" s="196"/>
      <c r="J29" s="197"/>
      <c r="K29" s="185" t="s">
        <v>55</v>
      </c>
      <c r="L29" s="195">
        <f ca="1">NOW()</f>
        <v>44318.651957638889</v>
      </c>
      <c r="M29" s="196"/>
      <c r="N29" s="197"/>
      <c r="O29" s="185" t="s">
        <v>55</v>
      </c>
      <c r="P29" s="195">
        <f ca="1">NOW()</f>
        <v>44318.651957638889</v>
      </c>
      <c r="Q29" s="196"/>
      <c r="R29" s="197"/>
    </row>
    <row r="30" spans="1:18" ht="17.25" thickBot="1">
      <c r="A30" s="45" t="s">
        <v>137</v>
      </c>
      <c r="B30" s="11" t="s">
        <v>138</v>
      </c>
      <c r="C30" s="101">
        <v>43470</v>
      </c>
      <c r="D30" s="98">
        <v>-1.33908307E-2</v>
      </c>
      <c r="E30" s="99">
        <v>529476.13361600996</v>
      </c>
      <c r="F30" s="40"/>
      <c r="G30" s="184"/>
      <c r="H30" s="56" t="s">
        <v>58</v>
      </c>
      <c r="I30" s="79" t="s">
        <v>59</v>
      </c>
      <c r="J30" s="75" t="s">
        <v>294</v>
      </c>
      <c r="K30" s="170"/>
      <c r="L30" s="56" t="s">
        <v>58</v>
      </c>
      <c r="M30" s="79" t="s">
        <v>59</v>
      </c>
      <c r="N30" s="97" t="s">
        <v>294</v>
      </c>
      <c r="O30" s="170"/>
      <c r="P30" s="56" t="s">
        <v>58</v>
      </c>
      <c r="Q30" s="79" t="s">
        <v>59</v>
      </c>
      <c r="R30" s="97" t="s">
        <v>294</v>
      </c>
    </row>
    <row r="31" spans="1:18">
      <c r="A31" s="45" t="s">
        <v>83</v>
      </c>
      <c r="B31" s="11" t="s">
        <v>84</v>
      </c>
      <c r="C31" s="101">
        <v>1590</v>
      </c>
      <c r="D31" s="98">
        <v>-1.5479876199999999E-2</v>
      </c>
      <c r="E31" s="99">
        <v>18874986.52487557</v>
      </c>
      <c r="F31" s="40"/>
      <c r="G31" s="57" t="s">
        <v>212</v>
      </c>
      <c r="H31" s="43">
        <f t="shared" ref="H31:H50" si="6">_xlfn.IFNA(VLOOKUP(G31, $B$2:$D$200, 2, FALSE), "")</f>
        <v>177</v>
      </c>
      <c r="I31" s="82">
        <f t="shared" ref="I31:I50" si="7">_xlfn.IFNA(VLOOKUP(G31, $B$2:$D$200, 3, FALSE), "")</f>
        <v>8.5889570600000006E-2</v>
      </c>
      <c r="J31" s="91">
        <f>_xlfn.IFNA(VLOOKUP(G31, $B$2:$E$200, 4, FALSE), "")</f>
        <v>2897712431.2304063</v>
      </c>
      <c r="K31" s="87" t="s">
        <v>152</v>
      </c>
      <c r="L31" s="43">
        <f t="shared" ref="L31:L50" si="8">_xlfn.IFNA(VLOOKUP(K31, $B$2:$D$200, 2, FALSE), "")</f>
        <v>48.7</v>
      </c>
      <c r="M31" s="82">
        <f t="shared" ref="M31:M50" si="9">_xlfn.IFNA(VLOOKUP(K31, $B$2:$D$200, 3, FALSE), "")</f>
        <v>2.0964360599999999E-2</v>
      </c>
      <c r="N31" s="91">
        <f>_xlfn.IFNA(VLOOKUP(K31, $B$2:$E$200, 4, FALSE), "")</f>
        <v>2166884840.1176963</v>
      </c>
      <c r="O31" s="87" t="s">
        <v>212</v>
      </c>
      <c r="P31" s="43">
        <f t="shared" ref="P31:P50" si="10">_xlfn.IFNA(VLOOKUP(O31, $B$2:$D$200, 2, FALSE), "")</f>
        <v>177</v>
      </c>
      <c r="Q31" s="82">
        <f t="shared" ref="Q31:Q50" si="11">_xlfn.IFNA(VLOOKUP(O31, $B$2:$D$200, 3, FALSE), "")</f>
        <v>8.5889570600000006E-2</v>
      </c>
      <c r="R31" s="91">
        <f>_xlfn.IFNA(VLOOKUP(O31, $B$2:$E$200, 4, FALSE), "")</f>
        <v>2897712431.2304063</v>
      </c>
    </row>
    <row r="32" spans="1:18">
      <c r="A32" s="45" t="s">
        <v>223</v>
      </c>
      <c r="B32" s="11" t="s">
        <v>224</v>
      </c>
      <c r="C32" s="101">
        <v>2215</v>
      </c>
      <c r="D32" s="98">
        <v>-1.55555556E-2</v>
      </c>
      <c r="E32" s="99">
        <v>11384463.054951761</v>
      </c>
      <c r="F32" s="40"/>
      <c r="G32" s="52" t="s">
        <v>146</v>
      </c>
      <c r="H32" s="44">
        <f t="shared" si="6"/>
        <v>19780</v>
      </c>
      <c r="I32" s="83">
        <f t="shared" si="7"/>
        <v>6.9767441900000005E-2</v>
      </c>
      <c r="J32" s="92">
        <f t="shared" ref="J32:J50" si="12">_xlfn.IFNA(VLOOKUP(G32, $B$2:$E$200, 4, FALSE), "")</f>
        <v>7329076.6897662999</v>
      </c>
      <c r="K32" s="88" t="s">
        <v>186</v>
      </c>
      <c r="L32" s="44">
        <f t="shared" si="8"/>
        <v>27.2</v>
      </c>
      <c r="M32" s="83">
        <f t="shared" si="9"/>
        <v>7.4074073999999997E-3</v>
      </c>
      <c r="N32" s="92">
        <f t="shared" ref="N32:N50" si="13">_xlfn.IFNA(VLOOKUP(K32, $B$2:$E$200, 4, FALSE), "")</f>
        <v>589220610.58466542</v>
      </c>
      <c r="O32" s="88" t="s">
        <v>202</v>
      </c>
      <c r="P32" s="44">
        <f t="shared" si="10"/>
        <v>230</v>
      </c>
      <c r="Q32" s="83">
        <f t="shared" si="11"/>
        <v>4.5454545499999999E-2</v>
      </c>
      <c r="R32" s="92">
        <f t="shared" ref="R32:R50" si="14">_xlfn.IFNA(VLOOKUP(O32, $B$2:$E$200, 4, FALSE), "")</f>
        <v>226834065.94746763</v>
      </c>
    </row>
    <row r="33" spans="1:18">
      <c r="A33" s="45" t="s">
        <v>213</v>
      </c>
      <c r="B33" s="11" t="s">
        <v>214</v>
      </c>
      <c r="C33" s="101">
        <v>24.1</v>
      </c>
      <c r="D33" s="98">
        <v>-1.63265306E-2</v>
      </c>
      <c r="E33" s="99">
        <v>448248437.23789501</v>
      </c>
      <c r="F33" s="40"/>
      <c r="G33" s="52" t="s">
        <v>280</v>
      </c>
      <c r="H33" s="44">
        <f t="shared" si="6"/>
        <v>1705</v>
      </c>
      <c r="I33" s="83">
        <f t="shared" si="7"/>
        <v>4.60122699E-2</v>
      </c>
      <c r="J33" s="92">
        <f t="shared" si="12"/>
        <v>16210583.65364182</v>
      </c>
      <c r="K33" s="88" t="s">
        <v>228</v>
      </c>
      <c r="L33" s="44">
        <f t="shared" si="8"/>
        <v>20.100000000000001</v>
      </c>
      <c r="M33" s="83">
        <f t="shared" si="9"/>
        <v>0</v>
      </c>
      <c r="N33" s="92">
        <f t="shared" si="13"/>
        <v>1500653379.3103938</v>
      </c>
      <c r="O33" s="88" t="s">
        <v>132</v>
      </c>
      <c r="P33" s="44">
        <f t="shared" si="10"/>
        <v>254</v>
      </c>
      <c r="Q33" s="83">
        <f t="shared" si="11"/>
        <v>4.5267489700000003E-2</v>
      </c>
      <c r="R33" s="92">
        <f t="shared" si="14"/>
        <v>1141674136.6626649</v>
      </c>
    </row>
    <row r="34" spans="1:18">
      <c r="A34" s="45" t="s">
        <v>241</v>
      </c>
      <c r="B34" s="11" t="s">
        <v>242</v>
      </c>
      <c r="C34" s="101">
        <v>6445</v>
      </c>
      <c r="D34" s="98">
        <v>-1.7530487800000001E-2</v>
      </c>
      <c r="E34" s="99">
        <v>1024710.8771756</v>
      </c>
      <c r="F34" s="40"/>
      <c r="G34" s="52" t="s">
        <v>202</v>
      </c>
      <c r="H34" s="44">
        <f t="shared" si="6"/>
        <v>230</v>
      </c>
      <c r="I34" s="83">
        <f t="shared" si="7"/>
        <v>4.5454545499999999E-2</v>
      </c>
      <c r="J34" s="92">
        <f t="shared" si="12"/>
        <v>226834065.94746763</v>
      </c>
      <c r="K34" s="88" t="s">
        <v>254</v>
      </c>
      <c r="L34" s="44">
        <f t="shared" si="8"/>
        <v>93.7</v>
      </c>
      <c r="M34" s="83">
        <f t="shared" si="9"/>
        <v>-2.1299255000000001E-3</v>
      </c>
      <c r="N34" s="92">
        <f t="shared" si="13"/>
        <v>282360019.50610638</v>
      </c>
      <c r="O34" s="88" t="s">
        <v>122</v>
      </c>
      <c r="P34" s="44">
        <f t="shared" si="10"/>
        <v>129</v>
      </c>
      <c r="Q34" s="83">
        <f t="shared" si="11"/>
        <v>2.3809523799999999E-2</v>
      </c>
      <c r="R34" s="92">
        <f t="shared" si="14"/>
        <v>262631915.51925102</v>
      </c>
    </row>
    <row r="35" spans="1:18">
      <c r="A35" s="45" t="s">
        <v>109</v>
      </c>
      <c r="B35" s="11" t="s">
        <v>110</v>
      </c>
      <c r="C35" s="101">
        <v>3055</v>
      </c>
      <c r="D35" s="98">
        <v>-1.76848875E-2</v>
      </c>
      <c r="E35" s="99">
        <v>1017265.95760259</v>
      </c>
      <c r="F35" s="40"/>
      <c r="G35" s="52" t="s">
        <v>234</v>
      </c>
      <c r="H35" s="49">
        <f t="shared" si="6"/>
        <v>1500</v>
      </c>
      <c r="I35" s="84">
        <f t="shared" si="7"/>
        <v>4.5296167200000001E-2</v>
      </c>
      <c r="J35" s="96">
        <f t="shared" si="12"/>
        <v>28671853.4628742</v>
      </c>
      <c r="K35" s="89" t="s">
        <v>172</v>
      </c>
      <c r="L35" s="49">
        <f t="shared" si="8"/>
        <v>28.1</v>
      </c>
      <c r="M35" s="84">
        <f t="shared" si="9"/>
        <v>-1.0563380299999999E-2</v>
      </c>
      <c r="N35" s="96">
        <f t="shared" si="13"/>
        <v>238051539.22893155</v>
      </c>
      <c r="O35" s="89" t="s">
        <v>268</v>
      </c>
      <c r="P35" s="49">
        <f t="shared" si="10"/>
        <v>101</v>
      </c>
      <c r="Q35" s="84">
        <f t="shared" si="11"/>
        <v>2.2267206500000001E-2</v>
      </c>
      <c r="R35" s="96">
        <f t="shared" si="14"/>
        <v>254218741.8910861</v>
      </c>
    </row>
    <row r="36" spans="1:18">
      <c r="A36" s="45" t="s">
        <v>123</v>
      </c>
      <c r="B36" s="11" t="s">
        <v>124</v>
      </c>
      <c r="C36" s="101">
        <v>7635</v>
      </c>
      <c r="D36" s="98">
        <v>-1.8006430899999998E-2</v>
      </c>
      <c r="E36" s="99">
        <v>860524.34564386995</v>
      </c>
      <c r="F36" s="40"/>
      <c r="G36" s="54" t="s">
        <v>132</v>
      </c>
      <c r="H36" s="44">
        <f t="shared" si="6"/>
        <v>254</v>
      </c>
      <c r="I36" s="83">
        <f t="shared" si="7"/>
        <v>4.5267489700000003E-2</v>
      </c>
      <c r="J36" s="105">
        <f t="shared" si="12"/>
        <v>1141674136.6626649</v>
      </c>
      <c r="K36" s="88" t="s">
        <v>214</v>
      </c>
      <c r="L36" s="44">
        <f t="shared" si="8"/>
        <v>24.1</v>
      </c>
      <c r="M36" s="83">
        <f t="shared" si="9"/>
        <v>-1.63265306E-2</v>
      </c>
      <c r="N36" s="105">
        <f t="shared" si="13"/>
        <v>448248437.23789501</v>
      </c>
      <c r="O36" s="88" t="s">
        <v>208</v>
      </c>
      <c r="P36" s="44">
        <f t="shared" si="10"/>
        <v>534</v>
      </c>
      <c r="Q36" s="83">
        <f t="shared" si="11"/>
        <v>1.8761725999999999E-3</v>
      </c>
      <c r="R36" s="105">
        <f t="shared" si="14"/>
        <v>85918566.099021286</v>
      </c>
    </row>
    <row r="37" spans="1:18">
      <c r="A37" s="45" t="s">
        <v>89</v>
      </c>
      <c r="B37" s="11" t="s">
        <v>90</v>
      </c>
      <c r="C37" s="101">
        <v>387800</v>
      </c>
      <c r="D37" s="98">
        <v>-1.8476335100000001E-2</v>
      </c>
      <c r="E37" s="99">
        <v>28921.58768198</v>
      </c>
      <c r="F37" s="40"/>
      <c r="G37" s="52" t="s">
        <v>262</v>
      </c>
      <c r="H37" s="44">
        <f t="shared" si="6"/>
        <v>1115</v>
      </c>
      <c r="I37" s="83">
        <f t="shared" si="7"/>
        <v>4.2056074800000003E-2</v>
      </c>
      <c r="J37" s="92">
        <f t="shared" si="12"/>
        <v>22654663.308202811</v>
      </c>
      <c r="K37" s="88" t="s">
        <v>198</v>
      </c>
      <c r="L37" s="44">
        <f t="shared" si="8"/>
        <v>31.5</v>
      </c>
      <c r="M37" s="83">
        <f t="shared" si="9"/>
        <v>-1.8691588799999999E-2</v>
      </c>
      <c r="N37" s="92">
        <f t="shared" si="13"/>
        <v>458188276.86466539</v>
      </c>
      <c r="O37" s="88" t="s">
        <v>112</v>
      </c>
      <c r="P37" s="44">
        <f t="shared" si="10"/>
        <v>279</v>
      </c>
      <c r="Q37" s="83">
        <f t="shared" si="11"/>
        <v>0</v>
      </c>
      <c r="R37" s="92">
        <f t="shared" si="14"/>
        <v>57982779.048899792</v>
      </c>
    </row>
    <row r="38" spans="1:18">
      <c r="A38" s="45" t="s">
        <v>197</v>
      </c>
      <c r="B38" s="11" t="s">
        <v>198</v>
      </c>
      <c r="C38" s="101">
        <v>31.5</v>
      </c>
      <c r="D38" s="98">
        <v>-1.8691588799999999E-2</v>
      </c>
      <c r="E38" s="99">
        <v>458188276.86466539</v>
      </c>
      <c r="F38" s="40"/>
      <c r="G38" s="52" t="s">
        <v>188</v>
      </c>
      <c r="H38" s="44">
        <f t="shared" si="6"/>
        <v>18480</v>
      </c>
      <c r="I38" s="83">
        <f t="shared" si="7"/>
        <v>2.5527192000000001E-2</v>
      </c>
      <c r="J38" s="92">
        <f t="shared" si="12"/>
        <v>8597495.1855589692</v>
      </c>
      <c r="K38" s="88" t="s">
        <v>220</v>
      </c>
      <c r="L38" s="44">
        <f t="shared" si="8"/>
        <v>20.100000000000001</v>
      </c>
      <c r="M38" s="83">
        <f t="shared" si="9"/>
        <v>-1.9512195100000001E-2</v>
      </c>
      <c r="N38" s="92">
        <f t="shared" si="13"/>
        <v>208267476.9766573</v>
      </c>
      <c r="O38" s="88" t="s">
        <v>230</v>
      </c>
      <c r="P38" s="44">
        <f t="shared" si="10"/>
        <v>190</v>
      </c>
      <c r="Q38" s="83">
        <f t="shared" si="11"/>
        <v>0</v>
      </c>
      <c r="R38" s="92">
        <f t="shared" si="14"/>
        <v>118401089.29655954</v>
      </c>
    </row>
    <row r="39" spans="1:18">
      <c r="A39" s="45" t="s">
        <v>273</v>
      </c>
      <c r="B39" s="11" t="s">
        <v>274</v>
      </c>
      <c r="C39" s="101">
        <v>9185</v>
      </c>
      <c r="D39" s="98">
        <v>-1.9220501899999999E-2</v>
      </c>
      <c r="E39" s="99">
        <v>816770.25877170998</v>
      </c>
      <c r="F39" s="40"/>
      <c r="G39" s="52" t="s">
        <v>122</v>
      </c>
      <c r="H39" s="44">
        <f t="shared" si="6"/>
        <v>129</v>
      </c>
      <c r="I39" s="83">
        <f t="shared" si="7"/>
        <v>2.3809523799999999E-2</v>
      </c>
      <c r="J39" s="92">
        <f t="shared" si="12"/>
        <v>262631915.51925102</v>
      </c>
      <c r="K39" s="88" t="s">
        <v>222</v>
      </c>
      <c r="L39" s="44">
        <f t="shared" si="8"/>
        <v>20</v>
      </c>
      <c r="M39" s="83">
        <f t="shared" si="9"/>
        <v>-1.9607843100000001E-2</v>
      </c>
      <c r="N39" s="92">
        <f t="shared" si="13"/>
        <v>266825655.22727004</v>
      </c>
      <c r="O39" s="88" t="s">
        <v>120</v>
      </c>
      <c r="P39" s="44">
        <f t="shared" si="10"/>
        <v>228</v>
      </c>
      <c r="Q39" s="83">
        <f t="shared" si="11"/>
        <v>-1.2987013E-2</v>
      </c>
      <c r="R39" s="92">
        <f t="shared" si="14"/>
        <v>42694907.647046842</v>
      </c>
    </row>
    <row r="40" spans="1:18" ht="17.25" thickBot="1">
      <c r="A40" s="45" t="s">
        <v>295</v>
      </c>
      <c r="B40" s="11" t="s">
        <v>296</v>
      </c>
      <c r="C40" s="101">
        <v>456</v>
      </c>
      <c r="D40" s="98">
        <v>-1.9354838700000002E-2</v>
      </c>
      <c r="E40" s="99">
        <v>1853105637.2545731</v>
      </c>
      <c r="F40" s="40"/>
      <c r="G40" s="58" t="s">
        <v>268</v>
      </c>
      <c r="H40" s="42">
        <f t="shared" si="6"/>
        <v>101</v>
      </c>
      <c r="I40" s="85">
        <f t="shared" si="7"/>
        <v>2.2267206500000001E-2</v>
      </c>
      <c r="J40" s="93">
        <f t="shared" si="12"/>
        <v>254218741.8910861</v>
      </c>
      <c r="K40" s="90" t="s">
        <v>65</v>
      </c>
      <c r="L40" s="42">
        <f t="shared" si="8"/>
        <v>76.7</v>
      </c>
      <c r="M40" s="85">
        <f t="shared" si="9"/>
        <v>-2.04342273E-2</v>
      </c>
      <c r="N40" s="93">
        <f t="shared" si="13"/>
        <v>103850378.45740891</v>
      </c>
      <c r="O40" s="90" t="s">
        <v>296</v>
      </c>
      <c r="P40" s="42">
        <f t="shared" si="10"/>
        <v>456</v>
      </c>
      <c r="Q40" s="85">
        <f t="shared" si="11"/>
        <v>-1.9354838700000002E-2</v>
      </c>
      <c r="R40" s="93">
        <f t="shared" si="14"/>
        <v>1853105637.2545731</v>
      </c>
    </row>
    <row r="41" spans="1:18">
      <c r="A41" s="45" t="s">
        <v>219</v>
      </c>
      <c r="B41" s="11" t="s">
        <v>220</v>
      </c>
      <c r="C41" s="101">
        <v>20.100000000000001</v>
      </c>
      <c r="D41" s="98">
        <v>-1.9512195100000001E-2</v>
      </c>
      <c r="E41" s="99">
        <v>208267476.9766573</v>
      </c>
      <c r="F41" s="40"/>
      <c r="G41" s="57" t="s">
        <v>152</v>
      </c>
      <c r="H41" s="43">
        <f t="shared" si="6"/>
        <v>48.7</v>
      </c>
      <c r="I41" s="82">
        <f t="shared" si="7"/>
        <v>2.0964360599999999E-2</v>
      </c>
      <c r="J41" s="91">
        <f t="shared" si="12"/>
        <v>2166884840.1176963</v>
      </c>
      <c r="K41" s="87" t="s">
        <v>100</v>
      </c>
      <c r="L41" s="43">
        <f t="shared" si="8"/>
        <v>8.4499999999999993</v>
      </c>
      <c r="M41" s="82">
        <f t="shared" si="9"/>
        <v>-2.1990740700000001E-2</v>
      </c>
      <c r="N41" s="91">
        <f t="shared" si="13"/>
        <v>28190660482.553646</v>
      </c>
      <c r="O41" s="87" t="s">
        <v>142</v>
      </c>
      <c r="P41" s="43">
        <f t="shared" si="10"/>
        <v>418</v>
      </c>
      <c r="Q41" s="82">
        <f t="shared" si="11"/>
        <v>-2.1077283400000001E-2</v>
      </c>
      <c r="R41" s="91">
        <f t="shared" si="14"/>
        <v>14621248.979505761</v>
      </c>
    </row>
    <row r="42" spans="1:18">
      <c r="A42" s="45" t="s">
        <v>177</v>
      </c>
      <c r="B42" s="11" t="s">
        <v>178</v>
      </c>
      <c r="C42" s="101">
        <v>49620</v>
      </c>
      <c r="D42" s="98">
        <v>-1.9561351500000001E-2</v>
      </c>
      <c r="E42" s="99">
        <v>108694.19121253</v>
      </c>
      <c r="F42" s="40"/>
      <c r="G42" s="52" t="s">
        <v>192</v>
      </c>
      <c r="H42" s="44">
        <f t="shared" si="6"/>
        <v>1215</v>
      </c>
      <c r="I42" s="83">
        <f t="shared" si="7"/>
        <v>1.67364017E-2</v>
      </c>
      <c r="J42" s="92">
        <f t="shared" si="12"/>
        <v>15831945.322909281</v>
      </c>
      <c r="K42" s="88" t="s">
        <v>154</v>
      </c>
      <c r="L42" s="44">
        <f t="shared" si="8"/>
        <v>21.9</v>
      </c>
      <c r="M42" s="83">
        <f t="shared" si="9"/>
        <v>-2.6666666700000001E-2</v>
      </c>
      <c r="N42" s="92">
        <f t="shared" si="13"/>
        <v>584845194.01068616</v>
      </c>
      <c r="O42" s="88" t="s">
        <v>238</v>
      </c>
      <c r="P42" s="44">
        <f t="shared" si="10"/>
        <v>313</v>
      </c>
      <c r="Q42" s="83">
        <f t="shared" si="11"/>
        <v>-2.1874999999999999E-2</v>
      </c>
      <c r="R42" s="92">
        <f t="shared" si="14"/>
        <v>19362824.098526001</v>
      </c>
    </row>
    <row r="43" spans="1:18">
      <c r="A43" s="45" t="s">
        <v>221</v>
      </c>
      <c r="B43" s="11" t="s">
        <v>222</v>
      </c>
      <c r="C43" s="101">
        <v>20</v>
      </c>
      <c r="D43" s="98">
        <v>-1.9607843100000001E-2</v>
      </c>
      <c r="E43" s="99">
        <v>266825655.22727004</v>
      </c>
      <c r="F43" s="40"/>
      <c r="G43" s="52" t="s">
        <v>102</v>
      </c>
      <c r="H43" s="44">
        <f t="shared" si="6"/>
        <v>53980</v>
      </c>
      <c r="I43" s="83">
        <f t="shared" si="7"/>
        <v>1.0861423199999999E-2</v>
      </c>
      <c r="J43" s="92">
        <f t="shared" si="12"/>
        <v>13287765.012609459</v>
      </c>
      <c r="K43" s="88" t="s">
        <v>196</v>
      </c>
      <c r="L43" s="44">
        <f t="shared" si="8"/>
        <v>21.7</v>
      </c>
      <c r="M43" s="83">
        <f t="shared" si="9"/>
        <v>-2.69058296E-2</v>
      </c>
      <c r="N43" s="92">
        <f t="shared" si="13"/>
        <v>443211987.09477752</v>
      </c>
      <c r="O43" s="88" t="s">
        <v>216</v>
      </c>
      <c r="P43" s="44">
        <f t="shared" si="10"/>
        <v>476</v>
      </c>
      <c r="Q43" s="83">
        <f t="shared" si="11"/>
        <v>-2.2587269E-2</v>
      </c>
      <c r="R43" s="92">
        <f t="shared" si="14"/>
        <v>10869299.02760227</v>
      </c>
    </row>
    <row r="44" spans="1:18">
      <c r="A44" s="45" t="s">
        <v>64</v>
      </c>
      <c r="B44" s="11" t="s">
        <v>65</v>
      </c>
      <c r="C44" s="101">
        <v>76.7</v>
      </c>
      <c r="D44" s="98">
        <v>-2.04342273E-2</v>
      </c>
      <c r="E44" s="99">
        <v>103850378.45740891</v>
      </c>
      <c r="F44" s="40"/>
      <c r="G44" s="52" t="s">
        <v>63</v>
      </c>
      <c r="H44" s="44">
        <f t="shared" si="6"/>
        <v>122850</v>
      </c>
      <c r="I44" s="83">
        <f t="shared" si="7"/>
        <v>9.8643649999999999E-3</v>
      </c>
      <c r="J44" s="92">
        <f t="shared" si="12"/>
        <v>1376230.66875921</v>
      </c>
      <c r="K44" s="88" t="s">
        <v>236</v>
      </c>
      <c r="L44" s="44">
        <f t="shared" si="8"/>
        <v>76.099999999999994</v>
      </c>
      <c r="M44" s="83">
        <f t="shared" si="9"/>
        <v>-2.80970626E-2</v>
      </c>
      <c r="N44" s="92">
        <f t="shared" si="13"/>
        <v>110259576.18673055</v>
      </c>
      <c r="O44" s="88" t="s">
        <v>210</v>
      </c>
      <c r="P44" s="44">
        <f t="shared" si="10"/>
        <v>213</v>
      </c>
      <c r="Q44" s="83">
        <f t="shared" si="11"/>
        <v>-2.29357798E-2</v>
      </c>
      <c r="R44" s="92">
        <f t="shared" si="14"/>
        <v>26499533.634734701</v>
      </c>
    </row>
    <row r="45" spans="1:18">
      <c r="A45" s="45" t="s">
        <v>141</v>
      </c>
      <c r="B45" s="11" t="s">
        <v>142</v>
      </c>
      <c r="C45" s="101">
        <v>418</v>
      </c>
      <c r="D45" s="98">
        <v>-2.1077283400000001E-2</v>
      </c>
      <c r="E45" s="99">
        <v>14621248.979505761</v>
      </c>
      <c r="F45" s="40"/>
      <c r="G45" s="52" t="s">
        <v>186</v>
      </c>
      <c r="H45" s="49">
        <f t="shared" si="6"/>
        <v>27.2</v>
      </c>
      <c r="I45" s="84">
        <f t="shared" si="7"/>
        <v>7.4074073999999997E-3</v>
      </c>
      <c r="J45" s="96">
        <f t="shared" si="12"/>
        <v>589220610.58466542</v>
      </c>
      <c r="K45" s="89" t="s">
        <v>72</v>
      </c>
      <c r="L45" s="49">
        <f t="shared" si="8"/>
        <v>36.5</v>
      </c>
      <c r="M45" s="84">
        <f t="shared" si="9"/>
        <v>-3.1830238699999999E-2</v>
      </c>
      <c r="N45" s="96">
        <f t="shared" si="13"/>
        <v>140169839.95943981</v>
      </c>
      <c r="O45" s="89" t="s">
        <v>51</v>
      </c>
      <c r="P45" s="49">
        <f t="shared" si="10"/>
        <v>628</v>
      </c>
      <c r="Q45" s="84">
        <f t="shared" si="11"/>
        <v>-2.33281493E-2</v>
      </c>
      <c r="R45" s="96">
        <f t="shared" si="14"/>
        <v>36324895.694856033</v>
      </c>
    </row>
    <row r="46" spans="1:18">
      <c r="A46" s="45" t="s">
        <v>237</v>
      </c>
      <c r="B46" s="11" t="s">
        <v>238</v>
      </c>
      <c r="C46" s="101">
        <v>313</v>
      </c>
      <c r="D46" s="98">
        <v>-2.1874999999999999E-2</v>
      </c>
      <c r="E46" s="99">
        <v>19362824.098526001</v>
      </c>
      <c r="F46" s="40"/>
      <c r="G46" s="54" t="s">
        <v>208</v>
      </c>
      <c r="H46" s="44">
        <f t="shared" si="6"/>
        <v>534</v>
      </c>
      <c r="I46" s="83">
        <f t="shared" si="7"/>
        <v>1.8761725999999999E-3</v>
      </c>
      <c r="J46" s="105">
        <f t="shared" si="12"/>
        <v>85918566.099021286</v>
      </c>
      <c r="K46" s="88" t="s">
        <v>266</v>
      </c>
      <c r="L46" s="44">
        <f t="shared" si="8"/>
        <v>93.3</v>
      </c>
      <c r="M46" s="83">
        <f t="shared" si="9"/>
        <v>-3.21576763E-2</v>
      </c>
      <c r="N46" s="105">
        <f t="shared" si="13"/>
        <v>91245036.217700973</v>
      </c>
      <c r="O46" s="88" t="s">
        <v>270</v>
      </c>
      <c r="P46" s="44">
        <f t="shared" si="10"/>
        <v>540</v>
      </c>
      <c r="Q46" s="83">
        <f t="shared" si="11"/>
        <v>-2.35081374E-2</v>
      </c>
      <c r="R46" s="105">
        <f t="shared" si="14"/>
        <v>9934834.6407866701</v>
      </c>
    </row>
    <row r="47" spans="1:18">
      <c r="A47" s="45" t="s">
        <v>99</v>
      </c>
      <c r="B47" s="11" t="s">
        <v>100</v>
      </c>
      <c r="C47" s="101">
        <v>8.4499999999999993</v>
      </c>
      <c r="D47" s="98">
        <v>-2.1990740700000001E-2</v>
      </c>
      <c r="E47" s="99">
        <v>28190660482.553646</v>
      </c>
      <c r="F47" s="40"/>
      <c r="G47" s="52" t="s">
        <v>228</v>
      </c>
      <c r="H47" s="44">
        <f t="shared" si="6"/>
        <v>20.100000000000001</v>
      </c>
      <c r="I47" s="83">
        <f t="shared" si="7"/>
        <v>0</v>
      </c>
      <c r="J47" s="92">
        <f t="shared" si="12"/>
        <v>1500653379.3103938</v>
      </c>
      <c r="K47" s="88" t="s">
        <v>218</v>
      </c>
      <c r="L47" s="44">
        <f t="shared" si="8"/>
        <v>31.5</v>
      </c>
      <c r="M47" s="83">
        <f t="shared" si="9"/>
        <v>-3.3742331299999997E-2</v>
      </c>
      <c r="N47" s="92">
        <f t="shared" si="13"/>
        <v>463981911.98787922</v>
      </c>
      <c r="O47" s="88" t="s">
        <v>136</v>
      </c>
      <c r="P47" s="44">
        <f t="shared" si="10"/>
        <v>245</v>
      </c>
      <c r="Q47" s="83">
        <f t="shared" si="11"/>
        <v>-2.3904382500000002E-2</v>
      </c>
      <c r="R47" s="92">
        <f t="shared" si="14"/>
        <v>26070037.816241421</v>
      </c>
    </row>
    <row r="48" spans="1:18">
      <c r="A48" s="45" t="s">
        <v>215</v>
      </c>
      <c r="B48" s="11" t="s">
        <v>216</v>
      </c>
      <c r="C48" s="101">
        <v>476</v>
      </c>
      <c r="D48" s="98">
        <v>-2.2587269E-2</v>
      </c>
      <c r="E48" s="99">
        <v>10869299.02760227</v>
      </c>
      <c r="F48" s="40"/>
      <c r="G48" s="52" t="s">
        <v>112</v>
      </c>
      <c r="H48" s="44">
        <f t="shared" si="6"/>
        <v>279</v>
      </c>
      <c r="I48" s="83">
        <f t="shared" si="7"/>
        <v>0</v>
      </c>
      <c r="J48" s="92">
        <f t="shared" si="12"/>
        <v>57982779.048899792</v>
      </c>
      <c r="K48" s="88" t="s">
        <v>126</v>
      </c>
      <c r="L48" s="44">
        <f t="shared" si="8"/>
        <v>68</v>
      </c>
      <c r="M48" s="83">
        <f t="shared" si="9"/>
        <v>-4.7619047599999999E-2</v>
      </c>
      <c r="N48" s="92">
        <f t="shared" si="13"/>
        <v>390908521.83650172</v>
      </c>
      <c r="O48" s="88" t="s">
        <v>134</v>
      </c>
      <c r="P48" s="44">
        <f t="shared" si="10"/>
        <v>157</v>
      </c>
      <c r="Q48" s="83">
        <f t="shared" si="11"/>
        <v>-2.48447205E-2</v>
      </c>
      <c r="R48" s="92">
        <f t="shared" si="14"/>
        <v>76258935.610476598</v>
      </c>
    </row>
    <row r="49" spans="1:18">
      <c r="A49" s="45" t="s">
        <v>193</v>
      </c>
      <c r="B49" s="11" t="s">
        <v>194</v>
      </c>
      <c r="C49" s="101">
        <v>14640</v>
      </c>
      <c r="D49" s="98">
        <v>-2.26969292E-2</v>
      </c>
      <c r="E49" s="99">
        <v>1095688.3928830901</v>
      </c>
      <c r="F49" s="40"/>
      <c r="G49" s="52" t="s">
        <v>230</v>
      </c>
      <c r="H49" s="44">
        <f t="shared" si="6"/>
        <v>190</v>
      </c>
      <c r="I49" s="83">
        <f t="shared" si="7"/>
        <v>0</v>
      </c>
      <c r="J49" s="92">
        <f t="shared" si="12"/>
        <v>118401089.29655954</v>
      </c>
      <c r="K49" s="88"/>
      <c r="L49" s="44" t="str">
        <f t="shared" si="8"/>
        <v/>
      </c>
      <c r="M49" s="83" t="str">
        <f t="shared" si="9"/>
        <v/>
      </c>
      <c r="N49" s="92" t="str">
        <f t="shared" si="13"/>
        <v/>
      </c>
      <c r="O49" s="88" t="s">
        <v>156</v>
      </c>
      <c r="P49" s="44">
        <f t="shared" si="10"/>
        <v>153</v>
      </c>
      <c r="Q49" s="83">
        <f t="shared" si="11"/>
        <v>-2.5477706999999999E-2</v>
      </c>
      <c r="R49" s="92">
        <f t="shared" si="14"/>
        <v>341718880.60158932</v>
      </c>
    </row>
    <row r="50" spans="1:18" ht="17.25" thickBot="1">
      <c r="A50" s="45" t="s">
        <v>77</v>
      </c>
      <c r="B50" s="11" t="s">
        <v>78</v>
      </c>
      <c r="C50" s="101">
        <v>1173000</v>
      </c>
      <c r="D50" s="98">
        <v>-2.2907121999999999E-2</v>
      </c>
      <c r="E50" s="99">
        <v>49683.666978180001</v>
      </c>
      <c r="F50" s="40"/>
      <c r="G50" s="58" t="s">
        <v>254</v>
      </c>
      <c r="H50" s="42">
        <f t="shared" si="6"/>
        <v>93.7</v>
      </c>
      <c r="I50" s="85">
        <f t="shared" si="7"/>
        <v>-2.1299255000000001E-3</v>
      </c>
      <c r="J50" s="93">
        <f t="shared" si="12"/>
        <v>282360019.50610638</v>
      </c>
      <c r="K50" s="90"/>
      <c r="L50" s="42" t="str">
        <f t="shared" si="8"/>
        <v/>
      </c>
      <c r="M50" s="85" t="str">
        <f t="shared" si="9"/>
        <v/>
      </c>
      <c r="N50" s="93" t="str">
        <f t="shared" si="13"/>
        <v/>
      </c>
      <c r="O50" s="90" t="s">
        <v>278</v>
      </c>
      <c r="P50" s="42">
        <f t="shared" si="10"/>
        <v>152</v>
      </c>
      <c r="Q50" s="85">
        <f t="shared" si="11"/>
        <v>-2.5641025599999999E-2</v>
      </c>
      <c r="R50" s="93">
        <f t="shared" si="14"/>
        <v>43725138.427264579</v>
      </c>
    </row>
    <row r="51" spans="1:18">
      <c r="A51" s="45" t="s">
        <v>209</v>
      </c>
      <c r="B51" s="11" t="s">
        <v>210</v>
      </c>
      <c r="C51" s="101">
        <v>213</v>
      </c>
      <c r="D51" s="98">
        <v>-2.29357798E-2</v>
      </c>
      <c r="E51" s="99">
        <v>26499533.634734701</v>
      </c>
      <c r="F51" s="40"/>
    </row>
    <row r="52" spans="1:18" ht="17.25" thickBot="1">
      <c r="A52" s="45" t="s">
        <v>157</v>
      </c>
      <c r="B52" s="11" t="s">
        <v>158</v>
      </c>
      <c r="C52" s="101">
        <v>11320</v>
      </c>
      <c r="D52" s="98">
        <v>-2.3295944799999999E-2</v>
      </c>
      <c r="E52" s="99">
        <v>2380765.75337849</v>
      </c>
      <c r="F52" s="40"/>
    </row>
    <row r="53" spans="1:18" ht="17.25" thickBot="1">
      <c r="A53" s="45" t="s">
        <v>50</v>
      </c>
      <c r="B53" s="11" t="s">
        <v>51</v>
      </c>
      <c r="C53" s="101">
        <v>628</v>
      </c>
      <c r="D53" s="98">
        <v>-2.33281493E-2</v>
      </c>
      <c r="E53" s="99">
        <v>36324895.694856033</v>
      </c>
      <c r="F53" s="40"/>
      <c r="G53" s="149" t="s">
        <v>285</v>
      </c>
      <c r="H53" s="150"/>
      <c r="I53" s="150"/>
      <c r="J53" s="151"/>
      <c r="K53" s="149" t="s">
        <v>288</v>
      </c>
      <c r="L53" s="150"/>
      <c r="M53" s="150"/>
      <c r="N53" s="151"/>
      <c r="O53" s="149" t="s">
        <v>289</v>
      </c>
      <c r="P53" s="150"/>
      <c r="Q53" s="150"/>
      <c r="R53" s="151"/>
    </row>
    <row r="54" spans="1:18" ht="17.25" thickBot="1">
      <c r="A54" s="45" t="s">
        <v>175</v>
      </c>
      <c r="B54" s="11" t="s">
        <v>176</v>
      </c>
      <c r="C54" s="101">
        <v>2505</v>
      </c>
      <c r="D54" s="98">
        <v>-2.33918129E-2</v>
      </c>
      <c r="E54" s="99">
        <v>3806918.3428762299</v>
      </c>
      <c r="F54" s="40"/>
      <c r="G54" s="183" t="s">
        <v>55</v>
      </c>
      <c r="H54" s="195">
        <f ca="1">NOW()</f>
        <v>44318.651957638889</v>
      </c>
      <c r="I54" s="196"/>
      <c r="J54" s="197"/>
      <c r="K54" s="185" t="s">
        <v>55</v>
      </c>
      <c r="L54" s="195">
        <f ca="1">NOW()</f>
        <v>44318.651957638889</v>
      </c>
      <c r="M54" s="196"/>
      <c r="N54" s="197"/>
      <c r="O54" s="185" t="s">
        <v>55</v>
      </c>
      <c r="P54" s="195">
        <f ca="1">NOW()</f>
        <v>44318.651957638889</v>
      </c>
      <c r="Q54" s="196"/>
      <c r="R54" s="197"/>
    </row>
    <row r="55" spans="1:18" ht="17.25" thickBot="1">
      <c r="A55" s="45" t="s">
        <v>269</v>
      </c>
      <c r="B55" s="11" t="s">
        <v>270</v>
      </c>
      <c r="C55" s="101">
        <v>540</v>
      </c>
      <c r="D55" s="98">
        <v>-2.35081374E-2</v>
      </c>
      <c r="E55" s="99">
        <v>9934834.6407866701</v>
      </c>
      <c r="F55" s="40"/>
      <c r="G55" s="184"/>
      <c r="H55" s="56" t="s">
        <v>58</v>
      </c>
      <c r="I55" s="79" t="s">
        <v>59</v>
      </c>
      <c r="J55" s="75" t="s">
        <v>294</v>
      </c>
      <c r="K55" s="170"/>
      <c r="L55" s="56" t="s">
        <v>58</v>
      </c>
      <c r="M55" s="79" t="s">
        <v>59</v>
      </c>
      <c r="N55" s="75" t="s">
        <v>294</v>
      </c>
      <c r="O55" s="170"/>
      <c r="P55" s="56" t="s">
        <v>58</v>
      </c>
      <c r="Q55" s="79" t="s">
        <v>59</v>
      </c>
      <c r="R55" s="75" t="s">
        <v>294</v>
      </c>
    </row>
    <row r="56" spans="1:18">
      <c r="A56" s="45" t="s">
        <v>135</v>
      </c>
      <c r="B56" s="11" t="s">
        <v>136</v>
      </c>
      <c r="C56" s="101">
        <v>245</v>
      </c>
      <c r="D56" s="98">
        <v>-2.3904382500000002E-2</v>
      </c>
      <c r="E56" s="99">
        <v>26070037.816241421</v>
      </c>
      <c r="F56" s="40"/>
      <c r="G56" s="60" t="s">
        <v>114</v>
      </c>
      <c r="H56" s="43">
        <f t="shared" ref="H56:H75" si="15">_xlfn.IFNA(VLOOKUP(G56, $B$2:$D$200, 2, FALSE), "")</f>
        <v>13180</v>
      </c>
      <c r="I56" s="82">
        <f t="shared" ref="I56:I65" si="16">_xlfn.IFNA(VLOOKUP(G56, $B$2:$D$200, 3, FALSE), "")</f>
        <v>-3.4432234399999997E-2</v>
      </c>
      <c r="J56" s="91">
        <f>_xlfn.IFNA(VLOOKUP(G56, $B$2:$E$200, 4, FALSE), "")</f>
        <v>477473.63246286998</v>
      </c>
      <c r="K56" s="87" t="s">
        <v>152</v>
      </c>
      <c r="L56" s="43">
        <f t="shared" ref="L56:L75" si="17">_xlfn.IFNA(VLOOKUP(K56, $B$2:$D$200, 2, FALSE), "")</f>
        <v>48.7</v>
      </c>
      <c r="M56" s="82">
        <f t="shared" ref="M56:M75" si="18">_xlfn.IFNA(VLOOKUP(K56, $B$2:$D$200, 3, FALSE), "")</f>
        <v>2.0964360599999999E-2</v>
      </c>
      <c r="N56" s="91">
        <f>_xlfn.IFNA(VLOOKUP(K56, $B$2:$E$200, 4, FALSE), "")</f>
        <v>2166884840.1176963</v>
      </c>
      <c r="O56" s="87" t="s">
        <v>57</v>
      </c>
      <c r="P56" s="43">
        <f t="shared" ref="P56:P75" si="19">_xlfn.IFNA(VLOOKUP(O56, $B$2:$D$200, 2, FALSE), "")</f>
        <v>407</v>
      </c>
      <c r="Q56" s="82">
        <f t="shared" ref="Q56:Q75" si="20">_xlfn.IFNA(VLOOKUP(O56, $B$2:$D$200, 3, FALSE), "")</f>
        <v>-2.86396181E-2</v>
      </c>
      <c r="R56" s="91">
        <f>_xlfn.IFNA(VLOOKUP(O56, $B$2:$E$200, 4, FALSE), "")</f>
        <v>78628291.30113712</v>
      </c>
    </row>
    <row r="57" spans="1:18">
      <c r="A57" s="45" t="s">
        <v>243</v>
      </c>
      <c r="B57" s="11" t="s">
        <v>244</v>
      </c>
      <c r="C57" s="101">
        <v>3855</v>
      </c>
      <c r="D57" s="98">
        <v>-2.40506329E-2</v>
      </c>
      <c r="E57" s="99">
        <v>4840851.2745399103</v>
      </c>
      <c r="F57" s="40"/>
      <c r="G57" s="61" t="s">
        <v>256</v>
      </c>
      <c r="H57" s="44">
        <f t="shared" si="15"/>
        <v>265</v>
      </c>
      <c r="I57" s="83">
        <f t="shared" si="16"/>
        <v>-3.6363636400000003E-2</v>
      </c>
      <c r="J57" s="92">
        <f t="shared" ref="J57:J75" si="21">_xlfn.IFNA(VLOOKUP(G57, $B$2:$E$200, 4, FALSE), "")</f>
        <v>12504561.03856148</v>
      </c>
      <c r="K57" s="88" t="s">
        <v>186</v>
      </c>
      <c r="L57" s="44">
        <f t="shared" si="17"/>
        <v>27.2</v>
      </c>
      <c r="M57" s="83">
        <f t="shared" si="18"/>
        <v>7.4074073999999997E-3</v>
      </c>
      <c r="N57" s="92">
        <f t="shared" ref="N57:N75" si="22">_xlfn.IFNA(VLOOKUP(K57, $B$2:$E$200, 4, FALSE), "")</f>
        <v>589220610.58466542</v>
      </c>
      <c r="O57" s="88" t="s">
        <v>128</v>
      </c>
      <c r="P57" s="44">
        <f t="shared" si="19"/>
        <v>621</v>
      </c>
      <c r="Q57" s="83">
        <f t="shared" si="20"/>
        <v>-2.9687499999999999E-2</v>
      </c>
      <c r="R57" s="92">
        <f t="shared" ref="R57:R75" si="23">_xlfn.IFNA(VLOOKUP(O57, $B$2:$E$200, 4, FALSE), "")</f>
        <v>5863874.0773193501</v>
      </c>
    </row>
    <row r="58" spans="1:18">
      <c r="A58" s="45" t="s">
        <v>75</v>
      </c>
      <c r="B58" s="11" t="s">
        <v>76</v>
      </c>
      <c r="C58" s="101">
        <v>47930</v>
      </c>
      <c r="D58" s="98">
        <v>-2.4623524599999998E-2</v>
      </c>
      <c r="E58" s="99">
        <v>529794.41075961001</v>
      </c>
      <c r="F58" s="40"/>
      <c r="G58" s="61" t="s">
        <v>82</v>
      </c>
      <c r="H58" s="44">
        <f t="shared" si="15"/>
        <v>1560</v>
      </c>
      <c r="I58" s="83">
        <f t="shared" si="16"/>
        <v>-3.7037037000000002E-2</v>
      </c>
      <c r="J58" s="92">
        <f t="shared" si="21"/>
        <v>2024779.96689676</v>
      </c>
      <c r="K58" s="88" t="s">
        <v>228</v>
      </c>
      <c r="L58" s="44">
        <f t="shared" si="17"/>
        <v>20.100000000000001</v>
      </c>
      <c r="M58" s="83">
        <f t="shared" si="18"/>
        <v>0</v>
      </c>
      <c r="N58" s="92">
        <f t="shared" si="22"/>
        <v>1500653379.3103938</v>
      </c>
      <c r="O58" s="88" t="s">
        <v>226</v>
      </c>
      <c r="P58" s="44">
        <f t="shared" si="19"/>
        <v>539</v>
      </c>
      <c r="Q58" s="83">
        <f t="shared" si="20"/>
        <v>-3.05755396E-2</v>
      </c>
      <c r="R58" s="92">
        <f t="shared" si="23"/>
        <v>10478311.41856325</v>
      </c>
    </row>
    <row r="59" spans="1:18">
      <c r="A59" s="45" t="s">
        <v>159</v>
      </c>
      <c r="B59" s="11" t="s">
        <v>160</v>
      </c>
      <c r="C59" s="101">
        <v>3160</v>
      </c>
      <c r="D59" s="98">
        <v>-2.4691358E-2</v>
      </c>
      <c r="E59" s="99">
        <v>2026716.6073237499</v>
      </c>
      <c r="F59" s="40"/>
      <c r="G59" s="61" t="s">
        <v>264</v>
      </c>
      <c r="H59" s="44">
        <f t="shared" si="15"/>
        <v>181</v>
      </c>
      <c r="I59" s="83">
        <f t="shared" si="16"/>
        <v>-3.7234042600000003E-2</v>
      </c>
      <c r="J59" s="92">
        <f t="shared" si="21"/>
        <v>18042776.993536711</v>
      </c>
      <c r="K59" s="88" t="s">
        <v>254</v>
      </c>
      <c r="L59" s="44">
        <f t="shared" si="17"/>
        <v>93.7</v>
      </c>
      <c r="M59" s="83">
        <f t="shared" si="18"/>
        <v>-2.1299255000000001E-3</v>
      </c>
      <c r="N59" s="92">
        <f t="shared" si="22"/>
        <v>282360019.50610638</v>
      </c>
      <c r="O59" s="88" t="s">
        <v>200</v>
      </c>
      <c r="P59" s="44">
        <f t="shared" si="19"/>
        <v>401</v>
      </c>
      <c r="Q59" s="83">
        <f t="shared" si="20"/>
        <v>-3.1400966199999998E-2</v>
      </c>
      <c r="R59" s="92">
        <f t="shared" si="23"/>
        <v>13921848.65385622</v>
      </c>
    </row>
    <row r="60" spans="1:18">
      <c r="A60" s="45" t="s">
        <v>133</v>
      </c>
      <c r="B60" s="11" t="s">
        <v>134</v>
      </c>
      <c r="C60" s="101">
        <v>157</v>
      </c>
      <c r="D60" s="98">
        <v>-2.48447205E-2</v>
      </c>
      <c r="E60" s="99">
        <v>76258935.610476598</v>
      </c>
      <c r="F60" s="40"/>
      <c r="G60" s="61" t="s">
        <v>246</v>
      </c>
      <c r="H60" s="44">
        <f t="shared" si="15"/>
        <v>435</v>
      </c>
      <c r="I60" s="83">
        <f t="shared" si="16"/>
        <v>-3.7610619499999998E-2</v>
      </c>
      <c r="J60" s="96">
        <f t="shared" si="21"/>
        <v>15778377.608329421</v>
      </c>
      <c r="K60" s="89" t="s">
        <v>172</v>
      </c>
      <c r="L60" s="49">
        <f t="shared" si="17"/>
        <v>28.1</v>
      </c>
      <c r="M60" s="84">
        <f t="shared" si="18"/>
        <v>-1.0563380299999999E-2</v>
      </c>
      <c r="N60" s="96">
        <f t="shared" si="22"/>
        <v>238051539.22893155</v>
      </c>
      <c r="O60" s="89" t="s">
        <v>182</v>
      </c>
      <c r="P60" s="49">
        <f t="shared" si="19"/>
        <v>487</v>
      </c>
      <c r="Q60" s="84">
        <f t="shared" si="20"/>
        <v>-3.1809145099999998E-2</v>
      </c>
      <c r="R60" s="96">
        <f t="shared" si="23"/>
        <v>7143729.0193606699</v>
      </c>
    </row>
    <row r="61" spans="1:18">
      <c r="A61" s="45" t="s">
        <v>247</v>
      </c>
      <c r="B61" s="11" t="s">
        <v>248</v>
      </c>
      <c r="C61" s="101">
        <v>3295</v>
      </c>
      <c r="D61" s="98">
        <v>-2.5147928999999999E-2</v>
      </c>
      <c r="E61" s="99">
        <v>1298417.05590814</v>
      </c>
      <c r="F61" s="40"/>
      <c r="G61" s="65" t="s">
        <v>204</v>
      </c>
      <c r="H61" s="50">
        <f t="shared" si="15"/>
        <v>9970</v>
      </c>
      <c r="I61" s="86">
        <f t="shared" si="16"/>
        <v>-3.76447876E-2</v>
      </c>
      <c r="J61" s="105">
        <f t="shared" si="21"/>
        <v>12635819.79487611</v>
      </c>
      <c r="K61" s="88" t="s">
        <v>214</v>
      </c>
      <c r="L61" s="44">
        <f t="shared" si="17"/>
        <v>24.1</v>
      </c>
      <c r="M61" s="83">
        <f t="shared" si="18"/>
        <v>-1.63265306E-2</v>
      </c>
      <c r="N61" s="105">
        <f t="shared" si="22"/>
        <v>448248437.23789501</v>
      </c>
      <c r="O61" s="88" t="s">
        <v>116</v>
      </c>
      <c r="P61" s="44">
        <f t="shared" si="19"/>
        <v>696</v>
      </c>
      <c r="Q61" s="83">
        <f t="shared" si="20"/>
        <v>-3.1988873399999999E-2</v>
      </c>
      <c r="R61" s="105">
        <f t="shared" si="23"/>
        <v>8506154.7536750101</v>
      </c>
    </row>
    <row r="62" spans="1:18">
      <c r="A62" s="45" t="s">
        <v>155</v>
      </c>
      <c r="B62" s="11" t="s">
        <v>156</v>
      </c>
      <c r="C62" s="101">
        <v>153</v>
      </c>
      <c r="D62" s="98">
        <v>-2.5477706999999999E-2</v>
      </c>
      <c r="E62" s="99">
        <v>341718880.60158932</v>
      </c>
      <c r="F62" s="40"/>
      <c r="G62" s="61" t="s">
        <v>282</v>
      </c>
      <c r="H62" s="44">
        <f t="shared" si="15"/>
        <v>178</v>
      </c>
      <c r="I62" s="83">
        <f t="shared" si="16"/>
        <v>-3.7837837800000003E-2</v>
      </c>
      <c r="J62" s="92">
        <f t="shared" si="21"/>
        <v>24140096.879714958</v>
      </c>
      <c r="K62" s="88" t="s">
        <v>198</v>
      </c>
      <c r="L62" s="44">
        <f t="shared" si="17"/>
        <v>31.5</v>
      </c>
      <c r="M62" s="83">
        <f t="shared" si="18"/>
        <v>-1.8691588799999999E-2</v>
      </c>
      <c r="N62" s="92">
        <f t="shared" si="22"/>
        <v>458188276.86466539</v>
      </c>
      <c r="O62" s="88" t="s">
        <v>240</v>
      </c>
      <c r="P62" s="44">
        <f t="shared" si="19"/>
        <v>207</v>
      </c>
      <c r="Q62" s="83">
        <f t="shared" si="20"/>
        <v>-3.27102804E-2</v>
      </c>
      <c r="R62" s="92">
        <f t="shared" si="23"/>
        <v>39800406.528868102</v>
      </c>
    </row>
    <row r="63" spans="1:18">
      <c r="A63" s="45" t="s">
        <v>277</v>
      </c>
      <c r="B63" s="11" t="s">
        <v>278</v>
      </c>
      <c r="C63" s="101">
        <v>152</v>
      </c>
      <c r="D63" s="98">
        <v>-2.5641025599999999E-2</v>
      </c>
      <c r="E63" s="99">
        <v>43725138.427264579</v>
      </c>
      <c r="F63" s="40"/>
      <c r="G63" s="61" t="s">
        <v>88</v>
      </c>
      <c r="H63" s="44">
        <f t="shared" si="15"/>
        <v>635</v>
      </c>
      <c r="I63" s="83">
        <f t="shared" si="16"/>
        <v>-3.7878787900000002E-2</v>
      </c>
      <c r="J63" s="92">
        <f t="shared" si="21"/>
        <v>89174319.353555486</v>
      </c>
      <c r="K63" s="88" t="s">
        <v>220</v>
      </c>
      <c r="L63" s="44">
        <f t="shared" si="17"/>
        <v>20.100000000000001</v>
      </c>
      <c r="M63" s="83">
        <f t="shared" si="18"/>
        <v>-1.9512195100000001E-2</v>
      </c>
      <c r="N63" s="92">
        <f t="shared" si="22"/>
        <v>208267476.9766573</v>
      </c>
      <c r="O63" s="88" t="s">
        <v>168</v>
      </c>
      <c r="P63" s="44">
        <f t="shared" si="19"/>
        <v>205</v>
      </c>
      <c r="Q63" s="83">
        <f t="shared" si="20"/>
        <v>-3.3018867899999998E-2</v>
      </c>
      <c r="R63" s="92">
        <f t="shared" si="23"/>
        <v>94883752.82667169</v>
      </c>
    </row>
    <row r="64" spans="1:18">
      <c r="A64" s="45" t="s">
        <v>173</v>
      </c>
      <c r="B64" s="11" t="s">
        <v>174</v>
      </c>
      <c r="C64" s="101">
        <v>302</v>
      </c>
      <c r="D64" s="98">
        <v>-2.5806451599999999E-2</v>
      </c>
      <c r="E64" s="99">
        <v>34501262.537711859</v>
      </c>
      <c r="F64" s="40"/>
      <c r="G64" s="61" t="s">
        <v>150</v>
      </c>
      <c r="H64" s="44">
        <f t="shared" si="15"/>
        <v>5830</v>
      </c>
      <c r="I64" s="83">
        <f t="shared" si="16"/>
        <v>-3.7953795399999997E-2</v>
      </c>
      <c r="J64" s="92">
        <f t="shared" si="21"/>
        <v>7928912.9618172804</v>
      </c>
      <c r="K64" s="88" t="s">
        <v>222</v>
      </c>
      <c r="L64" s="44">
        <f t="shared" si="17"/>
        <v>20</v>
      </c>
      <c r="M64" s="83">
        <f t="shared" si="18"/>
        <v>-1.9607843100000001E-2</v>
      </c>
      <c r="N64" s="92">
        <f t="shared" si="22"/>
        <v>266825655.22727004</v>
      </c>
      <c r="O64" s="88" t="s">
        <v>252</v>
      </c>
      <c r="P64" s="44">
        <f t="shared" si="19"/>
        <v>581</v>
      </c>
      <c r="Q64" s="83">
        <f t="shared" si="20"/>
        <v>-3.3277870199999997E-2</v>
      </c>
      <c r="R64" s="92">
        <f t="shared" si="23"/>
        <v>15512250.509519549</v>
      </c>
    </row>
    <row r="65" spans="1:18" ht="17.25" thickBot="1">
      <c r="A65" s="45" t="s">
        <v>105</v>
      </c>
      <c r="B65" s="11" t="s">
        <v>106</v>
      </c>
      <c r="C65" s="101">
        <v>2255</v>
      </c>
      <c r="D65" s="98">
        <v>-2.5917926599999998E-2</v>
      </c>
      <c r="E65" s="99">
        <v>3482850.4187759901</v>
      </c>
      <c r="F65" s="40"/>
      <c r="G65" s="62" t="s">
        <v>190</v>
      </c>
      <c r="H65" s="42">
        <f t="shared" si="15"/>
        <v>76720</v>
      </c>
      <c r="I65" s="85">
        <f t="shared" si="16"/>
        <v>-3.8114343000000002E-2</v>
      </c>
      <c r="J65" s="93">
        <f t="shared" si="21"/>
        <v>185760.77242672001</v>
      </c>
      <c r="K65" s="90" t="s">
        <v>65</v>
      </c>
      <c r="L65" s="42">
        <f t="shared" si="17"/>
        <v>76.7</v>
      </c>
      <c r="M65" s="85">
        <f t="shared" si="18"/>
        <v>-2.04342273E-2</v>
      </c>
      <c r="N65" s="93">
        <f t="shared" si="22"/>
        <v>103850378.45740891</v>
      </c>
      <c r="O65" s="90" t="s">
        <v>256</v>
      </c>
      <c r="P65" s="42">
        <f t="shared" si="19"/>
        <v>265</v>
      </c>
      <c r="Q65" s="85">
        <f t="shared" si="20"/>
        <v>-3.6363636400000003E-2</v>
      </c>
      <c r="R65" s="93">
        <f t="shared" si="23"/>
        <v>12504561.03856148</v>
      </c>
    </row>
    <row r="66" spans="1:18">
      <c r="A66" s="45" t="s">
        <v>139</v>
      </c>
      <c r="B66" s="11" t="s">
        <v>140</v>
      </c>
      <c r="C66" s="101">
        <v>3860</v>
      </c>
      <c r="D66" s="98">
        <v>-2.6481714999999999E-2</v>
      </c>
      <c r="E66" s="99">
        <v>1048826.23106484</v>
      </c>
      <c r="F66" s="40"/>
      <c r="G66" s="61" t="s">
        <v>170</v>
      </c>
      <c r="H66" s="43">
        <f t="shared" si="15"/>
        <v>528</v>
      </c>
      <c r="I66" s="82">
        <f t="shared" ref="I66:I75" si="24">_xlfn.IFNA(VLOOKUP(G66, $B$2:$D$200, 3, FALSE), "")</f>
        <v>-3.8251366100000003E-2</v>
      </c>
      <c r="J66" s="91">
        <f t="shared" si="21"/>
        <v>26136127.24639447</v>
      </c>
      <c r="K66" s="87" t="s">
        <v>100</v>
      </c>
      <c r="L66" s="43">
        <f t="shared" si="17"/>
        <v>8.4499999999999993</v>
      </c>
      <c r="M66" s="82">
        <f t="shared" si="18"/>
        <v>-2.1990740700000001E-2</v>
      </c>
      <c r="N66" s="91">
        <f t="shared" si="22"/>
        <v>28190660482.553646</v>
      </c>
      <c r="O66" s="87" t="s">
        <v>264</v>
      </c>
      <c r="P66" s="43">
        <f t="shared" si="19"/>
        <v>181</v>
      </c>
      <c r="Q66" s="82">
        <f t="shared" si="20"/>
        <v>-3.7234042600000003E-2</v>
      </c>
      <c r="R66" s="91">
        <f t="shared" si="23"/>
        <v>18042776.993536711</v>
      </c>
    </row>
    <row r="67" spans="1:18">
      <c r="A67" s="45" t="s">
        <v>85</v>
      </c>
      <c r="B67" s="11" t="s">
        <v>86</v>
      </c>
      <c r="C67" s="101">
        <v>7675</v>
      </c>
      <c r="D67" s="98">
        <v>-2.66328472E-2</v>
      </c>
      <c r="E67" s="99">
        <v>12110173.42596321</v>
      </c>
      <c r="F67" s="40"/>
      <c r="G67" s="61" t="s">
        <v>184</v>
      </c>
      <c r="H67" s="44">
        <f t="shared" si="15"/>
        <v>2600</v>
      </c>
      <c r="I67" s="83">
        <f t="shared" si="24"/>
        <v>-3.8817005500000001E-2</v>
      </c>
      <c r="J67" s="92">
        <f t="shared" si="21"/>
        <v>1422649.9404662901</v>
      </c>
      <c r="K67" s="88" t="s">
        <v>154</v>
      </c>
      <c r="L67" s="44">
        <f t="shared" si="17"/>
        <v>21.9</v>
      </c>
      <c r="M67" s="83">
        <f t="shared" si="18"/>
        <v>-2.6666666700000001E-2</v>
      </c>
      <c r="N67" s="92">
        <f t="shared" si="22"/>
        <v>584845194.01068616</v>
      </c>
      <c r="O67" s="88" t="s">
        <v>246</v>
      </c>
      <c r="P67" s="44">
        <f t="shared" si="19"/>
        <v>435</v>
      </c>
      <c r="Q67" s="83">
        <f t="shared" si="20"/>
        <v>-3.7610619499999998E-2</v>
      </c>
      <c r="R67" s="92">
        <f t="shared" si="23"/>
        <v>15778377.608329421</v>
      </c>
    </row>
    <row r="68" spans="1:18">
      <c r="A68" s="45" t="s">
        <v>153</v>
      </c>
      <c r="B68" s="11" t="s">
        <v>154</v>
      </c>
      <c r="C68" s="101">
        <v>21.9</v>
      </c>
      <c r="D68" s="98">
        <v>-2.6666666700000001E-2</v>
      </c>
      <c r="E68" s="99">
        <v>584845194.01068616</v>
      </c>
      <c r="F68" s="40"/>
      <c r="G68" s="61" t="s">
        <v>232</v>
      </c>
      <c r="H68" s="44">
        <f t="shared" si="15"/>
        <v>194</v>
      </c>
      <c r="I68" s="83">
        <f t="shared" si="24"/>
        <v>-3.9603960399999999E-2</v>
      </c>
      <c r="J68" s="92">
        <f t="shared" si="21"/>
        <v>44361191.889687523</v>
      </c>
      <c r="K68" s="88" t="s">
        <v>196</v>
      </c>
      <c r="L68" s="44">
        <f t="shared" si="17"/>
        <v>21.7</v>
      </c>
      <c r="M68" s="83">
        <f t="shared" si="18"/>
        <v>-2.69058296E-2</v>
      </c>
      <c r="N68" s="92">
        <f t="shared" si="22"/>
        <v>443211987.09477752</v>
      </c>
      <c r="O68" s="88" t="s">
        <v>282</v>
      </c>
      <c r="P68" s="44">
        <f t="shared" si="19"/>
        <v>178</v>
      </c>
      <c r="Q68" s="83">
        <f t="shared" si="20"/>
        <v>-3.7837837800000003E-2</v>
      </c>
      <c r="R68" s="92">
        <f t="shared" si="23"/>
        <v>24140096.879714958</v>
      </c>
    </row>
    <row r="69" spans="1:18">
      <c r="A69" s="45" t="s">
        <v>195</v>
      </c>
      <c r="B69" s="11" t="s">
        <v>196</v>
      </c>
      <c r="C69" s="101">
        <v>21.7</v>
      </c>
      <c r="D69" s="98">
        <v>-2.69058296E-2</v>
      </c>
      <c r="E69" s="99">
        <v>443211987.09477752</v>
      </c>
      <c r="F69" s="40"/>
      <c r="G69" s="61" t="s">
        <v>284</v>
      </c>
      <c r="H69" s="44">
        <f t="shared" si="15"/>
        <v>462</v>
      </c>
      <c r="I69" s="83">
        <f t="shared" si="24"/>
        <v>-4.1493775900000002E-2</v>
      </c>
      <c r="J69" s="92">
        <f t="shared" si="21"/>
        <v>18317394.660448302</v>
      </c>
      <c r="K69" s="88" t="s">
        <v>236</v>
      </c>
      <c r="L69" s="44">
        <f t="shared" si="17"/>
        <v>76.099999999999994</v>
      </c>
      <c r="M69" s="83">
        <f t="shared" si="18"/>
        <v>-2.80970626E-2</v>
      </c>
      <c r="N69" s="92">
        <f t="shared" si="22"/>
        <v>110259576.18673055</v>
      </c>
      <c r="O69" s="88" t="s">
        <v>88</v>
      </c>
      <c r="P69" s="44">
        <f t="shared" si="19"/>
        <v>635</v>
      </c>
      <c r="Q69" s="83">
        <f t="shared" si="20"/>
        <v>-3.7878787900000002E-2</v>
      </c>
      <c r="R69" s="92">
        <f t="shared" si="23"/>
        <v>89174319.353555486</v>
      </c>
    </row>
    <row r="70" spans="1:18">
      <c r="A70" s="45" t="s">
        <v>117</v>
      </c>
      <c r="B70" s="11" t="s">
        <v>118</v>
      </c>
      <c r="C70" s="101">
        <v>6710</v>
      </c>
      <c r="D70" s="98">
        <v>-2.7536231899999999E-2</v>
      </c>
      <c r="E70" s="99">
        <v>584692.41300943005</v>
      </c>
      <c r="F70" s="40"/>
      <c r="G70" s="61" t="s">
        <v>67</v>
      </c>
      <c r="H70" s="44">
        <f t="shared" si="15"/>
        <v>9735</v>
      </c>
      <c r="I70" s="83">
        <f t="shared" si="24"/>
        <v>-4.1830708699999997E-2</v>
      </c>
      <c r="J70" s="96">
        <f t="shared" si="21"/>
        <v>2146307.9573280602</v>
      </c>
      <c r="K70" s="89" t="s">
        <v>72</v>
      </c>
      <c r="L70" s="49">
        <f t="shared" si="17"/>
        <v>36.5</v>
      </c>
      <c r="M70" s="84">
        <f t="shared" si="18"/>
        <v>-3.1830238699999999E-2</v>
      </c>
      <c r="N70" s="96">
        <f t="shared" si="22"/>
        <v>140169839.95943981</v>
      </c>
      <c r="O70" s="89" t="s">
        <v>170</v>
      </c>
      <c r="P70" s="49">
        <f t="shared" si="19"/>
        <v>528</v>
      </c>
      <c r="Q70" s="84">
        <f t="shared" si="20"/>
        <v>-3.8251366100000003E-2</v>
      </c>
      <c r="R70" s="96">
        <f t="shared" si="23"/>
        <v>26136127.24639447</v>
      </c>
    </row>
    <row r="71" spans="1:18">
      <c r="A71" s="45" t="s">
        <v>205</v>
      </c>
      <c r="B71" s="11" t="s">
        <v>206</v>
      </c>
      <c r="C71" s="101">
        <v>37760</v>
      </c>
      <c r="D71" s="98">
        <v>-2.7556013399999999E-2</v>
      </c>
      <c r="E71" s="99">
        <v>241093.24707596001</v>
      </c>
      <c r="F71" s="40"/>
      <c r="G71" s="65" t="s">
        <v>250</v>
      </c>
      <c r="H71" s="50">
        <f t="shared" si="15"/>
        <v>240</v>
      </c>
      <c r="I71" s="86">
        <f t="shared" si="24"/>
        <v>-4.3824701200000003E-2</v>
      </c>
      <c r="J71" s="105">
        <f t="shared" si="21"/>
        <v>40423505.036088139</v>
      </c>
      <c r="K71" s="88" t="s">
        <v>266</v>
      </c>
      <c r="L71" s="44">
        <f t="shared" si="17"/>
        <v>93.3</v>
      </c>
      <c r="M71" s="83">
        <f t="shared" si="18"/>
        <v>-3.21576763E-2</v>
      </c>
      <c r="N71" s="105">
        <f t="shared" si="22"/>
        <v>91245036.217700973</v>
      </c>
      <c r="O71" s="88" t="s">
        <v>232</v>
      </c>
      <c r="P71" s="44">
        <f t="shared" si="19"/>
        <v>194</v>
      </c>
      <c r="Q71" s="83">
        <f t="shared" si="20"/>
        <v>-3.9603960399999999E-2</v>
      </c>
      <c r="R71" s="105">
        <f t="shared" si="23"/>
        <v>44361191.889687523</v>
      </c>
    </row>
    <row r="72" spans="1:18">
      <c r="A72" s="45" t="s">
        <v>235</v>
      </c>
      <c r="B72" s="11" t="s">
        <v>236</v>
      </c>
      <c r="C72" s="101">
        <v>76.099999999999994</v>
      </c>
      <c r="D72" s="98">
        <v>-2.80970626E-2</v>
      </c>
      <c r="E72" s="99">
        <v>110259576.18673055</v>
      </c>
      <c r="F72" s="40"/>
      <c r="G72" s="61" t="s">
        <v>166</v>
      </c>
      <c r="H72" s="44">
        <f t="shared" si="15"/>
        <v>2485</v>
      </c>
      <c r="I72" s="83">
        <f t="shared" si="24"/>
        <v>-4.6065259099999999E-2</v>
      </c>
      <c r="J72" s="92">
        <f t="shared" si="21"/>
        <v>2515166.4393983502</v>
      </c>
      <c r="K72" s="88" t="s">
        <v>218</v>
      </c>
      <c r="L72" s="44">
        <f t="shared" si="17"/>
        <v>31.5</v>
      </c>
      <c r="M72" s="83">
        <f t="shared" si="18"/>
        <v>-3.3742331299999997E-2</v>
      </c>
      <c r="N72" s="92">
        <f t="shared" si="22"/>
        <v>463981911.98787922</v>
      </c>
      <c r="O72" s="88" t="s">
        <v>284</v>
      </c>
      <c r="P72" s="44">
        <f t="shared" si="19"/>
        <v>462</v>
      </c>
      <c r="Q72" s="83">
        <f t="shared" si="20"/>
        <v>-4.1493775900000002E-2</v>
      </c>
      <c r="R72" s="92">
        <f t="shared" si="23"/>
        <v>18317394.660448302</v>
      </c>
    </row>
    <row r="73" spans="1:18">
      <c r="A73" s="45" t="s">
        <v>147</v>
      </c>
      <c r="B73" s="11" t="s">
        <v>148</v>
      </c>
      <c r="C73" s="101">
        <v>207</v>
      </c>
      <c r="D73" s="98">
        <v>-2.8169014100000001E-2</v>
      </c>
      <c r="E73" s="99">
        <v>42027628.399845898</v>
      </c>
      <c r="F73" s="40"/>
      <c r="G73" s="61" t="s">
        <v>258</v>
      </c>
      <c r="H73" s="44">
        <f t="shared" si="15"/>
        <v>745</v>
      </c>
      <c r="I73" s="83">
        <f t="shared" si="24"/>
        <v>-4.6094750300000001E-2</v>
      </c>
      <c r="J73" s="92">
        <f t="shared" si="21"/>
        <v>16340377.16434516</v>
      </c>
      <c r="K73" s="88" t="s">
        <v>126</v>
      </c>
      <c r="L73" s="44">
        <f t="shared" si="17"/>
        <v>68</v>
      </c>
      <c r="M73" s="83">
        <f t="shared" si="18"/>
        <v>-4.7619047599999999E-2</v>
      </c>
      <c r="N73" s="92">
        <f t="shared" si="22"/>
        <v>390908521.83650172</v>
      </c>
      <c r="O73" s="88" t="s">
        <v>250</v>
      </c>
      <c r="P73" s="44">
        <f t="shared" si="19"/>
        <v>240</v>
      </c>
      <c r="Q73" s="83">
        <f t="shared" si="20"/>
        <v>-4.3824701200000003E-2</v>
      </c>
      <c r="R73" s="92">
        <f t="shared" si="23"/>
        <v>40423505.036088139</v>
      </c>
    </row>
    <row r="74" spans="1:18">
      <c r="A74" s="45" t="s">
        <v>259</v>
      </c>
      <c r="B74" s="11" t="s">
        <v>260</v>
      </c>
      <c r="C74" s="101">
        <v>136</v>
      </c>
      <c r="D74" s="98">
        <v>-2.85714286E-2</v>
      </c>
      <c r="E74" s="99">
        <v>112747368.0024419</v>
      </c>
      <c r="F74" s="40"/>
      <c r="G74" s="61" t="s">
        <v>126</v>
      </c>
      <c r="H74" s="44">
        <f t="shared" si="15"/>
        <v>68</v>
      </c>
      <c r="I74" s="83">
        <f t="shared" si="24"/>
        <v>-4.7619047599999999E-2</v>
      </c>
      <c r="J74" s="92">
        <f t="shared" si="21"/>
        <v>390908521.83650172</v>
      </c>
      <c r="K74" s="88"/>
      <c r="L74" s="44" t="str">
        <f t="shared" si="17"/>
        <v/>
      </c>
      <c r="M74" s="83" t="str">
        <f t="shared" si="18"/>
        <v/>
      </c>
      <c r="N74" s="92" t="str">
        <f t="shared" si="22"/>
        <v/>
      </c>
      <c r="O74" s="88" t="s">
        <v>258</v>
      </c>
      <c r="P74" s="44">
        <f t="shared" si="19"/>
        <v>745</v>
      </c>
      <c r="Q74" s="83">
        <f t="shared" si="20"/>
        <v>-4.6094750300000001E-2</v>
      </c>
      <c r="R74" s="92">
        <f t="shared" si="23"/>
        <v>16340377.16434516</v>
      </c>
    </row>
    <row r="75" spans="1:18" ht="17.25" thickBot="1">
      <c r="A75" s="45" t="s">
        <v>56</v>
      </c>
      <c r="B75" s="11" t="s">
        <v>57</v>
      </c>
      <c r="C75" s="101">
        <v>407</v>
      </c>
      <c r="D75" s="98">
        <v>-2.86396181E-2</v>
      </c>
      <c r="E75" s="99">
        <v>78628291.30113712</v>
      </c>
      <c r="F75" s="40"/>
      <c r="G75" s="62" t="s">
        <v>54</v>
      </c>
      <c r="H75" s="42">
        <f t="shared" si="15"/>
        <v>369</v>
      </c>
      <c r="I75" s="85">
        <f t="shared" si="24"/>
        <v>-5.1413881699999997E-2</v>
      </c>
      <c r="J75" s="93">
        <f t="shared" si="21"/>
        <v>19380065.143520851</v>
      </c>
      <c r="K75" s="90"/>
      <c r="L75" s="42" t="str">
        <f t="shared" si="17"/>
        <v/>
      </c>
      <c r="M75" s="85" t="str">
        <f t="shared" si="18"/>
        <v/>
      </c>
      <c r="N75" s="93" t="str">
        <f t="shared" si="22"/>
        <v/>
      </c>
      <c r="O75" s="90" t="s">
        <v>54</v>
      </c>
      <c r="P75" s="42">
        <f t="shared" si="19"/>
        <v>369</v>
      </c>
      <c r="Q75" s="85">
        <f t="shared" si="20"/>
        <v>-5.1413881699999997E-2</v>
      </c>
      <c r="R75" s="93">
        <f t="shared" si="23"/>
        <v>19380065.143520851</v>
      </c>
    </row>
    <row r="76" spans="1:18">
      <c r="A76" s="45" t="s">
        <v>60</v>
      </c>
      <c r="B76" s="11" t="s">
        <v>61</v>
      </c>
      <c r="C76" s="101">
        <v>1695</v>
      </c>
      <c r="D76" s="98">
        <v>-2.86532951E-2</v>
      </c>
      <c r="E76" s="99">
        <v>14720319.171468129</v>
      </c>
      <c r="F76" s="40"/>
      <c r="G76" s="40"/>
      <c r="H76" s="40"/>
      <c r="I76" s="40"/>
    </row>
    <row r="77" spans="1:18">
      <c r="A77" s="45" t="s">
        <v>275</v>
      </c>
      <c r="B77" s="11" t="s">
        <v>276</v>
      </c>
      <c r="C77" s="101">
        <v>4135</v>
      </c>
      <c r="D77" s="98">
        <v>-2.9342723000000001E-2</v>
      </c>
      <c r="E77" s="99">
        <v>894448.25732384995</v>
      </c>
      <c r="F77" s="40"/>
      <c r="G77" s="40"/>
      <c r="H77" s="40"/>
      <c r="I77" s="40"/>
    </row>
    <row r="78" spans="1:18">
      <c r="A78" s="45" t="s">
        <v>73</v>
      </c>
      <c r="B78" s="11" t="s">
        <v>74</v>
      </c>
      <c r="C78" s="101">
        <v>27500</v>
      </c>
      <c r="D78" s="98">
        <v>-2.96400847E-2</v>
      </c>
      <c r="E78" s="99">
        <v>137926.85809785</v>
      </c>
      <c r="F78" s="40"/>
      <c r="G78" s="40"/>
      <c r="H78" s="40"/>
      <c r="I78" s="40"/>
    </row>
    <row r="79" spans="1:18">
      <c r="A79" s="45" t="s">
        <v>127</v>
      </c>
      <c r="B79" s="11" t="s">
        <v>128</v>
      </c>
      <c r="C79" s="101">
        <v>621</v>
      </c>
      <c r="D79" s="98">
        <v>-2.9687499999999999E-2</v>
      </c>
      <c r="E79" s="99">
        <v>5863874.0773193501</v>
      </c>
      <c r="F79" s="40"/>
      <c r="G79" s="40"/>
      <c r="H79" s="40"/>
      <c r="I79" s="40"/>
    </row>
    <row r="80" spans="1:18">
      <c r="A80" s="45" t="s">
        <v>93</v>
      </c>
      <c r="B80" s="11" t="s">
        <v>94</v>
      </c>
      <c r="C80" s="101">
        <v>113200</v>
      </c>
      <c r="D80" s="98">
        <v>-2.9991430999999999E-2</v>
      </c>
      <c r="E80" s="99">
        <v>583687.52879321994</v>
      </c>
      <c r="F80" s="40"/>
      <c r="G80" s="40"/>
      <c r="H80" s="40"/>
      <c r="I80" s="40"/>
    </row>
    <row r="81" spans="1:9">
      <c r="A81" s="45" t="s">
        <v>225</v>
      </c>
      <c r="B81" s="11" t="s">
        <v>226</v>
      </c>
      <c r="C81" s="101">
        <v>539</v>
      </c>
      <c r="D81" s="98">
        <v>-3.05755396E-2</v>
      </c>
      <c r="E81" s="99">
        <v>10478311.41856325</v>
      </c>
      <c r="F81" s="40"/>
      <c r="G81" s="40"/>
      <c r="H81" s="40"/>
      <c r="I81" s="40"/>
    </row>
    <row r="82" spans="1:9">
      <c r="A82" s="45" t="s">
        <v>161</v>
      </c>
      <c r="B82" s="11" t="s">
        <v>162</v>
      </c>
      <c r="C82" s="101">
        <v>2180</v>
      </c>
      <c r="D82" s="98">
        <v>-3.1111111100000002E-2</v>
      </c>
      <c r="E82" s="99">
        <v>7426718.84667823</v>
      </c>
      <c r="F82" s="40"/>
      <c r="G82" s="40"/>
      <c r="H82" s="40"/>
      <c r="I82" s="40"/>
    </row>
    <row r="83" spans="1:9">
      <c r="A83" s="45" t="s">
        <v>199</v>
      </c>
      <c r="B83" s="11" t="s">
        <v>200</v>
      </c>
      <c r="C83" s="101">
        <v>401</v>
      </c>
      <c r="D83" s="98">
        <v>-3.1400966199999998E-2</v>
      </c>
      <c r="E83" s="99">
        <v>13921848.65385622</v>
      </c>
      <c r="F83" s="40"/>
      <c r="G83" s="40"/>
      <c r="H83" s="40"/>
      <c r="I83" s="40"/>
    </row>
    <row r="84" spans="1:9">
      <c r="A84" s="45" t="s">
        <v>143</v>
      </c>
      <c r="B84" s="11" t="s">
        <v>144</v>
      </c>
      <c r="C84" s="101">
        <v>9385</v>
      </c>
      <c r="D84" s="98">
        <v>-3.1475748200000001E-2</v>
      </c>
      <c r="E84" s="99">
        <v>1006898.62139491</v>
      </c>
      <c r="F84" s="40"/>
      <c r="G84" s="40"/>
      <c r="H84" s="40"/>
      <c r="I84" s="40"/>
    </row>
    <row r="85" spans="1:9">
      <c r="A85" s="45" t="s">
        <v>181</v>
      </c>
      <c r="B85" s="11" t="s">
        <v>182</v>
      </c>
      <c r="C85" s="101">
        <v>487</v>
      </c>
      <c r="D85" s="98">
        <v>-3.1809145099999998E-2</v>
      </c>
      <c r="E85" s="99">
        <v>7143729.0193606699</v>
      </c>
      <c r="F85" s="40"/>
      <c r="G85" s="40"/>
      <c r="H85" s="40"/>
      <c r="I85" s="40"/>
    </row>
    <row r="86" spans="1:9">
      <c r="A86" s="45" t="s">
        <v>71</v>
      </c>
      <c r="B86" s="11" t="s">
        <v>72</v>
      </c>
      <c r="C86" s="101">
        <v>36.5</v>
      </c>
      <c r="D86" s="98">
        <v>-3.1830238699999999E-2</v>
      </c>
      <c r="E86" s="99">
        <v>140169839.95943981</v>
      </c>
      <c r="F86" s="40"/>
      <c r="G86" s="40"/>
      <c r="H86" s="40"/>
      <c r="I86" s="40"/>
    </row>
    <row r="87" spans="1:9">
      <c r="A87" s="45" t="s">
        <v>115</v>
      </c>
      <c r="B87" s="11" t="s">
        <v>116</v>
      </c>
      <c r="C87" s="101">
        <v>696</v>
      </c>
      <c r="D87" s="98">
        <v>-3.1988873399999999E-2</v>
      </c>
      <c r="E87" s="99">
        <v>8506154.7536750101</v>
      </c>
      <c r="F87" s="40"/>
      <c r="G87" s="40"/>
      <c r="H87" s="40"/>
      <c r="I87" s="40"/>
    </row>
    <row r="88" spans="1:9">
      <c r="A88" s="45" t="s">
        <v>265</v>
      </c>
      <c r="B88" s="11" t="s">
        <v>266</v>
      </c>
      <c r="C88" s="101">
        <v>93.3</v>
      </c>
      <c r="D88" s="98">
        <v>-3.21576763E-2</v>
      </c>
      <c r="E88" s="99">
        <v>91245036.217700973</v>
      </c>
      <c r="F88" s="40"/>
      <c r="G88" s="40"/>
      <c r="H88" s="40"/>
      <c r="I88" s="40"/>
    </row>
    <row r="89" spans="1:9">
      <c r="A89" s="45" t="s">
        <v>97</v>
      </c>
      <c r="B89" s="11" t="s">
        <v>98</v>
      </c>
      <c r="C89" s="101">
        <v>6715</v>
      </c>
      <c r="D89" s="98">
        <v>-3.2420749300000003E-2</v>
      </c>
      <c r="E89" s="99">
        <v>1766259.49233611</v>
      </c>
      <c r="F89" s="40"/>
      <c r="G89" s="40"/>
      <c r="H89" s="40"/>
      <c r="I89" s="40"/>
    </row>
    <row r="90" spans="1:9">
      <c r="A90" s="45" t="s">
        <v>239</v>
      </c>
      <c r="B90" s="11" t="s">
        <v>240</v>
      </c>
      <c r="C90" s="101">
        <v>207</v>
      </c>
      <c r="D90" s="98">
        <v>-3.27102804E-2</v>
      </c>
      <c r="E90" s="99">
        <v>39800406.528868102</v>
      </c>
      <c r="F90" s="40"/>
      <c r="G90" s="40"/>
      <c r="H90" s="40"/>
      <c r="I90" s="40"/>
    </row>
    <row r="91" spans="1:9">
      <c r="A91" s="45" t="s">
        <v>167</v>
      </c>
      <c r="B91" s="11" t="s">
        <v>168</v>
      </c>
      <c r="C91" s="101">
        <v>205</v>
      </c>
      <c r="D91" s="98">
        <v>-3.3018867899999998E-2</v>
      </c>
      <c r="E91" s="99">
        <v>94883752.82667169</v>
      </c>
      <c r="F91" s="40"/>
      <c r="G91" s="40"/>
      <c r="H91" s="40"/>
      <c r="I91" s="40"/>
    </row>
    <row r="92" spans="1:9">
      <c r="A92" s="45" t="s">
        <v>91</v>
      </c>
      <c r="B92" s="11" t="s">
        <v>92</v>
      </c>
      <c r="C92" s="101">
        <v>1900</v>
      </c>
      <c r="D92" s="98">
        <v>-3.3078880400000003E-2</v>
      </c>
      <c r="E92" s="99">
        <v>301793899.04262596</v>
      </c>
      <c r="F92" s="40"/>
      <c r="G92" s="40"/>
      <c r="H92" s="40"/>
      <c r="I92" s="40"/>
    </row>
    <row r="93" spans="1:9">
      <c r="A93" s="45" t="s">
        <v>251</v>
      </c>
      <c r="B93" s="11" t="s">
        <v>252</v>
      </c>
      <c r="C93" s="101">
        <v>581</v>
      </c>
      <c r="D93" s="98">
        <v>-3.3277870199999997E-2</v>
      </c>
      <c r="E93" s="99">
        <v>15512250.509519549</v>
      </c>
      <c r="F93" s="40"/>
      <c r="G93" s="40"/>
      <c r="H93" s="40"/>
      <c r="I93" s="40"/>
    </row>
    <row r="94" spans="1:9">
      <c r="A94" s="45" t="s">
        <v>107</v>
      </c>
      <c r="B94" s="11" t="s">
        <v>108</v>
      </c>
      <c r="C94" s="101">
        <v>49320</v>
      </c>
      <c r="D94" s="98">
        <v>-3.3699059599999998E-2</v>
      </c>
      <c r="E94" s="99">
        <v>448086.43341042998</v>
      </c>
      <c r="F94" s="40"/>
      <c r="G94" s="40"/>
      <c r="H94" s="40"/>
      <c r="I94" s="40"/>
    </row>
    <row r="95" spans="1:9">
      <c r="A95" s="45" t="s">
        <v>217</v>
      </c>
      <c r="B95" s="11" t="s">
        <v>218</v>
      </c>
      <c r="C95" s="101">
        <v>31.5</v>
      </c>
      <c r="D95" s="98">
        <v>-3.3742331299999997E-2</v>
      </c>
      <c r="E95" s="99">
        <v>463981911.98787922</v>
      </c>
      <c r="F95" s="40"/>
      <c r="G95" s="40"/>
      <c r="H95" s="40"/>
      <c r="I95" s="40"/>
    </row>
    <row r="96" spans="1:9">
      <c r="A96" s="45" t="s">
        <v>163</v>
      </c>
      <c r="B96" s="11" t="s">
        <v>164</v>
      </c>
      <c r="C96" s="101">
        <v>25930</v>
      </c>
      <c r="D96" s="98">
        <v>-3.3904620000000003E-2</v>
      </c>
      <c r="E96" s="99">
        <v>222168.72717299999</v>
      </c>
      <c r="F96" s="40"/>
      <c r="G96" s="40"/>
      <c r="H96" s="40"/>
      <c r="I96" s="40"/>
    </row>
    <row r="97" spans="1:9">
      <c r="A97" s="45" t="s">
        <v>179</v>
      </c>
      <c r="B97" s="11" t="s">
        <v>180</v>
      </c>
      <c r="C97" s="101">
        <v>4695</v>
      </c>
      <c r="D97" s="98">
        <v>-3.3950617299999999E-2</v>
      </c>
      <c r="E97" s="99">
        <v>3479719.8911182</v>
      </c>
      <c r="F97" s="40"/>
      <c r="G97" s="40"/>
      <c r="H97" s="40"/>
      <c r="I97" s="40"/>
    </row>
    <row r="98" spans="1:9">
      <c r="A98" s="45" t="s">
        <v>271</v>
      </c>
      <c r="B98" s="11" t="s">
        <v>272</v>
      </c>
      <c r="C98" s="101">
        <v>2405</v>
      </c>
      <c r="D98" s="98">
        <v>-3.4136546199999999E-2</v>
      </c>
      <c r="E98" s="99">
        <v>3667827.68996053</v>
      </c>
      <c r="F98" s="40"/>
      <c r="G98" s="40"/>
      <c r="H98" s="40"/>
      <c r="I98" s="40"/>
    </row>
    <row r="99" spans="1:9">
      <c r="A99" s="45" t="s">
        <v>113</v>
      </c>
      <c r="B99" s="11" t="s">
        <v>114</v>
      </c>
      <c r="C99" s="101">
        <v>13180</v>
      </c>
      <c r="D99" s="98">
        <v>-3.4432234399999997E-2</v>
      </c>
      <c r="E99" s="99">
        <v>477473.63246286998</v>
      </c>
      <c r="F99" s="40"/>
      <c r="G99" s="40"/>
      <c r="H99" s="40"/>
      <c r="I99" s="40"/>
    </row>
    <row r="100" spans="1:9">
      <c r="A100" s="45" t="s">
        <v>255</v>
      </c>
      <c r="B100" s="11" t="s">
        <v>256</v>
      </c>
      <c r="C100" s="101">
        <v>265</v>
      </c>
      <c r="D100" s="98">
        <v>-3.6363636400000003E-2</v>
      </c>
      <c r="E100" s="99">
        <v>12504561.03856148</v>
      </c>
      <c r="F100" s="40"/>
      <c r="G100" s="40"/>
      <c r="H100" s="40"/>
      <c r="I100" s="40"/>
    </row>
    <row r="101" spans="1:9">
      <c r="A101" s="45" t="s">
        <v>81</v>
      </c>
      <c r="B101" s="11" t="s">
        <v>82</v>
      </c>
      <c r="C101" s="101">
        <v>1560</v>
      </c>
      <c r="D101" s="98">
        <v>-3.7037037000000002E-2</v>
      </c>
      <c r="E101" s="99">
        <v>2024779.96689676</v>
      </c>
      <c r="F101" s="40"/>
      <c r="G101" s="40"/>
      <c r="H101" s="40"/>
      <c r="I101" s="40"/>
    </row>
    <row r="102" spans="1:9">
      <c r="A102" s="45" t="s">
        <v>263</v>
      </c>
      <c r="B102" s="11" t="s">
        <v>264</v>
      </c>
      <c r="C102" s="101">
        <v>181</v>
      </c>
      <c r="D102" s="98">
        <v>-3.7234042600000003E-2</v>
      </c>
      <c r="E102" s="99">
        <v>18042776.993536711</v>
      </c>
      <c r="F102" s="40"/>
      <c r="G102" s="40"/>
      <c r="H102" s="40"/>
      <c r="I102" s="40"/>
    </row>
    <row r="103" spans="1:9">
      <c r="A103" s="45" t="s">
        <v>245</v>
      </c>
      <c r="B103" s="11" t="s">
        <v>246</v>
      </c>
      <c r="C103" s="101">
        <v>435</v>
      </c>
      <c r="D103" s="98">
        <v>-3.7610619499999998E-2</v>
      </c>
      <c r="E103" s="99">
        <v>15778377.608329421</v>
      </c>
      <c r="F103" s="40"/>
      <c r="G103" s="40"/>
      <c r="H103" s="40"/>
      <c r="I103" s="40"/>
    </row>
    <row r="104" spans="1:9">
      <c r="A104" s="45" t="s">
        <v>203</v>
      </c>
      <c r="B104" s="11" t="s">
        <v>204</v>
      </c>
      <c r="C104" s="101">
        <v>9970</v>
      </c>
      <c r="D104" s="98">
        <v>-3.76447876E-2</v>
      </c>
      <c r="E104" s="99">
        <v>12635819.79487611</v>
      </c>
      <c r="F104" s="40"/>
      <c r="G104" s="40"/>
      <c r="H104" s="40"/>
      <c r="I104" s="40"/>
    </row>
    <row r="105" spans="1:9">
      <c r="A105" s="45" t="s">
        <v>281</v>
      </c>
      <c r="B105" s="11" t="s">
        <v>282</v>
      </c>
      <c r="C105" s="101">
        <v>178</v>
      </c>
      <c r="D105" s="98">
        <v>-3.7837837800000003E-2</v>
      </c>
      <c r="E105" s="99">
        <v>24140096.879714958</v>
      </c>
      <c r="F105" s="40"/>
      <c r="G105" s="40"/>
      <c r="H105" s="40"/>
      <c r="I105" s="40"/>
    </row>
    <row r="106" spans="1:9">
      <c r="A106" s="45" t="s">
        <v>87</v>
      </c>
      <c r="B106" s="11" t="s">
        <v>88</v>
      </c>
      <c r="C106" s="101">
        <v>635</v>
      </c>
      <c r="D106" s="98">
        <v>-3.7878787900000002E-2</v>
      </c>
      <c r="E106" s="99">
        <v>89174319.353555486</v>
      </c>
      <c r="F106" s="40"/>
      <c r="G106" s="40"/>
      <c r="H106" s="40"/>
      <c r="I106" s="40"/>
    </row>
    <row r="107" spans="1:9">
      <c r="A107" s="45" t="s">
        <v>149</v>
      </c>
      <c r="B107" s="11" t="s">
        <v>150</v>
      </c>
      <c r="C107" s="101">
        <v>5830</v>
      </c>
      <c r="D107" s="98">
        <v>-3.7953795399999997E-2</v>
      </c>
      <c r="E107" s="99">
        <v>7928912.9618172804</v>
      </c>
      <c r="F107" s="40"/>
      <c r="G107" s="40"/>
      <c r="H107" s="40"/>
      <c r="I107" s="40"/>
    </row>
    <row r="108" spans="1:9">
      <c r="A108" s="45" t="s">
        <v>189</v>
      </c>
      <c r="B108" s="11" t="s">
        <v>190</v>
      </c>
      <c r="C108" s="101">
        <v>76720</v>
      </c>
      <c r="D108" s="98">
        <v>-3.8114343000000002E-2</v>
      </c>
      <c r="E108" s="99">
        <v>185760.77242672001</v>
      </c>
      <c r="F108" s="40"/>
      <c r="G108" s="40"/>
      <c r="H108" s="40"/>
      <c r="I108" s="40"/>
    </row>
    <row r="109" spans="1:9">
      <c r="A109" s="45" t="s">
        <v>169</v>
      </c>
      <c r="B109" s="11" t="s">
        <v>170</v>
      </c>
      <c r="C109" s="101">
        <v>528</v>
      </c>
      <c r="D109" s="98">
        <v>-3.8251366100000003E-2</v>
      </c>
      <c r="E109" s="46">
        <v>26136127.24639447</v>
      </c>
    </row>
    <row r="110" spans="1:9">
      <c r="A110" s="45" t="s">
        <v>183</v>
      </c>
      <c r="B110" s="11" t="s">
        <v>184</v>
      </c>
      <c r="C110" s="101">
        <v>2600</v>
      </c>
      <c r="D110" s="98">
        <v>-3.8817005500000001E-2</v>
      </c>
      <c r="E110" s="46">
        <v>1422649.9404662901</v>
      </c>
    </row>
    <row r="111" spans="1:9">
      <c r="A111" s="45" t="s">
        <v>231</v>
      </c>
      <c r="B111" s="11" t="s">
        <v>232</v>
      </c>
      <c r="C111" s="101">
        <v>194</v>
      </c>
      <c r="D111" s="98">
        <v>-3.9603960399999999E-2</v>
      </c>
      <c r="E111" s="46">
        <v>44361191.889687523</v>
      </c>
    </row>
    <row r="112" spans="1:9">
      <c r="A112" s="45" t="s">
        <v>283</v>
      </c>
      <c r="B112" s="11" t="s">
        <v>284</v>
      </c>
      <c r="C112" s="101">
        <v>462</v>
      </c>
      <c r="D112" s="98">
        <v>-4.1493775900000002E-2</v>
      </c>
      <c r="E112" s="46">
        <v>18317394.660448302</v>
      </c>
    </row>
    <row r="113" spans="1:5">
      <c r="A113" s="45" t="s">
        <v>66</v>
      </c>
      <c r="B113" s="11" t="s">
        <v>67</v>
      </c>
      <c r="C113" s="101">
        <v>9735</v>
      </c>
      <c r="D113" s="98">
        <v>-4.1830708699999997E-2</v>
      </c>
      <c r="E113" s="46">
        <v>2146307.9573280602</v>
      </c>
    </row>
    <row r="114" spans="1:5">
      <c r="A114" s="45" t="s">
        <v>249</v>
      </c>
      <c r="B114" s="11" t="s">
        <v>250</v>
      </c>
      <c r="C114" s="101">
        <v>240</v>
      </c>
      <c r="D114" s="98">
        <v>-4.3824701200000003E-2</v>
      </c>
      <c r="E114" s="46">
        <v>40423505.036088139</v>
      </c>
    </row>
    <row r="115" spans="1:5">
      <c r="A115" s="45" t="s">
        <v>165</v>
      </c>
      <c r="B115" s="11" t="s">
        <v>166</v>
      </c>
      <c r="C115" s="101">
        <v>2485</v>
      </c>
      <c r="D115" s="98">
        <v>-4.6065259099999999E-2</v>
      </c>
      <c r="E115" s="46">
        <v>2515166.4393983502</v>
      </c>
    </row>
    <row r="116" spans="1:5">
      <c r="A116" s="45" t="s">
        <v>257</v>
      </c>
      <c r="B116" s="11" t="s">
        <v>258</v>
      </c>
      <c r="C116" s="101">
        <v>745</v>
      </c>
      <c r="D116" s="98">
        <v>-4.6094750300000001E-2</v>
      </c>
      <c r="E116" s="46">
        <v>16340377.16434516</v>
      </c>
    </row>
    <row r="117" spans="1:5">
      <c r="A117" s="45" t="s">
        <v>125</v>
      </c>
      <c r="B117" s="11" t="s">
        <v>126</v>
      </c>
      <c r="C117" s="101">
        <v>68</v>
      </c>
      <c r="D117" s="98">
        <v>-4.7619047599999999E-2</v>
      </c>
      <c r="E117" s="46">
        <v>390908521.83650172</v>
      </c>
    </row>
    <row r="118" spans="1:5">
      <c r="A118" s="45" t="s">
        <v>53</v>
      </c>
      <c r="B118" s="11" t="s">
        <v>54</v>
      </c>
      <c r="C118" s="101">
        <v>369</v>
      </c>
      <c r="D118" s="98">
        <v>-5.1413881699999997E-2</v>
      </c>
      <c r="E118" s="46">
        <v>19380065.143520851</v>
      </c>
    </row>
    <row r="119" spans="1:5">
      <c r="A119" s="45"/>
      <c r="B119" s="11"/>
      <c r="C119" s="101"/>
      <c r="D119" s="98"/>
      <c r="E119" s="46"/>
    </row>
    <row r="120" spans="1:5">
      <c r="A120" s="45"/>
      <c r="B120" s="11"/>
      <c r="C120" s="101"/>
      <c r="D120" s="98"/>
      <c r="E120" s="46"/>
    </row>
    <row r="121" spans="1:5">
      <c r="A121" s="45"/>
      <c r="B121" s="11"/>
      <c r="C121" s="101"/>
      <c r="D121" s="98"/>
      <c r="E121" s="46"/>
    </row>
    <row r="122" spans="1:5">
      <c r="A122" s="45"/>
      <c r="B122" s="11"/>
      <c r="C122" s="101"/>
      <c r="D122" s="98"/>
      <c r="E122" s="46"/>
    </row>
    <row r="123" spans="1:5">
      <c r="A123" s="45"/>
      <c r="B123" s="11"/>
      <c r="C123" s="101"/>
      <c r="D123" s="98"/>
      <c r="E123" s="46"/>
    </row>
    <row r="124" spans="1:5">
      <c r="A124" s="45"/>
      <c r="B124" s="11"/>
      <c r="C124" s="101"/>
      <c r="D124" s="98"/>
      <c r="E124" s="46"/>
    </row>
    <row r="125" spans="1:5">
      <c r="A125" s="45"/>
      <c r="B125" s="11"/>
      <c r="C125" s="101"/>
      <c r="D125" s="98"/>
      <c r="E125" s="46"/>
    </row>
    <row r="126" spans="1:5">
      <c r="A126" s="45"/>
      <c r="B126" s="11"/>
      <c r="C126" s="101"/>
      <c r="D126" s="98"/>
      <c r="E126" s="46"/>
    </row>
    <row r="127" spans="1:5">
      <c r="A127" s="45"/>
      <c r="B127" s="11"/>
      <c r="C127" s="101"/>
      <c r="D127" s="98"/>
      <c r="E127" s="46"/>
    </row>
    <row r="128" spans="1:5">
      <c r="A128" s="45"/>
      <c r="B128" s="11"/>
      <c r="C128" s="101"/>
      <c r="D128" s="98"/>
      <c r="E128" s="46"/>
    </row>
    <row r="129" spans="1:5">
      <c r="A129" s="45"/>
      <c r="B129" s="11"/>
      <c r="C129" s="101"/>
      <c r="D129" s="98"/>
      <c r="E129" s="46"/>
    </row>
    <row r="130" spans="1:5">
      <c r="A130" s="45"/>
      <c r="B130" s="11"/>
      <c r="C130" s="101"/>
      <c r="D130" s="98"/>
      <c r="E130" s="46"/>
    </row>
    <row r="131" spans="1:5">
      <c r="A131" s="45"/>
      <c r="B131" s="11"/>
      <c r="C131" s="101"/>
      <c r="D131" s="98"/>
      <c r="E131" s="46"/>
    </row>
    <row r="132" spans="1:5">
      <c r="A132" s="45"/>
      <c r="B132" s="11"/>
      <c r="C132" s="101"/>
      <c r="D132" s="98"/>
      <c r="E132" s="46"/>
    </row>
    <row r="133" spans="1:5">
      <c r="A133" s="45"/>
      <c r="B133" s="11"/>
      <c r="C133" s="101"/>
      <c r="D133" s="98"/>
      <c r="E133" s="46"/>
    </row>
    <row r="134" spans="1:5">
      <c r="A134" s="45"/>
      <c r="B134" s="11"/>
      <c r="C134" s="101"/>
      <c r="D134" s="98"/>
      <c r="E134" s="46"/>
    </row>
    <row r="135" spans="1:5">
      <c r="A135" s="45"/>
      <c r="B135" s="11"/>
      <c r="C135" s="101"/>
      <c r="D135" s="98"/>
      <c r="E135" s="46"/>
    </row>
    <row r="136" spans="1:5">
      <c r="A136" s="45"/>
      <c r="B136" s="11"/>
      <c r="C136" s="101"/>
      <c r="D136" s="98"/>
      <c r="E136" s="46"/>
    </row>
    <row r="137" spans="1:5">
      <c r="A137" s="45"/>
      <c r="B137" s="11"/>
      <c r="C137" s="101"/>
      <c r="D137" s="98"/>
      <c r="E137" s="46"/>
    </row>
    <row r="138" spans="1:5">
      <c r="A138" s="45"/>
      <c r="B138" s="11"/>
      <c r="C138" s="101"/>
      <c r="D138" s="98"/>
      <c r="E138" s="46"/>
    </row>
    <row r="139" spans="1:5">
      <c r="A139" s="45"/>
      <c r="B139" s="11"/>
      <c r="C139" s="101"/>
      <c r="D139" s="98"/>
      <c r="E139" s="46"/>
    </row>
    <row r="140" spans="1:5">
      <c r="A140" s="45"/>
      <c r="B140" s="11"/>
      <c r="C140" s="101"/>
      <c r="D140" s="98"/>
      <c r="E140" s="46"/>
    </row>
    <row r="141" spans="1:5">
      <c r="A141" s="45"/>
      <c r="B141" s="11"/>
      <c r="C141" s="101"/>
      <c r="D141" s="98"/>
      <c r="E141" s="46"/>
    </row>
    <row r="142" spans="1:5">
      <c r="A142" s="45"/>
      <c r="B142" s="11"/>
      <c r="C142" s="101"/>
      <c r="D142" s="98"/>
      <c r="E142" s="46"/>
    </row>
    <row r="143" spans="1:5">
      <c r="A143" s="45"/>
      <c r="B143" s="11"/>
      <c r="C143" s="101"/>
      <c r="D143" s="98"/>
      <c r="E143" s="46"/>
    </row>
    <row r="144" spans="1:5">
      <c r="A144" s="45"/>
      <c r="B144" s="11"/>
      <c r="C144" s="101"/>
      <c r="D144" s="98"/>
      <c r="E144" s="46"/>
    </row>
    <row r="145" spans="1:5">
      <c r="A145" s="45"/>
      <c r="B145" s="11"/>
      <c r="C145" s="101"/>
      <c r="D145" s="98"/>
      <c r="E145" s="46"/>
    </row>
    <row r="146" spans="1:5">
      <c r="A146" s="45"/>
      <c r="B146" s="11"/>
      <c r="C146" s="101"/>
      <c r="D146" s="98"/>
      <c r="E146" s="46"/>
    </row>
    <row r="147" spans="1:5">
      <c r="A147" s="45"/>
      <c r="B147" s="11"/>
      <c r="C147" s="101"/>
      <c r="D147" s="98"/>
      <c r="E147" s="46"/>
    </row>
    <row r="148" spans="1:5">
      <c r="A148" s="45"/>
      <c r="B148" s="11"/>
      <c r="C148" s="101"/>
      <c r="D148" s="98"/>
      <c r="E148" s="46"/>
    </row>
    <row r="149" spans="1:5">
      <c r="A149" s="45"/>
      <c r="B149" s="11"/>
      <c r="C149" s="101"/>
      <c r="D149" s="98"/>
      <c r="E149" s="46"/>
    </row>
    <row r="150" spans="1:5">
      <c r="A150" s="45"/>
      <c r="B150" s="11"/>
      <c r="C150" s="101"/>
      <c r="D150" s="98"/>
      <c r="E150" s="46"/>
    </row>
    <row r="151" spans="1:5">
      <c r="A151" s="45"/>
      <c r="B151" s="11"/>
      <c r="C151" s="101"/>
      <c r="D151" s="98"/>
      <c r="E151" s="46"/>
    </row>
    <row r="152" spans="1:5">
      <c r="A152" s="45"/>
      <c r="B152" s="11"/>
      <c r="C152" s="101"/>
      <c r="D152" s="98"/>
      <c r="E152" s="46"/>
    </row>
    <row r="153" spans="1:5">
      <c r="A153" s="45"/>
      <c r="B153" s="11"/>
      <c r="C153" s="101"/>
      <c r="D153" s="98"/>
      <c r="E153" s="46"/>
    </row>
    <row r="154" spans="1:5">
      <c r="A154" s="45"/>
      <c r="B154" s="11"/>
      <c r="C154" s="101"/>
      <c r="D154" s="98"/>
      <c r="E154" s="46"/>
    </row>
    <row r="155" spans="1:5">
      <c r="A155" s="45"/>
      <c r="B155" s="11"/>
      <c r="C155" s="101"/>
      <c r="D155" s="98"/>
      <c r="E155" s="46"/>
    </row>
    <row r="156" spans="1:5">
      <c r="A156" s="45"/>
      <c r="B156" s="11"/>
      <c r="C156" s="101"/>
      <c r="D156" s="98"/>
      <c r="E156" s="46"/>
    </row>
    <row r="157" spans="1:5">
      <c r="A157" s="45"/>
      <c r="B157" s="11"/>
      <c r="C157" s="101"/>
      <c r="D157" s="98"/>
      <c r="E157" s="46"/>
    </row>
    <row r="158" spans="1:5">
      <c r="A158" s="45"/>
      <c r="B158" s="11"/>
      <c r="C158" s="101"/>
      <c r="D158" s="98"/>
      <c r="E158" s="46"/>
    </row>
    <row r="159" spans="1:5">
      <c r="A159" s="45"/>
      <c r="B159" s="11"/>
      <c r="C159" s="101"/>
      <c r="D159" s="98"/>
      <c r="E159" s="46"/>
    </row>
    <row r="160" spans="1:5">
      <c r="A160" s="45"/>
      <c r="B160" s="11"/>
      <c r="C160" s="101"/>
      <c r="D160" s="98"/>
      <c r="E160" s="46"/>
    </row>
    <row r="161" spans="1:5">
      <c r="A161" s="45"/>
      <c r="B161" s="11"/>
      <c r="C161" s="101"/>
      <c r="D161" s="98"/>
      <c r="E161" s="46"/>
    </row>
    <row r="162" spans="1:5">
      <c r="A162" s="45"/>
      <c r="B162" s="11"/>
      <c r="C162" s="101"/>
      <c r="D162" s="98"/>
      <c r="E162" s="46"/>
    </row>
    <row r="163" spans="1:5">
      <c r="A163" s="45"/>
      <c r="B163" s="11"/>
      <c r="C163" s="101"/>
      <c r="D163" s="98"/>
      <c r="E163" s="46"/>
    </row>
    <row r="164" spans="1:5">
      <c r="A164" s="45"/>
      <c r="B164" s="11"/>
      <c r="C164" s="101"/>
      <c r="D164" s="98"/>
      <c r="E164" s="46"/>
    </row>
    <row r="165" spans="1:5">
      <c r="A165" s="45"/>
      <c r="B165" s="11"/>
      <c r="C165" s="101"/>
      <c r="D165" s="98"/>
      <c r="E165" s="46"/>
    </row>
    <row r="166" spans="1:5">
      <c r="A166" s="45"/>
      <c r="B166" s="11"/>
      <c r="C166" s="101"/>
      <c r="D166" s="98"/>
      <c r="E166" s="46"/>
    </row>
    <row r="167" spans="1:5">
      <c r="A167" s="45"/>
      <c r="B167" s="11"/>
      <c r="C167" s="101"/>
      <c r="D167" s="98"/>
      <c r="E167" s="46"/>
    </row>
    <row r="168" spans="1:5">
      <c r="A168" s="45"/>
      <c r="B168" s="11"/>
      <c r="C168" s="101"/>
      <c r="D168" s="98"/>
      <c r="E168" s="46"/>
    </row>
    <row r="169" spans="1:5">
      <c r="A169" s="45"/>
      <c r="B169" s="11"/>
      <c r="C169" s="101"/>
      <c r="D169" s="98"/>
      <c r="E169" s="46"/>
    </row>
    <row r="170" spans="1:5">
      <c r="A170" s="45"/>
      <c r="B170" s="11"/>
      <c r="C170" s="101"/>
      <c r="D170" s="98"/>
      <c r="E170" s="46"/>
    </row>
    <row r="171" spans="1:5">
      <c r="A171" s="45"/>
      <c r="B171" s="11"/>
      <c r="C171" s="101"/>
      <c r="D171" s="98"/>
      <c r="E171" s="46"/>
    </row>
    <row r="172" spans="1:5">
      <c r="A172" s="45"/>
      <c r="B172" s="11"/>
      <c r="C172" s="101"/>
      <c r="D172" s="98"/>
      <c r="E172" s="46"/>
    </row>
    <row r="173" spans="1:5">
      <c r="A173" s="45"/>
      <c r="B173" s="11"/>
      <c r="C173" s="101"/>
      <c r="D173" s="98"/>
      <c r="E173" s="46"/>
    </row>
    <row r="174" spans="1:5">
      <c r="A174" s="45"/>
      <c r="B174" s="11"/>
      <c r="C174" s="101"/>
      <c r="D174" s="98"/>
      <c r="E174" s="46"/>
    </row>
    <row r="175" spans="1:5">
      <c r="A175" s="45"/>
      <c r="B175" s="11"/>
      <c r="C175" s="101"/>
      <c r="D175" s="98"/>
      <c r="E175" s="46"/>
    </row>
    <row r="176" spans="1:5">
      <c r="A176" s="45"/>
      <c r="B176" s="11"/>
      <c r="C176" s="101"/>
      <c r="D176" s="98"/>
      <c r="E176" s="46"/>
    </row>
    <row r="177" spans="1:5">
      <c r="A177" s="45"/>
      <c r="B177" s="11"/>
      <c r="C177" s="101"/>
      <c r="D177" s="98"/>
      <c r="E177" s="46"/>
    </row>
    <row r="178" spans="1:5">
      <c r="A178" s="45"/>
      <c r="B178" s="11"/>
      <c r="C178" s="101"/>
      <c r="D178" s="98"/>
      <c r="E178" s="46"/>
    </row>
    <row r="179" spans="1:5">
      <c r="A179" s="45"/>
      <c r="B179" s="11"/>
      <c r="C179" s="101"/>
      <c r="D179" s="98"/>
      <c r="E179" s="46"/>
    </row>
    <row r="180" spans="1:5">
      <c r="A180" s="45"/>
      <c r="B180" s="11"/>
      <c r="C180" s="101"/>
      <c r="D180" s="98"/>
      <c r="E180" s="46"/>
    </row>
    <row r="181" spans="1:5">
      <c r="A181" s="45"/>
      <c r="B181" s="11"/>
      <c r="C181" s="101"/>
      <c r="D181" s="98"/>
      <c r="E181" s="46"/>
    </row>
    <row r="182" spans="1:5">
      <c r="A182" s="45"/>
      <c r="B182" s="11"/>
      <c r="C182" s="101"/>
      <c r="D182" s="98"/>
      <c r="E182" s="46"/>
    </row>
    <row r="183" spans="1:5">
      <c r="A183" s="45"/>
      <c r="B183" s="11"/>
      <c r="C183" s="101"/>
      <c r="D183" s="98"/>
      <c r="E183" s="46"/>
    </row>
    <row r="184" spans="1:5">
      <c r="A184" s="45"/>
      <c r="B184" s="11"/>
      <c r="C184" s="101"/>
      <c r="D184" s="98"/>
      <c r="E184" s="46"/>
    </row>
    <row r="185" spans="1:5">
      <c r="A185" s="45"/>
      <c r="B185" s="11"/>
      <c r="C185" s="101"/>
      <c r="D185" s="98"/>
      <c r="E185" s="46"/>
    </row>
    <row r="186" spans="1:5">
      <c r="A186" s="45"/>
      <c r="B186" s="11"/>
      <c r="C186" s="101"/>
      <c r="D186" s="98"/>
      <c r="E186" s="46"/>
    </row>
    <row r="187" spans="1:5">
      <c r="A187" s="45"/>
      <c r="B187" s="11"/>
      <c r="C187" s="101"/>
      <c r="D187" s="98"/>
      <c r="E187" s="46"/>
    </row>
    <row r="188" spans="1:5">
      <c r="A188" s="45"/>
      <c r="B188" s="11"/>
      <c r="C188" s="101"/>
      <c r="D188" s="98"/>
      <c r="E188" s="46"/>
    </row>
    <row r="189" spans="1:5">
      <c r="A189" s="45"/>
      <c r="B189" s="11"/>
      <c r="C189" s="101"/>
      <c r="D189" s="98"/>
      <c r="E189" s="46"/>
    </row>
    <row r="190" spans="1:5">
      <c r="A190" s="45"/>
      <c r="B190" s="11"/>
      <c r="C190" s="101"/>
      <c r="D190" s="98"/>
      <c r="E190" s="46"/>
    </row>
    <row r="191" spans="1:5">
      <c r="A191" s="45"/>
      <c r="B191" s="11"/>
      <c r="C191" s="101"/>
      <c r="D191" s="98"/>
      <c r="E191" s="46"/>
    </row>
    <row r="192" spans="1:5">
      <c r="A192" s="45"/>
      <c r="B192" s="11"/>
      <c r="C192" s="101"/>
      <c r="D192" s="98"/>
      <c r="E192" s="46"/>
    </row>
    <row r="193" spans="1:5">
      <c r="A193" s="45"/>
      <c r="B193" s="11"/>
      <c r="C193" s="101"/>
      <c r="D193" s="98"/>
      <c r="E193" s="46"/>
    </row>
    <row r="194" spans="1:5">
      <c r="A194" s="45"/>
      <c r="B194" s="11"/>
      <c r="C194" s="101"/>
      <c r="D194" s="98"/>
      <c r="E194" s="46"/>
    </row>
    <row r="195" spans="1:5">
      <c r="A195" s="45"/>
      <c r="B195" s="11"/>
      <c r="C195" s="101"/>
      <c r="D195" s="98"/>
      <c r="E195" s="46"/>
    </row>
    <row r="196" spans="1:5">
      <c r="A196" s="45"/>
      <c r="B196" s="11"/>
      <c r="C196" s="101"/>
      <c r="D196" s="98"/>
      <c r="E196" s="46"/>
    </row>
    <row r="197" spans="1:5">
      <c r="A197" s="45"/>
      <c r="B197" s="11"/>
      <c r="C197" s="101"/>
      <c r="D197" s="98"/>
      <c r="E197" s="46"/>
    </row>
    <row r="198" spans="1:5">
      <c r="A198" s="45"/>
      <c r="B198" s="11"/>
      <c r="C198" s="101"/>
      <c r="D198" s="98"/>
      <c r="E198" s="46"/>
    </row>
    <row r="199" spans="1:5">
      <c r="A199" s="45"/>
      <c r="B199" s="102"/>
      <c r="C199" s="103"/>
      <c r="D199" s="98"/>
      <c r="E199" s="46"/>
    </row>
    <row r="200" spans="1:5" ht="17.25" thickBot="1">
      <c r="A200" s="47"/>
      <c r="B200" s="77"/>
      <c r="C200" s="104"/>
      <c r="D200" s="100"/>
      <c r="E200" s="48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BA287-7941-4BA3-8BB6-FD901B443EAE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style="10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49" t="s">
        <v>0</v>
      </c>
      <c r="B1" s="150"/>
      <c r="C1" s="150"/>
      <c r="D1" s="150"/>
      <c r="E1" s="150"/>
      <c r="F1" s="151"/>
      <c r="G1" s="180">
        <v>44317</v>
      </c>
      <c r="H1" s="181"/>
      <c r="I1" s="182"/>
      <c r="J1" s="149" t="s">
        <v>1</v>
      </c>
      <c r="K1" s="150"/>
      <c r="L1" s="150"/>
      <c r="M1" s="150"/>
      <c r="N1" s="150"/>
      <c r="O1" s="151"/>
      <c r="Q1" s="149" t="s">
        <v>2</v>
      </c>
      <c r="R1" s="151"/>
    </row>
    <row r="2" spans="1:19" ht="17.25" customHeight="1">
      <c r="A2" s="1" t="s">
        <v>3</v>
      </c>
      <c r="B2" s="177" t="s">
        <v>4</v>
      </c>
      <c r="C2" s="178"/>
      <c r="D2" s="178"/>
      <c r="E2" s="178"/>
      <c r="F2" s="179"/>
      <c r="G2" s="174" t="s">
        <v>46</v>
      </c>
      <c r="H2" s="175"/>
      <c r="I2" s="176"/>
      <c r="J2" s="1" t="s">
        <v>3</v>
      </c>
      <c r="K2" s="177" t="s">
        <v>5</v>
      </c>
      <c r="L2" s="178"/>
      <c r="M2" s="178"/>
      <c r="N2" s="178"/>
      <c r="O2" s="179"/>
      <c r="Q2" s="2" t="s">
        <v>6</v>
      </c>
      <c r="R2" s="3">
        <v>0.375</v>
      </c>
    </row>
    <row r="3" spans="1:19" ht="17.25" customHeight="1" thickBot="1">
      <c r="A3" s="4" t="s">
        <v>7</v>
      </c>
      <c r="B3" s="171" t="s">
        <v>8</v>
      </c>
      <c r="C3" s="172"/>
      <c r="D3" s="172"/>
      <c r="E3" s="172"/>
      <c r="F3" s="173"/>
      <c r="G3" s="1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169"/>
      <c r="I3" s="170"/>
      <c r="J3" s="4" t="s">
        <v>7</v>
      </c>
      <c r="K3" s="171" t="s">
        <v>9</v>
      </c>
      <c r="L3" s="172"/>
      <c r="M3" s="172"/>
      <c r="N3" s="172"/>
      <c r="O3" s="17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1" t="s">
        <v>12</v>
      </c>
      <c r="C4" s="172"/>
      <c r="D4" s="172"/>
      <c r="E4" s="172"/>
      <c r="F4" s="173"/>
      <c r="G4" s="174" t="s">
        <v>44</v>
      </c>
      <c r="H4" s="175"/>
      <c r="I4" s="176"/>
      <c r="J4" s="4" t="s">
        <v>11</v>
      </c>
      <c r="K4" s="171" t="s">
        <v>13</v>
      </c>
      <c r="L4" s="172"/>
      <c r="M4" s="172"/>
      <c r="N4" s="172"/>
      <c r="O4" s="173"/>
      <c r="Q4" s="71" t="s">
        <v>14</v>
      </c>
      <c r="R4" s="5">
        <v>0.95833333333333337</v>
      </c>
    </row>
    <row r="5" spans="1:19" ht="17.25" customHeight="1" thickBot="1">
      <c r="A5" s="4" t="s">
        <v>15</v>
      </c>
      <c r="B5" s="171" t="s">
        <v>16</v>
      </c>
      <c r="C5" s="172"/>
      <c r="D5" s="172"/>
      <c r="E5" s="172"/>
      <c r="F5" s="173"/>
      <c r="G5" s="1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169"/>
      <c r="I5" s="170"/>
      <c r="J5" s="4" t="s">
        <v>15</v>
      </c>
      <c r="K5" s="171" t="s">
        <v>17</v>
      </c>
      <c r="L5" s="172"/>
      <c r="M5" s="172"/>
      <c r="N5" s="172"/>
      <c r="O5" s="173"/>
    </row>
    <row r="6" spans="1:19">
      <c r="A6" s="4" t="s">
        <v>18</v>
      </c>
      <c r="B6" s="171" t="s">
        <v>19</v>
      </c>
      <c r="C6" s="172"/>
      <c r="D6" s="172"/>
      <c r="E6" s="172"/>
      <c r="F6" s="173"/>
      <c r="G6" s="174" t="s">
        <v>45</v>
      </c>
      <c r="H6" s="175"/>
      <c r="I6" s="176"/>
      <c r="J6" s="4" t="s">
        <v>18</v>
      </c>
      <c r="K6" s="171" t="s">
        <v>20</v>
      </c>
      <c r="L6" s="172"/>
      <c r="M6" s="172"/>
      <c r="N6" s="172"/>
      <c r="O6" s="173"/>
    </row>
    <row r="7" spans="1:19" ht="17.25" thickBot="1">
      <c r="A7" s="4" t="s">
        <v>21</v>
      </c>
      <c r="B7" s="171" t="s">
        <v>22</v>
      </c>
      <c r="C7" s="172"/>
      <c r="D7" s="172"/>
      <c r="E7" s="172"/>
      <c r="F7" s="173"/>
      <c r="G7" s="1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169"/>
      <c r="I7" s="170"/>
      <c r="J7" s="4" t="s">
        <v>21</v>
      </c>
      <c r="K7" s="171" t="s">
        <v>23</v>
      </c>
      <c r="L7" s="172"/>
      <c r="M7" s="172"/>
      <c r="N7" s="172"/>
      <c r="O7" s="173"/>
    </row>
    <row r="8" spans="1:19" ht="17.25" thickBot="1">
      <c r="A8" s="4" t="s">
        <v>24</v>
      </c>
      <c r="B8" s="171" t="s">
        <v>25</v>
      </c>
      <c r="C8" s="172"/>
      <c r="D8" s="172"/>
      <c r="E8" s="172"/>
      <c r="F8" s="173"/>
      <c r="G8" s="174" t="s">
        <v>285</v>
      </c>
      <c r="H8" s="175"/>
      <c r="I8" s="176"/>
      <c r="J8" s="4" t="s">
        <v>24</v>
      </c>
      <c r="K8" s="171" t="s">
        <v>26</v>
      </c>
      <c r="L8" s="172"/>
      <c r="M8" s="172"/>
      <c r="N8" s="172"/>
      <c r="O8" s="173"/>
      <c r="Q8" s="149" t="s">
        <v>27</v>
      </c>
      <c r="R8" s="151"/>
    </row>
    <row r="9" spans="1:19" ht="17.25" thickBot="1">
      <c r="A9" s="4" t="s">
        <v>28</v>
      </c>
      <c r="B9" s="171"/>
      <c r="C9" s="172"/>
      <c r="D9" s="172"/>
      <c r="E9" s="172"/>
      <c r="F9" s="173"/>
      <c r="G9" s="1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14,885 KRW (0.52%)</v>
      </c>
      <c r="H9" s="169"/>
      <c r="I9" s="170"/>
      <c r="J9" s="4" t="s">
        <v>28</v>
      </c>
      <c r="K9" s="171" t="s">
        <v>293</v>
      </c>
      <c r="L9" s="172"/>
      <c r="M9" s="172"/>
      <c r="N9" s="172"/>
      <c r="O9" s="173"/>
      <c r="Q9" s="2" t="s">
        <v>29</v>
      </c>
      <c r="R9" s="6">
        <v>10</v>
      </c>
    </row>
    <row r="10" spans="1:19">
      <c r="A10" s="4" t="s">
        <v>30</v>
      </c>
      <c r="B10" s="171"/>
      <c r="C10" s="172"/>
      <c r="D10" s="172"/>
      <c r="E10" s="172"/>
      <c r="F10" s="173"/>
      <c r="G10" s="174" t="s">
        <v>47</v>
      </c>
      <c r="H10" s="175"/>
      <c r="I10" s="176"/>
      <c r="J10" s="4" t="s">
        <v>30</v>
      </c>
      <c r="K10" s="171"/>
      <c r="L10" s="172"/>
      <c r="M10" s="172"/>
      <c r="N10" s="172"/>
      <c r="O10" s="173"/>
      <c r="Q10" s="2" t="s">
        <v>31</v>
      </c>
      <c r="R10" s="6">
        <v>100</v>
      </c>
    </row>
    <row r="11" spans="1:19" ht="17.25" thickBot="1">
      <c r="A11" s="7" t="s">
        <v>32</v>
      </c>
      <c r="B11" s="165"/>
      <c r="C11" s="166"/>
      <c r="D11" s="166"/>
      <c r="E11" s="166"/>
      <c r="F11" s="167"/>
      <c r="G11" s="1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169"/>
      <c r="I11" s="170"/>
      <c r="J11" s="7" t="s">
        <v>32</v>
      </c>
      <c r="K11" s="165"/>
      <c r="L11" s="166"/>
      <c r="M11" s="166"/>
      <c r="N11" s="166"/>
      <c r="O11" s="167"/>
      <c r="Q11" s="71" t="s">
        <v>33</v>
      </c>
      <c r="R11" s="8">
        <v>1000</v>
      </c>
    </row>
    <row r="12" spans="1:19" ht="17.25" thickBot="1"/>
    <row r="13" spans="1:19" ht="17.25" customHeight="1" thickBot="1">
      <c r="A13" s="149" t="s">
        <v>34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1"/>
      <c r="Q13" s="148"/>
      <c r="R13" s="148"/>
      <c r="S13" s="148"/>
    </row>
    <row r="14" spans="1:19" ht="17.25" customHeight="1" thickBot="1">
      <c r="A14" s="110" t="s">
        <v>35</v>
      </c>
      <c r="B14" s="149" t="s">
        <v>36</v>
      </c>
      <c r="C14" s="151"/>
      <c r="D14" s="149" t="s">
        <v>37</v>
      </c>
      <c r="E14" s="150"/>
      <c r="F14" s="151"/>
      <c r="G14" s="152">
        <f>_xlfn.IFNA(VLOOKUP(B14, 현재가테이블!$B$2:$D$200, 2, FALSE), "-")</f>
        <v>68203000</v>
      </c>
      <c r="H14" s="153"/>
      <c r="I14" s="154"/>
      <c r="J14" s="149" t="s">
        <v>38</v>
      </c>
      <c r="K14" s="150"/>
      <c r="L14" s="151"/>
      <c r="M14" s="155">
        <f>_xlfn.IFNA(VLOOKUP(B14, 현재가테이블!$B$2:$D$200, 3, FALSE), "-")</f>
        <v>-1.22521687E-2</v>
      </c>
      <c r="N14" s="156"/>
      <c r="O14" s="157"/>
      <c r="Q14" s="148"/>
      <c r="R14" s="148"/>
      <c r="S14" s="148"/>
    </row>
    <row r="15" spans="1:19" ht="17.25" customHeight="1" thickBot="1">
      <c r="A15" s="158" t="s">
        <v>39</v>
      </c>
      <c r="B15" s="159" t="str">
        <f>TEXT($G$1, "[$-ko-KR]yyyy-mm-dd(ddd) ") &amp; "오전 00:00"</f>
        <v>2021-05-01(토) 오전 00:00</v>
      </c>
      <c r="C15" s="160"/>
      <c r="D15" s="161" t="str">
        <f>TEXT($G$1, "[$-ko-KR]yyyy-mm-dd(ddd) ") &amp; "오후 14:00"</f>
        <v>2021-05-01(토) 오후 14:00</v>
      </c>
      <c r="E15" s="162"/>
      <c r="F15" s="163"/>
      <c r="G15" s="161" t="str">
        <f>TEXT($G$1, "[$-ko-KR]yyyy-mm-dd(ddd) ") &amp; "오후 19:00"</f>
        <v>2021-05-01(토) 오후 19:00</v>
      </c>
      <c r="H15" s="162"/>
      <c r="I15" s="163"/>
      <c r="J15" s="161" t="str">
        <f>TEXT($G$1, "[$-ko-KR]yyyy-mm-dd(ddd) ") &amp; "오후 21:00"</f>
        <v>2021-05-01(토) 오후 21:00</v>
      </c>
      <c r="K15" s="162"/>
      <c r="L15" s="163"/>
      <c r="M15" s="161" t="str">
        <f>TEXT($G$1+1, "[$-ko-KR]yyyy-mm-dd(ddd) ") &amp; "오전 00:00"</f>
        <v>2021-05-02(일) 오전 00:00</v>
      </c>
      <c r="N15" s="162"/>
      <c r="O15" s="163"/>
      <c r="Q15" s="148"/>
      <c r="R15" s="148"/>
      <c r="S15" s="148"/>
    </row>
    <row r="16" spans="1:19" ht="17.25" customHeight="1" thickBot="1">
      <c r="A16" s="15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6" t="s">
        <v>37</v>
      </c>
      <c r="H16" s="107" t="s">
        <v>40</v>
      </c>
      <c r="I16" s="108" t="s">
        <v>41</v>
      </c>
      <c r="J16" s="10" t="s">
        <v>37</v>
      </c>
      <c r="K16" s="10" t="s">
        <v>40</v>
      </c>
      <c r="L16" s="109" t="s">
        <v>41</v>
      </c>
      <c r="M16" s="2" t="s">
        <v>37</v>
      </c>
      <c r="N16" s="10" t="s">
        <v>40</v>
      </c>
      <c r="O16" s="72" t="s">
        <v>41</v>
      </c>
      <c r="Q16" s="127"/>
      <c r="R16" s="127"/>
      <c r="S16" s="127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7">
        <f>IF(NOT(ISBLANK(_xlfn.IFNA(VLOOKUP($A17, $A$40:$O$199, 6, FALSE), ))), _xlfn.IFNA(VLOOKUP($A17, $A$40:$O$199, 6, FALSE), ), "")</f>
        <v>1459.8540145985403</v>
      </c>
      <c r="G17" s="31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11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7">
        <f>IF(NOT(ISBLANK(_xlfn.IFNA(VLOOKUP($A17, $A$40:$O$199, 12, FALSE), ))), _xlfn.IFNA(VLOOKUP($A17, $A$40:$O$199, 12, FALSE), ), "")</f>
        <v>729.92700729927014</v>
      </c>
      <c r="M17" s="31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7">
        <f>IF(NOT(ISBLANK(_xlfn.IFNA(VLOOKUP($A17, $A$40:$O$199, 15, FALSE), ))), _xlfn.IFNA(VLOOKUP($A17, $A$40:$O$199, 15, FALSE), ), "")</f>
        <v>0</v>
      </c>
      <c r="Q17" s="148"/>
      <c r="R17" s="148"/>
      <c r="S17" s="148"/>
    </row>
    <row r="18" spans="1:19" ht="17.25" customHeight="1" thickBot="1">
      <c r="A18" s="18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7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7">
        <f t="shared" ref="E18:E36" si="3">IF(NOT(ISBLANK(_xlfn.IFNA(VLOOKUP($A18, $A$40:$O$199, 5, FALSE), ))), _xlfn.IFNA(VLOOKUP($A18, $A$40:$O$199, 5, FALSE), ), "")</f>
        <v>3.3333333333333333E-2</v>
      </c>
      <c r="F18" s="19">
        <f t="shared" ref="F18:F36" si="4">IF(NOT(ISBLANK(_xlfn.IFNA(VLOOKUP($A18, $A$40:$O$199, 6, FALSE), ))), _xlfn.IFNA(VLOOKUP($A18, $A$40:$O$199, 6, FALSE), ), "")</f>
        <v>10000</v>
      </c>
      <c r="G18" s="36">
        <f t="shared" ref="G18:G36" si="5">IF(NOT(ISBLANK(_xlfn.IFNA(VLOOKUP($A18, $A$40:$O$199, 7, FALSE), ))), _xlfn.IFNA(VLOOKUP($A18, $A$40:$O$199, 7, FALSE), ), "")</f>
        <v>154</v>
      </c>
      <c r="H18" s="37">
        <f t="shared" ref="H18:H36" si="6">IF(NOT(ISBLANK(_xlfn.IFNA(VLOOKUP($A18, $A$40:$O$199, 8, FALSE), ))), _xlfn.IFNA(VLOOKUP($A18, $A$40:$O$199, 8, FALSE), ), "")</f>
        <v>2.6666666666666668E-2</v>
      </c>
      <c r="I18" s="112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7">
        <f t="shared" ref="K18:K36" si="9">IF(NOT(ISBLANK(_xlfn.IFNA(VLOOKUP($A18, $A$40:$O$199, 11, FALSE), ))), _xlfn.IFNA(VLOOKUP($A18, $A$40:$O$199, 11, FALSE), ), "")</f>
        <v>4.6666666666666669E-2</v>
      </c>
      <c r="L18" s="19">
        <f t="shared" ref="L18:L36" si="10">IF(NOT(ISBLANK(_xlfn.IFNA(VLOOKUP($A18, $A$40:$O$199, 12, FALSE), ))), _xlfn.IFNA(VLOOKUP($A18, $A$40:$O$199, 12, FALSE), ), "")</f>
        <v>14000</v>
      </c>
      <c r="M18" s="36">
        <f t="shared" ref="M18:M36" si="11">IF(NOT(ISBLANK(_xlfn.IFNA(VLOOKUP($A18, $A$40:$O$199, 13, FALSE), ))), _xlfn.IFNA(VLOOKUP($A18, $A$40:$O$199, 13, FALSE), ), "")</f>
        <v>154</v>
      </c>
      <c r="N18" s="37">
        <f t="shared" ref="N18:N36" si="12">IF(NOT(ISBLANK(_xlfn.IFNA(VLOOKUP($A18, $A$40:$O$199, 14, FALSE), ))), _xlfn.IFNA(VLOOKUP($A18, $A$40:$O$199, 14, FALSE), ), "")</f>
        <v>2.6666666666666668E-2</v>
      </c>
      <c r="O18" s="19">
        <f t="shared" ref="O18:O36" si="13">IF(NOT(ISBLANK(_xlfn.IFNA(VLOOKUP($A18, $A$40:$O$199, 15, FALSE), ))), _xlfn.IFNA(VLOOKUP($A18, $A$40:$O$199, 15, FALSE), ), "")</f>
        <v>8000.0000000000009</v>
      </c>
      <c r="Q18" s="148"/>
      <c r="R18" s="148"/>
      <c r="S18" s="148"/>
    </row>
    <row r="19" spans="1:19" ht="17.25" customHeight="1" thickBot="1">
      <c r="A19" s="18" t="s">
        <v>134</v>
      </c>
      <c r="B19" s="15">
        <f t="shared" si="0"/>
        <v>156</v>
      </c>
      <c r="C19" s="37">
        <f t="shared" si="1"/>
        <v>2.6315789499999999E-2</v>
      </c>
      <c r="D19" s="15">
        <f t="shared" si="2"/>
        <v>157</v>
      </c>
      <c r="E19" s="37">
        <f t="shared" si="3"/>
        <v>6.41025641025641E-3</v>
      </c>
      <c r="F19" s="19">
        <f t="shared" si="4"/>
        <v>1923.0769230769231</v>
      </c>
      <c r="G19" s="36">
        <f t="shared" si="5"/>
        <v>157</v>
      </c>
      <c r="H19" s="37">
        <f t="shared" si="6"/>
        <v>6.41025641025641E-3</v>
      </c>
      <c r="I19" s="112">
        <f t="shared" si="7"/>
        <v>1923.0769230769231</v>
      </c>
      <c r="J19" s="15">
        <f t="shared" si="8"/>
        <v>158</v>
      </c>
      <c r="K19" s="37">
        <f t="shared" si="9"/>
        <v>1.282051282051282E-2</v>
      </c>
      <c r="L19" s="19">
        <f t="shared" si="10"/>
        <v>3846.1538461538462</v>
      </c>
      <c r="M19" s="36">
        <f t="shared" si="11"/>
        <v>158</v>
      </c>
      <c r="N19" s="37">
        <f t="shared" si="12"/>
        <v>1.282051282051282E-2</v>
      </c>
      <c r="O19" s="19">
        <f t="shared" si="13"/>
        <v>3846.1538461538462</v>
      </c>
      <c r="Q19" s="127"/>
      <c r="R19" s="127"/>
      <c r="S19" s="127"/>
    </row>
    <row r="20" spans="1:19" ht="17.25" customHeight="1" thickBot="1">
      <c r="A20" s="18" t="s">
        <v>132</v>
      </c>
      <c r="B20" s="15">
        <f t="shared" si="0"/>
        <v>234</v>
      </c>
      <c r="C20" s="37">
        <f t="shared" si="1"/>
        <v>2.6315789499999999E-2</v>
      </c>
      <c r="D20" s="15">
        <f t="shared" si="2"/>
        <v>239</v>
      </c>
      <c r="E20" s="37">
        <f t="shared" si="3"/>
        <v>2.1367521367521368E-2</v>
      </c>
      <c r="F20" s="19">
        <f t="shared" si="4"/>
        <v>6410.2564102564102</v>
      </c>
      <c r="G20" s="36">
        <f t="shared" si="5"/>
        <v>234</v>
      </c>
      <c r="H20" s="37">
        <f t="shared" si="6"/>
        <v>0</v>
      </c>
      <c r="I20" s="112">
        <f t="shared" si="7"/>
        <v>0</v>
      </c>
      <c r="J20" s="15">
        <f t="shared" si="8"/>
        <v>238</v>
      </c>
      <c r="K20" s="37">
        <f t="shared" si="9"/>
        <v>1.7094017094017096E-2</v>
      </c>
      <c r="L20" s="19">
        <f t="shared" si="10"/>
        <v>5128.2051282051289</v>
      </c>
      <c r="M20" s="36">
        <f t="shared" si="11"/>
        <v>235</v>
      </c>
      <c r="N20" s="37">
        <f t="shared" si="12"/>
        <v>4.2735042735042739E-3</v>
      </c>
      <c r="O20" s="19">
        <f t="shared" si="13"/>
        <v>1282.0512820512822</v>
      </c>
      <c r="Q20" s="127"/>
      <c r="R20" s="127"/>
      <c r="S20" s="127"/>
    </row>
    <row r="21" spans="1:19" ht="17.25" customHeight="1" thickBot="1">
      <c r="A21" s="20" t="s">
        <v>122</v>
      </c>
      <c r="B21" s="15">
        <f t="shared" si="0"/>
        <v>121</v>
      </c>
      <c r="C21" s="37">
        <f t="shared" si="1"/>
        <v>2.54237288E-2</v>
      </c>
      <c r="D21" s="15">
        <f t="shared" si="2"/>
        <v>128</v>
      </c>
      <c r="E21" s="37">
        <f t="shared" si="3"/>
        <v>5.7851239669421489E-2</v>
      </c>
      <c r="F21" s="19">
        <f t="shared" si="4"/>
        <v>17355.371900826445</v>
      </c>
      <c r="G21" s="36">
        <f t="shared" si="5"/>
        <v>128</v>
      </c>
      <c r="H21" s="37">
        <f t="shared" si="6"/>
        <v>5.7851239669421489E-2</v>
      </c>
      <c r="I21" s="112">
        <f t="shared" si="7"/>
        <v>17355.371900826445</v>
      </c>
      <c r="J21" s="15">
        <f t="shared" si="8"/>
        <v>128</v>
      </c>
      <c r="K21" s="37">
        <f t="shared" si="9"/>
        <v>5.7851239669421489E-2</v>
      </c>
      <c r="L21" s="19">
        <f t="shared" si="10"/>
        <v>17355.371900826445</v>
      </c>
      <c r="M21" s="36">
        <f t="shared" si="11"/>
        <v>126</v>
      </c>
      <c r="N21" s="37">
        <f t="shared" si="12"/>
        <v>4.1322314049586778E-2</v>
      </c>
      <c r="O21" s="19">
        <f t="shared" si="13"/>
        <v>12396.694214876034</v>
      </c>
      <c r="Q21" s="127"/>
      <c r="R21" s="127"/>
      <c r="S21" s="127"/>
    </row>
    <row r="22" spans="1:19" ht="17.25" customHeight="1" thickBot="1">
      <c r="A22" s="18"/>
      <c r="B22" s="117" t="str">
        <f t="shared" si="0"/>
        <v/>
      </c>
      <c r="C22" s="118" t="str">
        <f t="shared" si="1"/>
        <v/>
      </c>
      <c r="D22" s="117" t="str">
        <f t="shared" si="2"/>
        <v/>
      </c>
      <c r="E22" s="118" t="str">
        <f t="shared" si="3"/>
        <v/>
      </c>
      <c r="F22" s="119" t="str">
        <f t="shared" si="4"/>
        <v/>
      </c>
      <c r="G22" s="120" t="str">
        <f t="shared" si="5"/>
        <v/>
      </c>
      <c r="H22" s="118" t="str">
        <f t="shared" si="6"/>
        <v/>
      </c>
      <c r="I22" s="121" t="str">
        <f t="shared" si="7"/>
        <v/>
      </c>
      <c r="J22" s="117" t="str">
        <f t="shared" si="8"/>
        <v/>
      </c>
      <c r="K22" s="118" t="str">
        <f t="shared" si="9"/>
        <v/>
      </c>
      <c r="L22" s="119" t="str">
        <f t="shared" si="10"/>
        <v/>
      </c>
      <c r="M22" s="120" t="str">
        <f t="shared" si="11"/>
        <v/>
      </c>
      <c r="N22" s="118" t="str">
        <f t="shared" si="12"/>
        <v/>
      </c>
      <c r="O22" s="119" t="str">
        <f t="shared" si="13"/>
        <v/>
      </c>
      <c r="Q22" s="127"/>
      <c r="R22" s="127"/>
      <c r="S22" s="127"/>
    </row>
    <row r="23" spans="1:19" ht="17.25" customHeight="1" thickBot="1">
      <c r="A23" s="18"/>
      <c r="B23" s="15" t="str">
        <f t="shared" si="0"/>
        <v/>
      </c>
      <c r="C23" s="37" t="str">
        <f t="shared" si="1"/>
        <v/>
      </c>
      <c r="D23" s="15" t="str">
        <f t="shared" si="2"/>
        <v/>
      </c>
      <c r="E23" s="37" t="str">
        <f t="shared" si="3"/>
        <v/>
      </c>
      <c r="F23" s="19" t="str">
        <f t="shared" si="4"/>
        <v/>
      </c>
      <c r="G23" s="36" t="str">
        <f t="shared" si="5"/>
        <v/>
      </c>
      <c r="H23" s="37" t="str">
        <f t="shared" si="6"/>
        <v/>
      </c>
      <c r="I23" s="112" t="str">
        <f t="shared" si="7"/>
        <v/>
      </c>
      <c r="J23" s="15" t="str">
        <f t="shared" si="8"/>
        <v/>
      </c>
      <c r="K23" s="37" t="str">
        <f t="shared" si="9"/>
        <v/>
      </c>
      <c r="L23" s="19" t="str">
        <f t="shared" si="10"/>
        <v/>
      </c>
      <c r="M23" s="36" t="str">
        <f t="shared" si="11"/>
        <v/>
      </c>
      <c r="N23" s="37" t="str">
        <f t="shared" si="12"/>
        <v/>
      </c>
      <c r="O23" s="19" t="str">
        <f t="shared" si="13"/>
        <v/>
      </c>
      <c r="Q23" s="127"/>
      <c r="R23" s="127"/>
      <c r="S23" s="127"/>
    </row>
    <row r="24" spans="1:19" ht="17.25" customHeight="1" thickBot="1">
      <c r="A24" s="18"/>
      <c r="B24" s="15" t="str">
        <f t="shared" si="0"/>
        <v/>
      </c>
      <c r="C24" s="37" t="str">
        <f t="shared" si="1"/>
        <v/>
      </c>
      <c r="D24" s="15" t="str">
        <f t="shared" si="2"/>
        <v/>
      </c>
      <c r="E24" s="37" t="str">
        <f t="shared" si="3"/>
        <v/>
      </c>
      <c r="F24" s="19" t="str">
        <f t="shared" si="4"/>
        <v/>
      </c>
      <c r="G24" s="36" t="str">
        <f t="shared" si="5"/>
        <v/>
      </c>
      <c r="H24" s="37" t="str">
        <f t="shared" si="6"/>
        <v/>
      </c>
      <c r="I24" s="112" t="str">
        <f t="shared" si="7"/>
        <v/>
      </c>
      <c r="J24" s="15" t="str">
        <f t="shared" si="8"/>
        <v/>
      </c>
      <c r="K24" s="37" t="str">
        <f t="shared" si="9"/>
        <v/>
      </c>
      <c r="L24" s="19" t="str">
        <f t="shared" si="10"/>
        <v/>
      </c>
      <c r="M24" s="36" t="str">
        <f t="shared" si="11"/>
        <v/>
      </c>
      <c r="N24" s="37" t="str">
        <f t="shared" si="12"/>
        <v/>
      </c>
      <c r="O24" s="19" t="str">
        <f t="shared" si="13"/>
        <v/>
      </c>
      <c r="Q24" s="127"/>
      <c r="R24" s="127"/>
      <c r="S24" s="127"/>
    </row>
    <row r="25" spans="1:19" ht="17.25" customHeight="1" thickBot="1">
      <c r="A25" s="18"/>
      <c r="B25" s="15" t="str">
        <f t="shared" si="0"/>
        <v/>
      </c>
      <c r="C25" s="37" t="str">
        <f t="shared" si="1"/>
        <v/>
      </c>
      <c r="D25" s="15" t="str">
        <f t="shared" si="2"/>
        <v/>
      </c>
      <c r="E25" s="37" t="str">
        <f t="shared" si="3"/>
        <v/>
      </c>
      <c r="F25" s="19" t="str">
        <f t="shared" si="4"/>
        <v/>
      </c>
      <c r="G25" s="36" t="str">
        <f t="shared" si="5"/>
        <v/>
      </c>
      <c r="H25" s="37" t="str">
        <f t="shared" si="6"/>
        <v/>
      </c>
      <c r="I25" s="112" t="str">
        <f t="shared" si="7"/>
        <v/>
      </c>
      <c r="J25" s="15" t="str">
        <f t="shared" si="8"/>
        <v/>
      </c>
      <c r="K25" s="37" t="str">
        <f t="shared" si="9"/>
        <v/>
      </c>
      <c r="L25" s="19" t="str">
        <f t="shared" si="10"/>
        <v/>
      </c>
      <c r="M25" s="36" t="str">
        <f t="shared" si="11"/>
        <v/>
      </c>
      <c r="N25" s="37" t="str">
        <f t="shared" si="12"/>
        <v/>
      </c>
      <c r="O25" s="19" t="str">
        <f t="shared" si="13"/>
        <v/>
      </c>
      <c r="Q25" s="38"/>
      <c r="R25" s="38"/>
    </row>
    <row r="26" spans="1:19" ht="17.25" customHeight="1" thickBot="1">
      <c r="A26" s="24"/>
      <c r="B26" s="25" t="str">
        <f t="shared" si="0"/>
        <v/>
      </c>
      <c r="C26" s="26" t="str">
        <f t="shared" si="1"/>
        <v/>
      </c>
      <c r="D26" s="25" t="str">
        <f t="shared" si="2"/>
        <v/>
      </c>
      <c r="E26" s="26" t="str">
        <f t="shared" si="3"/>
        <v/>
      </c>
      <c r="F26" s="115" t="str">
        <f t="shared" si="4"/>
        <v/>
      </c>
      <c r="G26" s="113" t="str">
        <f t="shared" si="5"/>
        <v/>
      </c>
      <c r="H26" s="26" t="str">
        <f t="shared" si="6"/>
        <v/>
      </c>
      <c r="I26" s="114" t="str">
        <f t="shared" si="7"/>
        <v/>
      </c>
      <c r="J26" s="25" t="str">
        <f t="shared" si="8"/>
        <v/>
      </c>
      <c r="K26" s="26" t="str">
        <f t="shared" si="9"/>
        <v/>
      </c>
      <c r="L26" s="115" t="str">
        <f t="shared" si="10"/>
        <v/>
      </c>
      <c r="M26" s="113" t="str">
        <f t="shared" si="11"/>
        <v/>
      </c>
      <c r="N26" s="26" t="str">
        <f t="shared" si="12"/>
        <v/>
      </c>
      <c r="O26" s="115" t="str">
        <f t="shared" si="13"/>
        <v/>
      </c>
      <c r="Q26" s="139"/>
      <c r="R26" s="140"/>
      <c r="S26" s="14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7" t="str">
        <f t="shared" si="4"/>
        <v/>
      </c>
      <c r="G27" s="31" t="str">
        <f t="shared" si="5"/>
        <v/>
      </c>
      <c r="H27" s="14" t="str">
        <f t="shared" si="6"/>
        <v/>
      </c>
      <c r="I27" s="111" t="str">
        <f t="shared" si="7"/>
        <v/>
      </c>
      <c r="J27" s="13" t="str">
        <f t="shared" si="8"/>
        <v/>
      </c>
      <c r="K27" s="14" t="str">
        <f t="shared" si="9"/>
        <v/>
      </c>
      <c r="L27" s="17" t="str">
        <f t="shared" si="10"/>
        <v/>
      </c>
      <c r="M27" s="31" t="str">
        <f t="shared" si="11"/>
        <v/>
      </c>
      <c r="N27" s="14" t="str">
        <f t="shared" si="12"/>
        <v/>
      </c>
      <c r="O27" s="17" t="str">
        <f t="shared" si="13"/>
        <v/>
      </c>
      <c r="Q27" s="142"/>
      <c r="R27" s="143"/>
      <c r="S27" s="144"/>
    </row>
    <row r="28" spans="1:19" ht="17.25" customHeight="1" thickBot="1">
      <c r="A28" s="18"/>
      <c r="B28" s="15" t="str">
        <f t="shared" si="0"/>
        <v/>
      </c>
      <c r="C28" s="37" t="str">
        <f t="shared" si="1"/>
        <v/>
      </c>
      <c r="D28" s="15" t="str">
        <f t="shared" si="2"/>
        <v/>
      </c>
      <c r="E28" s="37" t="str">
        <f t="shared" si="3"/>
        <v/>
      </c>
      <c r="F28" s="19" t="str">
        <f t="shared" si="4"/>
        <v/>
      </c>
      <c r="G28" s="36" t="str">
        <f t="shared" si="5"/>
        <v/>
      </c>
      <c r="H28" s="37" t="str">
        <f t="shared" si="6"/>
        <v/>
      </c>
      <c r="I28" s="112" t="str">
        <f t="shared" si="7"/>
        <v/>
      </c>
      <c r="J28" s="15" t="str">
        <f t="shared" si="8"/>
        <v/>
      </c>
      <c r="K28" s="37" t="str">
        <f t="shared" si="9"/>
        <v/>
      </c>
      <c r="L28" s="19" t="str">
        <f t="shared" si="10"/>
        <v/>
      </c>
      <c r="M28" s="36" t="str">
        <f t="shared" si="11"/>
        <v/>
      </c>
      <c r="N28" s="37" t="str">
        <f t="shared" si="12"/>
        <v/>
      </c>
      <c r="O28" s="19" t="str">
        <f t="shared" si="13"/>
        <v/>
      </c>
      <c r="Q28" s="145"/>
      <c r="R28" s="146"/>
      <c r="S28" s="147"/>
    </row>
    <row r="29" spans="1:19" ht="17.25" customHeight="1" thickBot="1">
      <c r="A29" s="18"/>
      <c r="B29" s="15" t="str">
        <f t="shared" si="0"/>
        <v/>
      </c>
      <c r="C29" s="37" t="str">
        <f t="shared" si="1"/>
        <v/>
      </c>
      <c r="D29" s="15" t="str">
        <f t="shared" si="2"/>
        <v/>
      </c>
      <c r="E29" s="37" t="str">
        <f t="shared" si="3"/>
        <v/>
      </c>
      <c r="F29" s="19" t="str">
        <f t="shared" si="4"/>
        <v/>
      </c>
      <c r="G29" s="36" t="str">
        <f t="shared" si="5"/>
        <v/>
      </c>
      <c r="H29" s="37" t="str">
        <f t="shared" si="6"/>
        <v/>
      </c>
      <c r="I29" s="112" t="str">
        <f t="shared" si="7"/>
        <v/>
      </c>
      <c r="J29" s="15" t="str">
        <f t="shared" si="8"/>
        <v/>
      </c>
      <c r="K29" s="37" t="str">
        <f t="shared" si="9"/>
        <v/>
      </c>
      <c r="L29" s="19" t="str">
        <f t="shared" si="10"/>
        <v/>
      </c>
      <c r="M29" s="36" t="str">
        <f t="shared" si="11"/>
        <v/>
      </c>
      <c r="N29" s="37" t="str">
        <f t="shared" si="12"/>
        <v/>
      </c>
      <c r="O29" s="19" t="str">
        <f t="shared" si="13"/>
        <v/>
      </c>
      <c r="Q29" s="127"/>
      <c r="R29" s="127"/>
      <c r="S29" s="127"/>
    </row>
    <row r="30" spans="1:19" ht="17.25" customHeight="1" thickBot="1">
      <c r="A30" s="18"/>
      <c r="B30" s="15" t="str">
        <f t="shared" si="0"/>
        <v/>
      </c>
      <c r="C30" s="37" t="str">
        <f t="shared" si="1"/>
        <v/>
      </c>
      <c r="D30" s="15" t="str">
        <f t="shared" si="2"/>
        <v/>
      </c>
      <c r="E30" s="37" t="str">
        <f t="shared" si="3"/>
        <v/>
      </c>
      <c r="F30" s="19" t="str">
        <f t="shared" si="4"/>
        <v/>
      </c>
      <c r="G30" s="36" t="str">
        <f t="shared" si="5"/>
        <v/>
      </c>
      <c r="H30" s="37" t="str">
        <f t="shared" si="6"/>
        <v/>
      </c>
      <c r="I30" s="112" t="str">
        <f t="shared" si="7"/>
        <v/>
      </c>
      <c r="J30" s="15" t="str">
        <f t="shared" si="8"/>
        <v/>
      </c>
      <c r="K30" s="37" t="str">
        <f t="shared" si="9"/>
        <v/>
      </c>
      <c r="L30" s="19" t="str">
        <f t="shared" si="10"/>
        <v/>
      </c>
      <c r="M30" s="36" t="str">
        <f t="shared" si="11"/>
        <v/>
      </c>
      <c r="N30" s="37" t="str">
        <f t="shared" si="12"/>
        <v/>
      </c>
      <c r="O30" s="19" t="str">
        <f t="shared" si="13"/>
        <v/>
      </c>
      <c r="Q30" s="148"/>
      <c r="R30" s="148"/>
      <c r="S30" s="148"/>
    </row>
    <row r="31" spans="1:19" ht="17.25" customHeight="1" thickBot="1">
      <c r="A31" s="20"/>
      <c r="B31" s="21" t="str">
        <f t="shared" si="0"/>
        <v/>
      </c>
      <c r="C31" s="22" t="str">
        <f t="shared" si="1"/>
        <v/>
      </c>
      <c r="D31" s="21" t="str">
        <f t="shared" si="2"/>
        <v/>
      </c>
      <c r="E31" s="22" t="str">
        <f t="shared" si="3"/>
        <v/>
      </c>
      <c r="F31" s="23" t="str">
        <f t="shared" si="4"/>
        <v/>
      </c>
      <c r="G31" s="35" t="str">
        <f t="shared" si="5"/>
        <v/>
      </c>
      <c r="H31" s="22" t="str">
        <f t="shared" si="6"/>
        <v/>
      </c>
      <c r="I31" s="116" t="str">
        <f t="shared" si="7"/>
        <v/>
      </c>
      <c r="J31" s="21" t="str">
        <f t="shared" si="8"/>
        <v/>
      </c>
      <c r="K31" s="22" t="str">
        <f t="shared" si="9"/>
        <v/>
      </c>
      <c r="L31" s="23" t="str">
        <f t="shared" si="10"/>
        <v/>
      </c>
      <c r="M31" s="35" t="str">
        <f t="shared" si="11"/>
        <v/>
      </c>
      <c r="N31" s="22" t="str">
        <f t="shared" si="12"/>
        <v/>
      </c>
      <c r="O31" s="23" t="str">
        <f t="shared" si="13"/>
        <v/>
      </c>
      <c r="Q31" s="148"/>
      <c r="R31" s="148"/>
      <c r="S31" s="148"/>
    </row>
    <row r="32" spans="1:19" ht="17.25" customHeight="1" thickBot="1">
      <c r="A32" s="18"/>
      <c r="B32" s="15" t="str">
        <f t="shared" si="0"/>
        <v/>
      </c>
      <c r="C32" s="37" t="str">
        <f t="shared" si="1"/>
        <v/>
      </c>
      <c r="D32" s="15" t="str">
        <f t="shared" si="2"/>
        <v/>
      </c>
      <c r="E32" s="37" t="str">
        <f t="shared" si="3"/>
        <v/>
      </c>
      <c r="F32" s="19" t="str">
        <f t="shared" si="4"/>
        <v/>
      </c>
      <c r="G32" s="36" t="str">
        <f t="shared" si="5"/>
        <v/>
      </c>
      <c r="H32" s="37" t="str">
        <f t="shared" si="6"/>
        <v/>
      </c>
      <c r="I32" s="112" t="str">
        <f t="shared" si="7"/>
        <v/>
      </c>
      <c r="J32" s="15" t="str">
        <f t="shared" si="8"/>
        <v/>
      </c>
      <c r="K32" s="37" t="str">
        <f t="shared" si="9"/>
        <v/>
      </c>
      <c r="L32" s="19" t="str">
        <f t="shared" si="10"/>
        <v/>
      </c>
      <c r="M32" s="36" t="str">
        <f t="shared" si="11"/>
        <v/>
      </c>
      <c r="N32" s="37" t="str">
        <f t="shared" si="12"/>
        <v/>
      </c>
      <c r="O32" s="19" t="str">
        <f t="shared" si="13"/>
        <v/>
      </c>
      <c r="Q32" s="127"/>
      <c r="R32" s="127"/>
      <c r="S32" s="127"/>
    </row>
    <row r="33" spans="1:19" ht="17.25" customHeight="1" thickBot="1">
      <c r="A33" s="18"/>
      <c r="B33" s="15" t="str">
        <f t="shared" si="0"/>
        <v/>
      </c>
      <c r="C33" s="37" t="str">
        <f t="shared" si="1"/>
        <v/>
      </c>
      <c r="D33" s="15" t="str">
        <f t="shared" si="2"/>
        <v/>
      </c>
      <c r="E33" s="37" t="str">
        <f t="shared" si="3"/>
        <v/>
      </c>
      <c r="F33" s="19" t="str">
        <f t="shared" si="4"/>
        <v/>
      </c>
      <c r="G33" s="36" t="str">
        <f t="shared" si="5"/>
        <v/>
      </c>
      <c r="H33" s="37" t="str">
        <f t="shared" si="6"/>
        <v/>
      </c>
      <c r="I33" s="112" t="str">
        <f t="shared" si="7"/>
        <v/>
      </c>
      <c r="J33" s="15" t="str">
        <f t="shared" si="8"/>
        <v/>
      </c>
      <c r="K33" s="37" t="str">
        <f t="shared" si="9"/>
        <v/>
      </c>
      <c r="L33" s="19" t="str">
        <f t="shared" si="10"/>
        <v/>
      </c>
      <c r="M33" s="36" t="str">
        <f t="shared" si="11"/>
        <v/>
      </c>
      <c r="N33" s="37" t="str">
        <f t="shared" si="12"/>
        <v/>
      </c>
      <c r="O33" s="19" t="str">
        <f t="shared" si="13"/>
        <v/>
      </c>
      <c r="Q33" s="127"/>
      <c r="R33" s="127"/>
      <c r="S33" s="127"/>
    </row>
    <row r="34" spans="1:19" ht="17.25" customHeight="1" thickBot="1">
      <c r="A34" s="18"/>
      <c r="B34" s="15" t="str">
        <f t="shared" si="0"/>
        <v/>
      </c>
      <c r="C34" s="37" t="str">
        <f t="shared" si="1"/>
        <v/>
      </c>
      <c r="D34" s="15" t="str">
        <f t="shared" si="2"/>
        <v/>
      </c>
      <c r="E34" s="37" t="str">
        <f t="shared" si="3"/>
        <v/>
      </c>
      <c r="F34" s="19" t="str">
        <f t="shared" si="4"/>
        <v/>
      </c>
      <c r="G34" s="36" t="str">
        <f t="shared" si="5"/>
        <v/>
      </c>
      <c r="H34" s="37" t="str">
        <f t="shared" si="6"/>
        <v/>
      </c>
      <c r="I34" s="112" t="str">
        <f t="shared" si="7"/>
        <v/>
      </c>
      <c r="J34" s="15" t="str">
        <f t="shared" si="8"/>
        <v/>
      </c>
      <c r="K34" s="37" t="str">
        <f t="shared" si="9"/>
        <v/>
      </c>
      <c r="L34" s="19" t="str">
        <f t="shared" si="10"/>
        <v/>
      </c>
      <c r="M34" s="36" t="str">
        <f t="shared" si="11"/>
        <v/>
      </c>
      <c r="N34" s="37" t="str">
        <f t="shared" si="12"/>
        <v/>
      </c>
      <c r="O34" s="19" t="str">
        <f t="shared" si="13"/>
        <v/>
      </c>
      <c r="Q34" s="127"/>
      <c r="R34" s="127"/>
      <c r="S34" s="127"/>
    </row>
    <row r="35" spans="1:19" ht="17.25" customHeight="1">
      <c r="A35" s="18"/>
      <c r="B35" s="15" t="str">
        <f t="shared" si="0"/>
        <v/>
      </c>
      <c r="C35" s="37" t="str">
        <f t="shared" si="1"/>
        <v/>
      </c>
      <c r="D35" s="15" t="str">
        <f t="shared" si="2"/>
        <v/>
      </c>
      <c r="E35" s="37" t="str">
        <f t="shared" si="3"/>
        <v/>
      </c>
      <c r="F35" s="19" t="str">
        <f t="shared" si="4"/>
        <v/>
      </c>
      <c r="G35" s="36" t="str">
        <f t="shared" si="5"/>
        <v/>
      </c>
      <c r="H35" s="37" t="str">
        <f t="shared" si="6"/>
        <v/>
      </c>
      <c r="I35" s="112" t="str">
        <f t="shared" si="7"/>
        <v/>
      </c>
      <c r="J35" s="15" t="str">
        <f t="shared" si="8"/>
        <v/>
      </c>
      <c r="K35" s="37" t="str">
        <f t="shared" si="9"/>
        <v/>
      </c>
      <c r="L35" s="19" t="str">
        <f t="shared" si="10"/>
        <v/>
      </c>
      <c r="M35" s="36" t="str">
        <f t="shared" si="11"/>
        <v/>
      </c>
      <c r="N35" s="37" t="str">
        <f t="shared" si="12"/>
        <v/>
      </c>
      <c r="O35" s="19" t="str">
        <f t="shared" si="13"/>
        <v/>
      </c>
      <c r="Q35" s="128"/>
      <c r="R35" s="129"/>
      <c r="S35" s="130"/>
    </row>
    <row r="36" spans="1:19" ht="17.25" customHeight="1" thickBot="1">
      <c r="A36" s="24"/>
      <c r="B36" s="25" t="str">
        <f t="shared" si="0"/>
        <v/>
      </c>
      <c r="C36" s="26" t="str">
        <f t="shared" si="1"/>
        <v/>
      </c>
      <c r="D36" s="25" t="str">
        <f t="shared" si="2"/>
        <v/>
      </c>
      <c r="E36" s="26" t="str">
        <f t="shared" si="3"/>
        <v/>
      </c>
      <c r="F36" s="115" t="str">
        <f t="shared" si="4"/>
        <v/>
      </c>
      <c r="G36" s="113" t="str">
        <f t="shared" si="5"/>
        <v/>
      </c>
      <c r="H36" s="26" t="str">
        <f t="shared" si="6"/>
        <v/>
      </c>
      <c r="I36" s="114" t="str">
        <f t="shared" si="7"/>
        <v/>
      </c>
      <c r="J36" s="25" t="str">
        <f t="shared" si="8"/>
        <v/>
      </c>
      <c r="K36" s="26" t="str">
        <f t="shared" si="9"/>
        <v/>
      </c>
      <c r="L36" s="115" t="str">
        <f t="shared" si="10"/>
        <v/>
      </c>
      <c r="M36" s="113" t="str">
        <f t="shared" si="11"/>
        <v/>
      </c>
      <c r="N36" s="26" t="str">
        <f t="shared" si="12"/>
        <v/>
      </c>
      <c r="O36" s="115" t="str">
        <f t="shared" si="13"/>
        <v/>
      </c>
      <c r="Q36" s="131"/>
      <c r="R36" s="132"/>
      <c r="S36" s="133"/>
    </row>
    <row r="37" spans="1:19" ht="17.25" customHeight="1" thickBot="1">
      <c r="A37" s="27" t="s">
        <v>42</v>
      </c>
      <c r="B37" s="137">
        <v>300000</v>
      </c>
      <c r="C37" s="138"/>
      <c r="D37" s="27" t="s">
        <v>43</v>
      </c>
      <c r="E37" s="28">
        <f>IF(COUNT(E17:E26), SUM(E17:E26) / COUNT(E17:E26), 0)</f>
        <v>2.4765706165838879E-2</v>
      </c>
      <c r="F37" s="29">
        <f>SUM(F17:F26)</f>
        <v>37148.55924875832</v>
      </c>
      <c r="G37" s="27" t="s">
        <v>43</v>
      </c>
      <c r="H37" s="28">
        <f>IF(COUNT(H17:H26), SUM(H17:H26) / COUNT(H17:H26), 0)</f>
        <v>1.6239160529804193E-2</v>
      </c>
      <c r="I37" s="29">
        <f>SUM(I17:I26)</f>
        <v>24358.740794706289</v>
      </c>
      <c r="J37" s="27" t="s">
        <v>43</v>
      </c>
      <c r="K37" s="28">
        <f>IF(COUNT(K17:K26), SUM(K17:K26) / COUNT(K17:K26), 0)</f>
        <v>2.7373105254989795E-2</v>
      </c>
      <c r="L37" s="29">
        <f>SUM(L17:L26)</f>
        <v>41059.657882484695</v>
      </c>
      <c r="M37" s="27" t="s">
        <v>43</v>
      </c>
      <c r="N37" s="28">
        <f>IF(COUNT(N17:N26), SUM(N17:N26) / COUNT(N17:N26), 0)</f>
        <v>1.7016599562054108E-2</v>
      </c>
      <c r="O37" s="29">
        <f>SUM(O17:O26)</f>
        <v>25524.899343081161</v>
      </c>
      <c r="Q37" s="134"/>
      <c r="R37" s="135"/>
      <c r="S37" s="136"/>
    </row>
    <row r="38" spans="1:19" ht="17.25" customHeight="1"/>
    <row r="39" spans="1:19" ht="17.25" customHeight="1" thickBot="1"/>
    <row r="40" spans="1:19" ht="17.25" customHeight="1" thickBot="1">
      <c r="A40" s="149" t="s">
        <v>44</v>
      </c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1"/>
      <c r="Q40" s="148"/>
      <c r="R40" s="148"/>
      <c r="S40" s="148"/>
    </row>
    <row r="41" spans="1:19" ht="17.25" customHeight="1" thickBot="1">
      <c r="A41" s="110" t="s">
        <v>35</v>
      </c>
      <c r="B41" s="149" t="s">
        <v>36</v>
      </c>
      <c r="C41" s="151"/>
      <c r="D41" s="149" t="s">
        <v>37</v>
      </c>
      <c r="E41" s="150"/>
      <c r="F41" s="151"/>
      <c r="G41" s="152">
        <f>_xlfn.IFNA(VLOOKUP(B41, 현재가테이블!$B$2:$D$200, 2, FALSE), "-")</f>
        <v>68203000</v>
      </c>
      <c r="H41" s="153"/>
      <c r="I41" s="154"/>
      <c r="J41" s="149" t="s">
        <v>38</v>
      </c>
      <c r="K41" s="150"/>
      <c r="L41" s="151"/>
      <c r="M41" s="155">
        <f>_xlfn.IFNA(VLOOKUP(B41, 현재가테이블!$B$2:$D$200, 3, FALSE), "-")</f>
        <v>-1.22521687E-2</v>
      </c>
      <c r="N41" s="156"/>
      <c r="O41" s="157"/>
      <c r="Q41" s="148"/>
      <c r="R41" s="148"/>
      <c r="S41" s="148"/>
    </row>
    <row r="42" spans="1:19" ht="17.25" customHeight="1" thickBot="1">
      <c r="A42" s="158" t="s">
        <v>39</v>
      </c>
      <c r="B42" s="159" t="str">
        <f>TEXT($G$1, "[$-ko-KR]yyyy-mm-dd(ddd) ") &amp; "오전 00:00"</f>
        <v>2021-05-01(토) 오전 00:00</v>
      </c>
      <c r="C42" s="160"/>
      <c r="D42" s="161" t="str">
        <f>TEXT($G$1, "[$-ko-KR]yyyy-mm-dd(ddd) ") &amp; "오후 14:00"</f>
        <v>2021-05-01(토) 오후 14:00</v>
      </c>
      <c r="E42" s="162"/>
      <c r="F42" s="163"/>
      <c r="G42" s="161" t="str">
        <f>TEXT($G$1, "[$-ko-KR]yyyy-mm-dd(ddd) ") &amp; "오후 19:00"</f>
        <v>2021-05-01(토) 오후 19:00</v>
      </c>
      <c r="H42" s="162"/>
      <c r="I42" s="163"/>
      <c r="J42" s="164" t="str">
        <f>TEXT($G$1, "[$-ko-KR]yyyy-mm-dd(ddd) ") &amp; "오후 21:00"</f>
        <v>2021-05-01(토) 오후 21:00</v>
      </c>
      <c r="K42" s="164"/>
      <c r="L42" s="164"/>
      <c r="M42" s="161" t="str">
        <f>TEXT($G$1+1, "[$-ko-KR]yyyy-mm-dd(ddd) ") &amp; "오전 00:00"</f>
        <v>2021-05-02(일) 오전 00:00</v>
      </c>
      <c r="N42" s="162"/>
      <c r="O42" s="163"/>
      <c r="Q42" s="148"/>
      <c r="R42" s="148"/>
      <c r="S42" s="148"/>
    </row>
    <row r="43" spans="1:19" ht="17.25" customHeight="1" thickBot="1">
      <c r="A43" s="158"/>
      <c r="B43" s="2" t="s">
        <v>37</v>
      </c>
      <c r="C43" s="10" t="s">
        <v>38</v>
      </c>
      <c r="D43" s="2" t="s">
        <v>37</v>
      </c>
      <c r="E43" s="10" t="s">
        <v>40</v>
      </c>
      <c r="F43" s="11" t="s">
        <v>41</v>
      </c>
      <c r="G43" s="2" t="s">
        <v>37</v>
      </c>
      <c r="H43" s="10" t="s">
        <v>40</v>
      </c>
      <c r="I43" s="11" t="s">
        <v>41</v>
      </c>
      <c r="J43" s="10" t="s">
        <v>37</v>
      </c>
      <c r="K43" s="10" t="s">
        <v>40</v>
      </c>
      <c r="L43" s="109" t="s">
        <v>41</v>
      </c>
      <c r="M43" s="2" t="s">
        <v>37</v>
      </c>
      <c r="N43" s="10" t="s">
        <v>40</v>
      </c>
      <c r="O43" s="72" t="s">
        <v>41</v>
      </c>
      <c r="Q43" s="127"/>
      <c r="R43" s="127"/>
      <c r="S43" s="127"/>
    </row>
    <row r="44" spans="1:19" ht="17.25" customHeight="1" thickBot="1">
      <c r="A44" s="30" t="s">
        <v>298</v>
      </c>
      <c r="B44" s="31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7">
        <f>IF(ISNUMBER(D44), $B64 * E44, "")</f>
        <v>-1357.4660633484355</v>
      </c>
      <c r="G44" s="13">
        <v>22</v>
      </c>
      <c r="H44" s="14">
        <f>IF(ISNUMBER(G44), (G44 - $B44) / $B44, "")</f>
        <v>-4.524886877828118E-3</v>
      </c>
      <c r="I44" s="17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7">
        <f>IF(ISNUMBER(J44), $B64 * K44, "")</f>
        <v>-2714.9321266968709</v>
      </c>
      <c r="M44" s="13">
        <v>21.9</v>
      </c>
      <c r="N44" s="14">
        <f>IF(ISNUMBER(M44), (M44 - $B44) / $B44, "")</f>
        <v>-9.049773755656236E-3</v>
      </c>
      <c r="O44" s="17">
        <f>IF(ISNUMBER(M44), $B64 * N44, "")</f>
        <v>-2714.9321266968709</v>
      </c>
      <c r="Q44" s="148"/>
      <c r="R44" s="148"/>
      <c r="S44" s="148"/>
    </row>
    <row r="45" spans="1:19" ht="17.25" customHeight="1" thickBot="1">
      <c r="A45" s="32" t="s">
        <v>65</v>
      </c>
      <c r="B45" s="33">
        <v>76</v>
      </c>
      <c r="C45" s="16">
        <v>4.8275862099999997E-2</v>
      </c>
      <c r="D45" s="15">
        <v>78.5</v>
      </c>
      <c r="E45" s="16">
        <f t="shared" ref="E45:E48" si="14">IF(ISNUMBER(D45), (D45 - $B45) / $B45, "")</f>
        <v>3.2894736842105261E-2</v>
      </c>
      <c r="F45" s="19">
        <f>IF(ISNUMBER(D45), $B64 * E45, "")</f>
        <v>9868.4210526315783</v>
      </c>
      <c r="G45" s="15">
        <v>77.7</v>
      </c>
      <c r="H45" s="16">
        <f t="shared" ref="H45:H48" si="15">IF(ISNUMBER(G45), (G45 - $B45) / $B45, "")</f>
        <v>2.2368421052631617E-2</v>
      </c>
      <c r="I45" s="19">
        <f>IF(ISNUMBER(G45), $B64 * H45, "")</f>
        <v>6710.5263157894851</v>
      </c>
      <c r="J45" s="15">
        <v>78.2</v>
      </c>
      <c r="K45" s="16">
        <f t="shared" ref="K45:K48" si="16">IF(ISNUMBER(J45), (J45 - $B45) / $B45, "")</f>
        <v>2.894736842105267E-2</v>
      </c>
      <c r="L45" s="19">
        <f>IF(ISNUMBER(J45), $B64 * K45, "")</f>
        <v>8684.210526315801</v>
      </c>
      <c r="M45" s="15">
        <v>77.5</v>
      </c>
      <c r="N45" s="16">
        <f t="shared" ref="N45:N48" si="17">IF(ISNUMBER(M45), (M45 - $B45) / $B45, "")</f>
        <v>1.9736842105263157E-2</v>
      </c>
      <c r="O45" s="19">
        <f>IF(ISNUMBER(M45), $B64 * N45, "")</f>
        <v>5921.0526315789466</v>
      </c>
      <c r="Q45" s="148"/>
      <c r="R45" s="148"/>
      <c r="S45" s="148"/>
    </row>
    <row r="46" spans="1:19" ht="17.25" customHeight="1" thickBot="1">
      <c r="A46" s="32" t="s">
        <v>152</v>
      </c>
      <c r="B46" s="33">
        <v>46.3</v>
      </c>
      <c r="C46" s="16">
        <v>2.88888889E-2</v>
      </c>
      <c r="D46" s="15">
        <v>47.6</v>
      </c>
      <c r="E46" s="16">
        <f t="shared" si="14"/>
        <v>2.8077753779697717E-2</v>
      </c>
      <c r="F46" s="19">
        <f>IF(ISNUMBER(D46), $B64 * E46, "")</f>
        <v>8423.3261339093151</v>
      </c>
      <c r="G46" s="15">
        <v>46.8</v>
      </c>
      <c r="H46" s="16">
        <f t="shared" si="15"/>
        <v>1.0799136069114472E-2</v>
      </c>
      <c r="I46" s="19">
        <f>IF(ISNUMBER(G46), $B64 * H46, "")</f>
        <v>3239.7408207343415</v>
      </c>
      <c r="J46" s="15">
        <v>47.5</v>
      </c>
      <c r="K46" s="16">
        <f t="shared" si="16"/>
        <v>2.5917926565874792E-2</v>
      </c>
      <c r="L46" s="19">
        <f>IF(ISNUMBER(J46), $B64 * K46, "")</f>
        <v>7775.3779697624377</v>
      </c>
      <c r="M46" s="15">
        <v>46.9</v>
      </c>
      <c r="N46" s="16">
        <f t="shared" si="17"/>
        <v>1.2958963282937396E-2</v>
      </c>
      <c r="O46" s="19">
        <f>IF(ISNUMBER(M46), $B64 * N46, "")</f>
        <v>3887.6889848812189</v>
      </c>
      <c r="Q46" s="127"/>
      <c r="R46" s="127"/>
      <c r="S46" s="127"/>
    </row>
    <row r="47" spans="1:19" ht="17.25" customHeight="1" thickBot="1">
      <c r="A47" s="32" t="s">
        <v>100</v>
      </c>
      <c r="B47" s="33">
        <v>8.44</v>
      </c>
      <c r="C47" s="16">
        <v>2.80146163E-2</v>
      </c>
      <c r="D47" s="15">
        <v>8.56</v>
      </c>
      <c r="E47" s="16">
        <f t="shared" si="14"/>
        <v>1.4218009478673105E-2</v>
      </c>
      <c r="F47" s="19">
        <f>IF(ISNUMBER(D47), $B64 * E47, "")</f>
        <v>4265.4028436019316</v>
      </c>
      <c r="G47" s="15">
        <v>8.56</v>
      </c>
      <c r="H47" s="16">
        <f t="shared" si="15"/>
        <v>1.4218009478673105E-2</v>
      </c>
      <c r="I47" s="19">
        <f>IF(ISNUMBER(G47), $B64 * H47, "")</f>
        <v>4265.4028436019316</v>
      </c>
      <c r="J47" s="15">
        <v>8.6</v>
      </c>
      <c r="K47" s="16">
        <f t="shared" si="16"/>
        <v>1.8957345971564E-2</v>
      </c>
      <c r="L47" s="19">
        <f>IF(ISNUMBER(J47), $B64 * K47, "")</f>
        <v>5687.2037914692</v>
      </c>
      <c r="M47" s="15">
        <v>8.5500000000000007</v>
      </c>
      <c r="N47" s="16">
        <f t="shared" si="17"/>
        <v>1.303317535545038E-2</v>
      </c>
      <c r="O47" s="19">
        <f>IF(ISNUMBER(M47), $B64 * N47, "")</f>
        <v>3909.9526066351141</v>
      </c>
      <c r="Q47" s="127"/>
      <c r="R47" s="127"/>
      <c r="S47" s="127"/>
    </row>
    <row r="48" spans="1:19" ht="17.25" customHeight="1" thickBot="1">
      <c r="A48" s="34" t="s">
        <v>220</v>
      </c>
      <c r="B48" s="35">
        <v>20</v>
      </c>
      <c r="C48" s="22">
        <v>2.5641025599999999E-2</v>
      </c>
      <c r="D48" s="21">
        <v>20.100000000000001</v>
      </c>
      <c r="E48" s="22">
        <f t="shared" si="14"/>
        <v>5.0000000000000712E-3</v>
      </c>
      <c r="F48" s="23">
        <f>IF(ISNUMBER(D48), $B64 * E48, "")</f>
        <v>1500.0000000000214</v>
      </c>
      <c r="G48" s="21">
        <v>20</v>
      </c>
      <c r="H48" s="22">
        <f t="shared" si="15"/>
        <v>0</v>
      </c>
      <c r="I48" s="23">
        <f>IF(ISNUMBER(G48), $B64 * H48, "")</f>
        <v>0</v>
      </c>
      <c r="J48" s="21">
        <v>20.100000000000001</v>
      </c>
      <c r="K48" s="22">
        <f t="shared" si="16"/>
        <v>5.0000000000000712E-3</v>
      </c>
      <c r="L48" s="23">
        <f>IF(ISNUMBER(J48), $B64 * K48, "")</f>
        <v>1500.0000000000214</v>
      </c>
      <c r="M48" s="21">
        <v>20.2</v>
      </c>
      <c r="N48" s="22">
        <f t="shared" si="17"/>
        <v>9.9999999999999638E-3</v>
      </c>
      <c r="O48" s="23">
        <f>IF(ISNUMBER(M48), $B64 * N48, "")</f>
        <v>2999.9999999999891</v>
      </c>
      <c r="Q48" s="127"/>
      <c r="R48" s="127"/>
      <c r="S48" s="127"/>
    </row>
    <row r="49" spans="1:19" ht="17.25" customHeight="1" thickBot="1">
      <c r="A49" s="32" t="s">
        <v>72</v>
      </c>
      <c r="B49" s="36">
        <v>35.4</v>
      </c>
      <c r="C49" s="37">
        <v>2.3121387300000001E-2</v>
      </c>
      <c r="D49" s="15">
        <v>37.200000000000003</v>
      </c>
      <c r="E49" s="37">
        <f>IF(ISNUMBER(D49), (D49 - $B49) / $B49, "")</f>
        <v>5.0847457627118765E-2</v>
      </c>
      <c r="F49" s="19">
        <f>IF(ISNUMBER(D49), $B64 * E49, "")</f>
        <v>15254.23728813563</v>
      </c>
      <c r="G49" s="15">
        <v>36.6</v>
      </c>
      <c r="H49" s="37">
        <f>IF(ISNUMBER(G49), (G49 - $B49) / $B49, "")</f>
        <v>3.3898305084745846E-2</v>
      </c>
      <c r="I49" s="19">
        <f>IF(ISNUMBER(G49), $B64 * H49, "")</f>
        <v>10169.491525423753</v>
      </c>
      <c r="J49" s="15">
        <v>36.9</v>
      </c>
      <c r="K49" s="37">
        <f>IF(ISNUMBER(J49), (J49 - $B49) / $B49, "")</f>
        <v>4.2372881355932208E-2</v>
      </c>
      <c r="L49" s="19">
        <f>IF(ISNUMBER(J49), $B64 * K49, "")</f>
        <v>12711.864406779663</v>
      </c>
      <c r="M49" s="15">
        <v>37.4</v>
      </c>
      <c r="N49" s="37">
        <f>IF(ISNUMBER(M49), (M49 - $B49) / $B49, "")</f>
        <v>5.6497175141242938E-2</v>
      </c>
      <c r="O49" s="19">
        <f>IF(ISNUMBER(M49), $B64 * N49, "")</f>
        <v>16949.152542372882</v>
      </c>
      <c r="Q49" s="127"/>
      <c r="R49" s="127"/>
      <c r="S49" s="127"/>
    </row>
    <row r="50" spans="1:19" ht="17.25" customHeight="1" thickBot="1">
      <c r="A50" s="32" t="s">
        <v>236</v>
      </c>
      <c r="B50" s="33">
        <v>76.900000000000006</v>
      </c>
      <c r="C50" s="16">
        <v>1.8543046399999999E-2</v>
      </c>
      <c r="D50" s="15">
        <v>77.099999999999994</v>
      </c>
      <c r="E50" s="16">
        <f t="shared" ref="E50:E53" si="18">IF(ISNUMBER(D50), (D50 - $B50) / $B50, "")</f>
        <v>2.6007802340700732E-3</v>
      </c>
      <c r="F50" s="19">
        <f>IF(ISNUMBER(D50), $B64 * E50, "")</f>
        <v>780.23407022102197</v>
      </c>
      <c r="G50" s="15">
        <v>76.900000000000006</v>
      </c>
      <c r="H50" s="16">
        <f t="shared" ref="H50:H53" si="19">IF(ISNUMBER(G50), (G50 - $B50) / $B50, "")</f>
        <v>0</v>
      </c>
      <c r="I50" s="19">
        <f>IF(ISNUMBER(G50), $B64 * H50, "")</f>
        <v>0</v>
      </c>
      <c r="J50" s="15">
        <v>77</v>
      </c>
      <c r="K50" s="16">
        <f t="shared" ref="K50:K53" si="20">IF(ISNUMBER(J50), (J50 - $B50) / $B50, "")</f>
        <v>1.3003901170350366E-3</v>
      </c>
      <c r="L50" s="19">
        <f>IF(ISNUMBER(J50), $B64 * K50, "")</f>
        <v>390.11703511051098</v>
      </c>
      <c r="M50" s="15">
        <v>77.3</v>
      </c>
      <c r="N50" s="16">
        <f t="shared" ref="N50:N53" si="21">IF(ISNUMBER(M50), (M50 - $B50) / $B50, "")</f>
        <v>5.2015604681403312E-3</v>
      </c>
      <c r="O50" s="19">
        <f>IF(ISNUMBER(M50), $B64 * N50, "")</f>
        <v>1560.4681404420994</v>
      </c>
      <c r="Q50" s="127"/>
      <c r="R50" s="127"/>
      <c r="S50" s="127"/>
    </row>
    <row r="51" spans="1:19" ht="17.25" customHeight="1" thickBot="1">
      <c r="A51" s="32" t="s">
        <v>228</v>
      </c>
      <c r="B51" s="33">
        <v>19.8</v>
      </c>
      <c r="C51" s="16">
        <v>1.02040816E-2</v>
      </c>
      <c r="D51" s="15">
        <v>19.899999999999999</v>
      </c>
      <c r="E51" s="16">
        <f t="shared" si="18"/>
        <v>5.0505050505049425E-3</v>
      </c>
      <c r="F51" s="19">
        <f>IF(ISNUMBER(D51), $B64 * E51, "")</f>
        <v>1515.1515151514827</v>
      </c>
      <c r="G51" s="15">
        <v>19.8</v>
      </c>
      <c r="H51" s="16">
        <f t="shared" si="19"/>
        <v>0</v>
      </c>
      <c r="I51" s="19">
        <f>IF(ISNUMBER(G51), $B64 * H51, "")</f>
        <v>0</v>
      </c>
      <c r="J51" s="15">
        <v>19.899999999999999</v>
      </c>
      <c r="K51" s="16">
        <f t="shared" si="20"/>
        <v>5.0505050505049425E-3</v>
      </c>
      <c r="L51" s="19">
        <f>IF(ISNUMBER(J51), $B64 * K51, "")</f>
        <v>1515.1515151514827</v>
      </c>
      <c r="M51" s="15">
        <v>19.899999999999999</v>
      </c>
      <c r="N51" s="16">
        <f t="shared" si="21"/>
        <v>5.0505050505049425E-3</v>
      </c>
      <c r="O51" s="19">
        <f>IF(ISNUMBER(M51), $B64 * N51, "")</f>
        <v>1515.1515151514827</v>
      </c>
      <c r="Q51" s="127"/>
      <c r="R51" s="127"/>
      <c r="S51" s="127"/>
    </row>
    <row r="52" spans="1:19" ht="17.25" customHeight="1" thickBot="1">
      <c r="A52" s="32" t="s">
        <v>266</v>
      </c>
      <c r="B52" s="33">
        <v>94.2</v>
      </c>
      <c r="C52" s="16">
        <v>5.3361792999999996E-3</v>
      </c>
      <c r="D52" s="15">
        <v>93.5</v>
      </c>
      <c r="E52" s="16">
        <f t="shared" si="18"/>
        <v>-7.430997876857779E-3</v>
      </c>
      <c r="F52" s="19">
        <f>IF(ISNUMBER(D52), $B64 * E52, "")</f>
        <v>-2229.2993630573337</v>
      </c>
      <c r="G52" s="15">
        <v>93.4</v>
      </c>
      <c r="H52" s="16">
        <f t="shared" si="19"/>
        <v>-8.4925690021231126E-3</v>
      </c>
      <c r="I52" s="19">
        <f>IF(ISNUMBER(G52), $B64 * H52, "")</f>
        <v>-2547.7707006369337</v>
      </c>
      <c r="J52" s="15">
        <v>93.6</v>
      </c>
      <c r="K52" s="16">
        <f t="shared" si="20"/>
        <v>-6.3694267515924472E-3</v>
      </c>
      <c r="L52" s="19">
        <f>IF(ISNUMBER(J52), $B64 * K52, "")</f>
        <v>-1910.8280254777342</v>
      </c>
      <c r="M52" s="15">
        <v>93.6</v>
      </c>
      <c r="N52" s="16">
        <f t="shared" si="21"/>
        <v>-6.3694267515924472E-3</v>
      </c>
      <c r="O52" s="19">
        <f>IF(ISNUMBER(M52), $B64 * N52, "")</f>
        <v>-1910.8280254777342</v>
      </c>
      <c r="Q52" s="38"/>
      <c r="R52" s="38"/>
    </row>
    <row r="53" spans="1:19" ht="17.25" customHeight="1" thickBot="1">
      <c r="A53" s="34" t="s">
        <v>222</v>
      </c>
      <c r="B53" s="35">
        <v>20.100000000000001</v>
      </c>
      <c r="C53" s="22">
        <v>5.0000000000000001E-3</v>
      </c>
      <c r="D53" s="21">
        <v>20.100000000000001</v>
      </c>
      <c r="E53" s="22">
        <f t="shared" si="18"/>
        <v>0</v>
      </c>
      <c r="F53" s="19">
        <f>IF(ISNUMBER(D53), $B64 * E53, "")</f>
        <v>0</v>
      </c>
      <c r="G53" s="21">
        <v>19.899999999999999</v>
      </c>
      <c r="H53" s="22">
        <f t="shared" si="19"/>
        <v>-9.9502487562190458E-3</v>
      </c>
      <c r="I53" s="19">
        <f>IF(ISNUMBER(G53), $B64 * H53, "")</f>
        <v>-2985.0746268657135</v>
      </c>
      <c r="J53" s="21">
        <v>20.100000000000001</v>
      </c>
      <c r="K53" s="22">
        <f t="shared" si="20"/>
        <v>0</v>
      </c>
      <c r="L53" s="19">
        <f>IF(ISNUMBER(J53), $B64 * K53, "")</f>
        <v>0</v>
      </c>
      <c r="M53" s="21">
        <v>20.100000000000001</v>
      </c>
      <c r="N53" s="22">
        <f t="shared" si="21"/>
        <v>0</v>
      </c>
      <c r="O53" s="19">
        <f>IF(ISNUMBER(M53), $B64 * N53, "")</f>
        <v>0</v>
      </c>
      <c r="Q53" s="139"/>
      <c r="R53" s="140"/>
      <c r="S53" s="141"/>
    </row>
    <row r="54" spans="1:19" ht="17.25" customHeight="1">
      <c r="A54" s="30" t="s">
        <v>214</v>
      </c>
      <c r="B54" s="31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7">
        <f>IF(ISNUMBER(D54), $B64 * E54, "")</f>
        <v>-1234.5679012345854</v>
      </c>
      <c r="G54" s="13">
        <v>24.2</v>
      </c>
      <c r="H54" s="14">
        <f>IF(ISNUMBER(G54), (G54 - $B54) / $B54, "")</f>
        <v>-4.1152263374486181E-3</v>
      </c>
      <c r="I54" s="17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7">
        <f>IF(ISNUMBER(J54), $B64 * K54, "")</f>
        <v>-1234.5679012345854</v>
      </c>
      <c r="M54" s="13">
        <v>24.2</v>
      </c>
      <c r="N54" s="14">
        <f>IF(ISNUMBER(M54), (M54 - $B54) / $B54, "")</f>
        <v>-4.1152263374486181E-3</v>
      </c>
      <c r="O54" s="17">
        <f>IF(ISNUMBER(M54), $B64 * N54, "")</f>
        <v>-1234.5679012345854</v>
      </c>
      <c r="Q54" s="142"/>
      <c r="R54" s="143"/>
      <c r="S54" s="144"/>
    </row>
    <row r="55" spans="1:19" ht="17.25" customHeight="1" thickBot="1">
      <c r="A55" s="32" t="s">
        <v>126</v>
      </c>
      <c r="B55" s="33">
        <v>60.4</v>
      </c>
      <c r="C55" s="16">
        <v>3.3222591000000002E-3</v>
      </c>
      <c r="D55" s="15">
        <v>69.599999999999994</v>
      </c>
      <c r="E55" s="16">
        <f t="shared" ref="E55:E58" si="22">IF(ISNUMBER(D55), (D55 - $B55) / $B55, "")</f>
        <v>0.15231788079470193</v>
      </c>
      <c r="F55" s="19">
        <f>IF(ISNUMBER(D55), $B64 * E55, "")</f>
        <v>45695.364238410577</v>
      </c>
      <c r="G55" s="15">
        <v>70.3</v>
      </c>
      <c r="H55" s="16">
        <f t="shared" ref="H55:H58" si="23">IF(ISNUMBER(G55), (G55 - $B55) / $B55, "")</f>
        <v>0.1639072847682119</v>
      </c>
      <c r="I55" s="19">
        <f>IF(ISNUMBER(G55), $B64 * H55, "")</f>
        <v>49172.185430463571</v>
      </c>
      <c r="J55" s="15">
        <v>71.2</v>
      </c>
      <c r="K55" s="16">
        <f t="shared" ref="K55:K58" si="24">IF(ISNUMBER(J55), (J55 - $B55) / $B55, "")</f>
        <v>0.17880794701986763</v>
      </c>
      <c r="L55" s="19">
        <f>IF(ISNUMBER(J55), $B64 * K55, "")</f>
        <v>53642.384105960286</v>
      </c>
      <c r="M55" s="15">
        <v>70.7</v>
      </c>
      <c r="N55" s="16">
        <f t="shared" ref="N55:N58" si="25">IF(ISNUMBER(M55), (M55 - $B55) / $B55, "")</f>
        <v>0.17052980132450338</v>
      </c>
      <c r="O55" s="19">
        <f>IF(ISNUMBER(M55), $B64 * N55, "")</f>
        <v>51158.940397351013</v>
      </c>
      <c r="Q55" s="145"/>
      <c r="R55" s="146"/>
      <c r="S55" s="147"/>
    </row>
    <row r="56" spans="1:19" ht="17.25" customHeight="1" thickBot="1">
      <c r="A56" s="32" t="s">
        <v>198</v>
      </c>
      <c r="B56" s="33">
        <v>31.2</v>
      </c>
      <c r="C56" s="16">
        <v>3.2154341000000001E-3</v>
      </c>
      <c r="D56" s="15">
        <v>31.5</v>
      </c>
      <c r="E56" s="16">
        <f t="shared" si="22"/>
        <v>9.6153846153846385E-3</v>
      </c>
      <c r="F56" s="19">
        <f>IF(ISNUMBER(D56), $B64 * E56, "")</f>
        <v>2884.6153846153916</v>
      </c>
      <c r="G56" s="15">
        <v>31.3</v>
      </c>
      <c r="H56" s="16">
        <f t="shared" si="23"/>
        <v>3.2051282051282506E-3</v>
      </c>
      <c r="I56" s="19">
        <f>IF(ISNUMBER(G56), $B64 * H56, "")</f>
        <v>961.53846153847519</v>
      </c>
      <c r="J56" s="15">
        <v>31.5</v>
      </c>
      <c r="K56" s="16">
        <f t="shared" si="24"/>
        <v>9.6153846153846385E-3</v>
      </c>
      <c r="L56" s="19">
        <f>IF(ISNUMBER(J56), $B64 * K56, "")</f>
        <v>2884.6153846153916</v>
      </c>
      <c r="M56" s="15">
        <v>31.7</v>
      </c>
      <c r="N56" s="16">
        <f t="shared" si="25"/>
        <v>1.6025641025641028E-2</v>
      </c>
      <c r="O56" s="19">
        <f>IF(ISNUMBER(M56), $B64 * N56, "")</f>
        <v>4807.6923076923085</v>
      </c>
      <c r="Q56" s="127"/>
      <c r="R56" s="127"/>
      <c r="S56" s="127"/>
    </row>
    <row r="57" spans="1:19" ht="17.25" customHeight="1" thickBot="1">
      <c r="A57" s="32" t="s">
        <v>154</v>
      </c>
      <c r="B57" s="33">
        <v>22.1</v>
      </c>
      <c r="C57" s="16">
        <v>0</v>
      </c>
      <c r="D57" s="15">
        <v>22.2</v>
      </c>
      <c r="E57" s="16">
        <f t="shared" si="22"/>
        <v>4.5248868778279576E-3</v>
      </c>
      <c r="F57" s="19">
        <f>IF(ISNUMBER(D57), $B64 * E57, "")</f>
        <v>1357.4660633483873</v>
      </c>
      <c r="G57" s="15">
        <v>21.9</v>
      </c>
      <c r="H57" s="16">
        <f t="shared" si="23"/>
        <v>-9.049773755656236E-3</v>
      </c>
      <c r="I57" s="19">
        <f>IF(ISNUMBER(G57), $B64 * H57, "")</f>
        <v>-2714.9321266968709</v>
      </c>
      <c r="J57" s="15">
        <v>22.1</v>
      </c>
      <c r="K57" s="16">
        <f t="shared" si="24"/>
        <v>0</v>
      </c>
      <c r="L57" s="19">
        <f>IF(ISNUMBER(J57), $B64 * K57, "")</f>
        <v>0</v>
      </c>
      <c r="M57" s="15">
        <v>22.2</v>
      </c>
      <c r="N57" s="16">
        <f t="shared" si="25"/>
        <v>4.5248868778279576E-3</v>
      </c>
      <c r="O57" s="19">
        <f>IF(ISNUMBER(M57), $B64 * N57, "")</f>
        <v>1357.4660633483873</v>
      </c>
      <c r="Q57" s="148"/>
      <c r="R57" s="148"/>
      <c r="S57" s="148"/>
    </row>
    <row r="58" spans="1:19" ht="17.25" customHeight="1" thickBot="1">
      <c r="A58" s="34" t="s">
        <v>268</v>
      </c>
      <c r="B58" s="35">
        <v>96.5</v>
      </c>
      <c r="C58" s="22">
        <v>-1.0351967E-3</v>
      </c>
      <c r="D58" s="21">
        <v>98</v>
      </c>
      <c r="E58" s="22">
        <f t="shared" si="22"/>
        <v>1.5544041450777202E-2</v>
      </c>
      <c r="F58" s="23">
        <f>IF(ISNUMBER(D58), $B64 * E58, "")</f>
        <v>4663.2124352331602</v>
      </c>
      <c r="G58" s="21">
        <v>97.1</v>
      </c>
      <c r="H58" s="22">
        <f t="shared" si="23"/>
        <v>6.2176165803108216E-3</v>
      </c>
      <c r="I58" s="23">
        <f>IF(ISNUMBER(G58), $B64 * H58, "")</f>
        <v>1865.2849740932465</v>
      </c>
      <c r="J58" s="21">
        <v>97.1</v>
      </c>
      <c r="K58" s="22">
        <f t="shared" si="24"/>
        <v>6.2176165803108216E-3</v>
      </c>
      <c r="L58" s="23">
        <f>IF(ISNUMBER(J58), $B64 * K58, "")</f>
        <v>1865.2849740932465</v>
      </c>
      <c r="M58" s="21">
        <v>97</v>
      </c>
      <c r="N58" s="22">
        <f t="shared" si="25"/>
        <v>5.1813471502590676E-3</v>
      </c>
      <c r="O58" s="23">
        <f>IF(ISNUMBER(M58), $B64 * N58, "")</f>
        <v>1554.4041450777202</v>
      </c>
      <c r="Q58" s="148"/>
      <c r="R58" s="148"/>
      <c r="S58" s="148"/>
    </row>
    <row r="59" spans="1:19" ht="17.25" customHeight="1" thickBot="1">
      <c r="A59" s="32" t="s">
        <v>186</v>
      </c>
      <c r="B59" s="36">
        <v>26.1</v>
      </c>
      <c r="C59" s="37">
        <v>-3.8167939000000001E-3</v>
      </c>
      <c r="D59" s="15">
        <v>26.6</v>
      </c>
      <c r="E59" s="37">
        <f>IF(ISNUMBER(D59), (D59 - $B59) / $B59, "")</f>
        <v>1.9157088122605363E-2</v>
      </c>
      <c r="F59" s="19">
        <f>IF(ISNUMBER(D59), $B64 * E59, "")</f>
        <v>5747.1264367816084</v>
      </c>
      <c r="G59" s="15">
        <v>26.2</v>
      </c>
      <c r="H59" s="37">
        <f>IF(ISNUMBER(G59), (G59 - $B59) / $B59, "")</f>
        <v>3.8314176245209911E-3</v>
      </c>
      <c r="I59" s="19">
        <f>IF(ISNUMBER(G59), $B64 * H59, "")</f>
        <v>1149.4252873562973</v>
      </c>
      <c r="J59" s="15">
        <v>26.5</v>
      </c>
      <c r="K59" s="37">
        <f>IF(ISNUMBER(J59), (J59 - $B59) / $B59, "")</f>
        <v>1.5325670498084237E-2</v>
      </c>
      <c r="L59" s="19">
        <f>IF(ISNUMBER(J59), $B64 * K59, "")</f>
        <v>4597.7011494252711</v>
      </c>
      <c r="M59" s="15">
        <v>26.3</v>
      </c>
      <c r="N59" s="37">
        <f>IF(ISNUMBER(M59), (M59 - $B59) / $B59, "")</f>
        <v>7.6628352490421183E-3</v>
      </c>
      <c r="O59" s="19">
        <f>IF(ISNUMBER(M59), $B64 * N59, "")</f>
        <v>2298.8505747126355</v>
      </c>
      <c r="Q59" s="127"/>
      <c r="R59" s="127"/>
      <c r="S59" s="127"/>
    </row>
    <row r="60" spans="1:19" ht="17.25" customHeight="1" thickBot="1">
      <c r="A60" s="32" t="s">
        <v>218</v>
      </c>
      <c r="B60" s="33">
        <v>31.8</v>
      </c>
      <c r="C60" s="16">
        <v>-6.2500000000000003E-3</v>
      </c>
      <c r="D60" s="15">
        <v>32.1</v>
      </c>
      <c r="E60" s="16">
        <f t="shared" ref="E60:E63" si="26">IF(ISNUMBER(D60), (D60 - $B60) / $B60, "")</f>
        <v>9.4339622641509656E-3</v>
      </c>
      <c r="F60" s="19">
        <f>IF(ISNUMBER(D60), $B64 * E60, "")</f>
        <v>2830.1886792452897</v>
      </c>
      <c r="G60" s="15">
        <v>32</v>
      </c>
      <c r="H60" s="16">
        <f t="shared" ref="H60:H63" si="27">IF(ISNUMBER(G60), (G60 - $B60) / $B60, "")</f>
        <v>6.2893081761006067E-3</v>
      </c>
      <c r="I60" s="19">
        <f>IF(ISNUMBER(G60), $B64 * H60, "")</f>
        <v>1886.7924528301821</v>
      </c>
      <c r="J60" s="15">
        <v>32.1</v>
      </c>
      <c r="K60" s="16">
        <f t="shared" ref="K60:K63" si="28">IF(ISNUMBER(J60), (J60 - $B60) / $B60, "")</f>
        <v>9.4339622641509656E-3</v>
      </c>
      <c r="L60" s="19">
        <f>IF(ISNUMBER(J60), $B64 * K60, "")</f>
        <v>2830.1886792452897</v>
      </c>
      <c r="M60" s="15">
        <v>32.1</v>
      </c>
      <c r="N60" s="16">
        <f t="shared" ref="N60:N63" si="29">IF(ISNUMBER(M60), (M60 - $B60) / $B60, "")</f>
        <v>9.4339622641509656E-3</v>
      </c>
      <c r="O60" s="19">
        <f>IF(ISNUMBER(M60), $B64 * N60, "")</f>
        <v>2830.1886792452897</v>
      </c>
      <c r="Q60" s="127"/>
      <c r="R60" s="127"/>
      <c r="S60" s="127"/>
    </row>
    <row r="61" spans="1:19" ht="17.25" customHeight="1" thickBot="1">
      <c r="A61" s="32" t="s">
        <v>172</v>
      </c>
      <c r="B61" s="33">
        <v>28.3</v>
      </c>
      <c r="C61" s="16">
        <v>-1.04895105E-2</v>
      </c>
      <c r="D61" s="15">
        <v>28.2</v>
      </c>
      <c r="E61" s="16">
        <f t="shared" si="26"/>
        <v>-3.5335689045936898E-3</v>
      </c>
      <c r="F61" s="19">
        <f>IF(ISNUMBER(D61), $B64 * E61, "")</f>
        <v>-1060.0706713781069</v>
      </c>
      <c r="G61" s="15">
        <v>28</v>
      </c>
      <c r="H61" s="16">
        <f t="shared" si="27"/>
        <v>-1.0600706713780944E-2</v>
      </c>
      <c r="I61" s="19">
        <f>IF(ISNUMBER(G61), $B64 * H61, "")</f>
        <v>-3180.212014134283</v>
      </c>
      <c r="J61" s="15">
        <v>28.1</v>
      </c>
      <c r="K61" s="16">
        <f t="shared" si="28"/>
        <v>-7.0671378091872539E-3</v>
      </c>
      <c r="L61" s="19">
        <f>IF(ISNUMBER(J61), $B64 * K61, "")</f>
        <v>-2120.1413427561761</v>
      </c>
      <c r="M61" s="15">
        <v>28.2</v>
      </c>
      <c r="N61" s="16">
        <f t="shared" si="29"/>
        <v>-3.5335689045936898E-3</v>
      </c>
      <c r="O61" s="19">
        <f>IF(ISNUMBER(M61), $B64 * N61, "")</f>
        <v>-1060.0706713781069</v>
      </c>
      <c r="Q61" s="127"/>
      <c r="R61" s="127"/>
      <c r="S61" s="127"/>
    </row>
    <row r="62" spans="1:19" ht="17.25" customHeight="1">
      <c r="A62" s="32" t="s">
        <v>254</v>
      </c>
      <c r="B62" s="33">
        <v>93</v>
      </c>
      <c r="C62" s="16">
        <v>-1.4830508500000001E-2</v>
      </c>
      <c r="D62" s="15">
        <v>92.4</v>
      </c>
      <c r="E62" s="16">
        <f t="shared" si="26"/>
        <v>-6.4516129032257457E-3</v>
      </c>
      <c r="F62" s="19">
        <f>IF(ISNUMBER(D62), $B64 * E62, "")</f>
        <v>-1935.4838709677238</v>
      </c>
      <c r="G62" s="15">
        <v>92.1</v>
      </c>
      <c r="H62" s="16">
        <f t="shared" si="27"/>
        <v>-9.6774193548387708E-3</v>
      </c>
      <c r="I62" s="19">
        <f>IF(ISNUMBER(G62), $B64 * H62, "")</f>
        <v>-2903.2258064516313</v>
      </c>
      <c r="J62" s="15">
        <v>92.4</v>
      </c>
      <c r="K62" s="16">
        <f t="shared" si="28"/>
        <v>-6.4516129032257457E-3</v>
      </c>
      <c r="L62" s="19">
        <f>IF(ISNUMBER(J62), $B64 * K62, "")</f>
        <v>-1935.4838709677238</v>
      </c>
      <c r="M62" s="15">
        <v>92.4</v>
      </c>
      <c r="N62" s="16">
        <f t="shared" si="29"/>
        <v>-6.4516129032257457E-3</v>
      </c>
      <c r="O62" s="19">
        <f>IF(ISNUMBER(M62), $B64 * N62, "")</f>
        <v>-1935.4838709677238</v>
      </c>
      <c r="Q62" s="128"/>
      <c r="R62" s="129"/>
      <c r="S62" s="130"/>
    </row>
    <row r="63" spans="1:19" ht="17.25" customHeight="1" thickBot="1">
      <c r="A63" s="34"/>
      <c r="B63" s="35"/>
      <c r="C63" s="22"/>
      <c r="D63" s="21" t="s">
        <v>297</v>
      </c>
      <c r="E63" s="22" t="str">
        <f t="shared" si="26"/>
        <v/>
      </c>
      <c r="F63" s="19" t="str">
        <f>IF(ISNUMBER(D63), $B64 * E63, "")</f>
        <v/>
      </c>
      <c r="G63" s="21" t="s">
        <v>297</v>
      </c>
      <c r="H63" s="22" t="str">
        <f t="shared" si="27"/>
        <v/>
      </c>
      <c r="I63" s="19" t="str">
        <f>IF(ISNUMBER(G63), $B64 * H63, "")</f>
        <v/>
      </c>
      <c r="J63" s="21" t="s">
        <v>297</v>
      </c>
      <c r="K63" s="22" t="str">
        <f t="shared" si="28"/>
        <v/>
      </c>
      <c r="L63" s="19" t="str">
        <f>IF(ISNUMBER(J63), $B64 * K63, "")</f>
        <v/>
      </c>
      <c r="M63" s="21" t="s">
        <v>297</v>
      </c>
      <c r="N63" s="22" t="str">
        <f t="shared" si="29"/>
        <v/>
      </c>
      <c r="O63" s="19" t="str">
        <f>IF(ISNUMBER(M63), $B64 * N63, "")</f>
        <v/>
      </c>
      <c r="Q63" s="131"/>
      <c r="R63" s="132"/>
      <c r="S63" s="133"/>
    </row>
    <row r="64" spans="1:19" ht="17.25" customHeight="1" thickBot="1">
      <c r="A64" s="27" t="s">
        <v>42</v>
      </c>
      <c r="B64" s="137">
        <f>$B$37</f>
        <v>300000</v>
      </c>
      <c r="C64" s="138"/>
      <c r="D64" s="27" t="s">
        <v>43</v>
      </c>
      <c r="E64" s="28">
        <f>IF(COUNT(E44:E63), SUM(E44:E63) / COUNT(E44:E63), 0)</f>
        <v>1.7011904959877054E-2</v>
      </c>
      <c r="F64" s="29">
        <f>SUM(F44:F63)</f>
        <v>96967.858271299192</v>
      </c>
      <c r="G64" s="27" t="s">
        <v>43</v>
      </c>
      <c r="H64" s="28">
        <f>IF(COUNT(H44:H63), SUM(H44:H63) / COUNT(H44:H63), 0)</f>
        <v>1.0964410328502251E-2</v>
      </c>
      <c r="I64" s="29">
        <f>SUM(I44:I63)</f>
        <v>62497.138872462834</v>
      </c>
      <c r="J64" s="27" t="s">
        <v>43</v>
      </c>
      <c r="K64" s="28">
        <f>IF(COUNT(K44:K63), SUM(K44:K63) / COUNT(K44:K63), 0)</f>
        <v>1.6520727415929037E-2</v>
      </c>
      <c r="L64" s="29">
        <f>SUM(L44:L63)</f>
        <v>94168.146270795492</v>
      </c>
      <c r="M64" s="27" t="s">
        <v>43</v>
      </c>
      <c r="N64" s="28">
        <f>IF(COUNT(N44:N63), SUM(N44:N63) / COUNT(N44:N63), 0)</f>
        <v>1.6121951928549837E-2</v>
      </c>
      <c r="O64" s="29">
        <f>SUM(O44:O63)</f>
        <v>91895.125992734043</v>
      </c>
      <c r="Q64" s="134"/>
      <c r="R64" s="135"/>
      <c r="S64" s="136"/>
    </row>
    <row r="65" spans="1:19" ht="17.25" customHeight="1"/>
    <row r="66" spans="1:19" ht="17.25" customHeight="1" thickBot="1"/>
    <row r="67" spans="1:19" ht="17.25" thickBot="1">
      <c r="A67" s="149" t="s">
        <v>45</v>
      </c>
      <c r="B67" s="150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1"/>
      <c r="Q67" s="148"/>
      <c r="R67" s="148"/>
      <c r="S67" s="148"/>
    </row>
    <row r="68" spans="1:19" ht="17.25" thickBot="1">
      <c r="A68" s="110" t="s">
        <v>35</v>
      </c>
      <c r="B68" s="149" t="s">
        <v>36</v>
      </c>
      <c r="C68" s="151"/>
      <c r="D68" s="149" t="s">
        <v>37</v>
      </c>
      <c r="E68" s="150"/>
      <c r="F68" s="151"/>
      <c r="G68" s="152">
        <f>_xlfn.IFNA(VLOOKUP(B68, 현재가테이블!$B$2:$D$200, 2, FALSE), "-")</f>
        <v>68203000</v>
      </c>
      <c r="H68" s="153"/>
      <c r="I68" s="154"/>
      <c r="J68" s="149" t="s">
        <v>38</v>
      </c>
      <c r="K68" s="150"/>
      <c r="L68" s="151"/>
      <c r="M68" s="155">
        <f>_xlfn.IFNA(VLOOKUP(B68, 현재가테이블!$B$2:$D$200, 3, FALSE), "-")</f>
        <v>-1.22521687E-2</v>
      </c>
      <c r="N68" s="156"/>
      <c r="O68" s="157"/>
      <c r="Q68" s="148"/>
      <c r="R68" s="148"/>
      <c r="S68" s="148"/>
    </row>
    <row r="69" spans="1:19" ht="17.25" thickBot="1">
      <c r="A69" s="158" t="s">
        <v>39</v>
      </c>
      <c r="B69" s="159" t="str">
        <f>TEXT($G$1, "[$-ko-KR]yyyy-mm-dd(ddd) ") &amp; "오전 00:00"</f>
        <v>2021-05-01(토) 오전 00:00</v>
      </c>
      <c r="C69" s="160"/>
      <c r="D69" s="161" t="str">
        <f>TEXT($G$1, "[$-ko-KR]yyyy-mm-dd(ddd) ") &amp; "오후 14:00"</f>
        <v>2021-05-01(토) 오후 14:00</v>
      </c>
      <c r="E69" s="162"/>
      <c r="F69" s="163"/>
      <c r="G69" s="161" t="str">
        <f>TEXT($G$1, "[$-ko-KR]yyyy-mm-dd(ddd) ") &amp; "오후 19:00"</f>
        <v>2021-05-01(토) 오후 19:00</v>
      </c>
      <c r="H69" s="162"/>
      <c r="I69" s="163"/>
      <c r="J69" s="164" t="str">
        <f>TEXT($G$1, "[$-ko-KR]yyyy-mm-dd(ddd) ") &amp; "오후 21:00"</f>
        <v>2021-05-01(토) 오후 21:00</v>
      </c>
      <c r="K69" s="164"/>
      <c r="L69" s="164"/>
      <c r="M69" s="161" t="str">
        <f>TEXT($G$1+1, "[$-ko-KR]yyyy-mm-dd(ddd) ") &amp; "오전 00:00"</f>
        <v>2021-05-02(일) 오전 00:00</v>
      </c>
      <c r="N69" s="162"/>
      <c r="O69" s="163"/>
      <c r="Q69" s="148"/>
      <c r="R69" s="148"/>
      <c r="S69" s="148"/>
    </row>
    <row r="70" spans="1:19" ht="17.25" thickBot="1">
      <c r="A70" s="158"/>
      <c r="B70" s="2" t="s">
        <v>37</v>
      </c>
      <c r="C70" s="10" t="s">
        <v>38</v>
      </c>
      <c r="D70" s="2" t="s">
        <v>37</v>
      </c>
      <c r="E70" s="10" t="s">
        <v>40</v>
      </c>
      <c r="F70" s="11" t="s">
        <v>41</v>
      </c>
      <c r="G70" s="2" t="s">
        <v>37</v>
      </c>
      <c r="H70" s="10" t="s">
        <v>40</v>
      </c>
      <c r="I70" s="11" t="s">
        <v>41</v>
      </c>
      <c r="J70" s="10" t="s">
        <v>37</v>
      </c>
      <c r="K70" s="10" t="s">
        <v>40</v>
      </c>
      <c r="L70" s="109" t="s">
        <v>41</v>
      </c>
      <c r="M70" s="2" t="s">
        <v>37</v>
      </c>
      <c r="N70" s="10" t="s">
        <v>40</v>
      </c>
      <c r="O70" s="72" t="s">
        <v>41</v>
      </c>
      <c r="Q70" s="127"/>
      <c r="R70" s="127"/>
      <c r="S70" s="127"/>
    </row>
    <row r="71" spans="1:19" ht="17.25" thickBot="1">
      <c r="A71" s="30" t="s">
        <v>116</v>
      </c>
      <c r="B71" s="31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7">
        <f>IF(ISNUMBER(D71), $B91 * E71, "")</f>
        <v>-4048.5829959514172</v>
      </c>
      <c r="G71" s="13">
        <v>717</v>
      </c>
      <c r="H71" s="14">
        <f>IF(ISNUMBER(G71), (G71 - $B71) / $B71, "")</f>
        <v>-3.2388663967611336E-2</v>
      </c>
      <c r="I71" s="17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7">
        <f>IF(ISNUMBER(J71), $B91 * K71, "")</f>
        <v>-5263.1578947368416</v>
      </c>
      <c r="M71" s="13">
        <v>715</v>
      </c>
      <c r="N71" s="14">
        <f>IF(ISNUMBER(M71), (M71 - $B71) / $B71, "")</f>
        <v>-3.5087719298245612E-2</v>
      </c>
      <c r="O71" s="17">
        <f>IF(ISNUMBER(M71), $B91 * N71, "")</f>
        <v>-10526.315789473683</v>
      </c>
      <c r="Q71" s="148"/>
      <c r="R71" s="148"/>
      <c r="S71" s="148"/>
    </row>
    <row r="72" spans="1:19" ht="17.25" thickBot="1">
      <c r="A72" s="32" t="s">
        <v>168</v>
      </c>
      <c r="B72" s="33">
        <v>205</v>
      </c>
      <c r="C72" s="16">
        <v>7.3298429299999995E-2</v>
      </c>
      <c r="D72" s="15">
        <v>206</v>
      </c>
      <c r="E72" s="16">
        <f t="shared" ref="E72:E75" si="30">IF(ISNUMBER(D72), (D72 - $B72) / $B72, "")</f>
        <v>4.8780487804878049E-3</v>
      </c>
      <c r="F72" s="19">
        <f>IF(ISNUMBER(D72), $B91 * E72, "")</f>
        <v>1463.4146341463415</v>
      </c>
      <c r="G72" s="15">
        <v>204</v>
      </c>
      <c r="H72" s="16">
        <f t="shared" ref="H72:H75" si="31">IF(ISNUMBER(G72), (G72 - $B72) / $B72, "")</f>
        <v>-4.8780487804878049E-3</v>
      </c>
      <c r="I72" s="19">
        <f>IF(ISNUMBER(G72), $B91 * H72, "")</f>
        <v>-1463.4146341463415</v>
      </c>
      <c r="J72" s="15">
        <v>206</v>
      </c>
      <c r="K72" s="16">
        <f t="shared" ref="K72:K75" si="32">IF(ISNUMBER(J72), (J72 - $B72) / $B72, "")</f>
        <v>4.8780487804878049E-3</v>
      </c>
      <c r="L72" s="19">
        <f>IF(ISNUMBER(J72), $B91 * K72, "")</f>
        <v>1463.4146341463415</v>
      </c>
      <c r="M72" s="15">
        <v>205</v>
      </c>
      <c r="N72" s="16">
        <f t="shared" ref="N72:N75" si="33">IF(ISNUMBER(M72), (M72 - $B72) / $B72, "")</f>
        <v>0</v>
      </c>
      <c r="O72" s="19">
        <f>IF(ISNUMBER(M72), $B91 * N72, "")</f>
        <v>0</v>
      </c>
      <c r="Q72" s="148"/>
      <c r="R72" s="148"/>
      <c r="S72" s="148"/>
    </row>
    <row r="73" spans="1:19" ht="17.25" thickBot="1">
      <c r="A73" s="32" t="s">
        <v>51</v>
      </c>
      <c r="B73" s="33">
        <v>626</v>
      </c>
      <c r="C73" s="16">
        <v>6.8259385699999994E-2</v>
      </c>
      <c r="D73" s="15">
        <v>627</v>
      </c>
      <c r="E73" s="16">
        <f t="shared" si="30"/>
        <v>1.5974440894568689E-3</v>
      </c>
      <c r="F73" s="19">
        <f>IF(ISNUMBER(D73), $B91 * E73, "")</f>
        <v>479.23322683706067</v>
      </c>
      <c r="G73" s="15">
        <v>619</v>
      </c>
      <c r="H73" s="16">
        <f t="shared" si="31"/>
        <v>-1.1182108626198083E-2</v>
      </c>
      <c r="I73" s="19">
        <f>IF(ISNUMBER(G73), $B91 * H73, "")</f>
        <v>-3354.6325878594248</v>
      </c>
      <c r="J73" s="15">
        <v>626</v>
      </c>
      <c r="K73" s="16">
        <f t="shared" si="32"/>
        <v>0</v>
      </c>
      <c r="L73" s="19">
        <f>IF(ISNUMBER(J73), $B91 * K73, "")</f>
        <v>0</v>
      </c>
      <c r="M73" s="15">
        <v>620</v>
      </c>
      <c r="N73" s="16">
        <f t="shared" si="33"/>
        <v>-9.5846645367412137E-3</v>
      </c>
      <c r="O73" s="19">
        <f>IF(ISNUMBER(M73), $B91 * N73, "")</f>
        <v>-2875.3993610223642</v>
      </c>
      <c r="Q73" s="127"/>
      <c r="R73" s="127"/>
      <c r="S73" s="127"/>
    </row>
    <row r="74" spans="1:19" ht="17.25" thickBot="1">
      <c r="A74" s="32" t="s">
        <v>136</v>
      </c>
      <c r="B74" s="33">
        <v>244</v>
      </c>
      <c r="C74" s="16">
        <v>6.5502183399999997E-2</v>
      </c>
      <c r="D74" s="15">
        <v>247</v>
      </c>
      <c r="E74" s="16">
        <f t="shared" si="30"/>
        <v>1.2295081967213115E-2</v>
      </c>
      <c r="F74" s="19">
        <f>IF(ISNUMBER(D74), $B91 * E74, "")</f>
        <v>3688.5245901639341</v>
      </c>
      <c r="G74" s="15">
        <v>245</v>
      </c>
      <c r="H74" s="16">
        <f t="shared" si="31"/>
        <v>4.0983606557377051E-3</v>
      </c>
      <c r="I74" s="19">
        <f>IF(ISNUMBER(G74), $B91 * H74, "")</f>
        <v>1229.5081967213116</v>
      </c>
      <c r="J74" s="15">
        <v>254</v>
      </c>
      <c r="K74" s="16">
        <f t="shared" si="32"/>
        <v>4.0983606557377046E-2</v>
      </c>
      <c r="L74" s="19">
        <f>IF(ISNUMBER(J74), $B91 * K74, "")</f>
        <v>12295.081967213115</v>
      </c>
      <c r="M74" s="15">
        <v>250</v>
      </c>
      <c r="N74" s="16">
        <f t="shared" si="33"/>
        <v>2.4590163934426229E-2</v>
      </c>
      <c r="O74" s="19">
        <f>IF(ISNUMBER(M74), $B91 * N74, "")</f>
        <v>7377.0491803278683</v>
      </c>
      <c r="Q74" s="127"/>
      <c r="R74" s="127"/>
      <c r="S74" s="127"/>
    </row>
    <row r="75" spans="1:19" ht="17.25" thickBot="1">
      <c r="A75" s="34" t="s">
        <v>210</v>
      </c>
      <c r="B75" s="35">
        <v>217</v>
      </c>
      <c r="C75" s="22">
        <v>5.85365854E-2</v>
      </c>
      <c r="D75" s="21">
        <v>217</v>
      </c>
      <c r="E75" s="22">
        <f t="shared" si="30"/>
        <v>0</v>
      </c>
      <c r="F75" s="23">
        <f>IF(ISNUMBER(D75), $B91 * E75, "")</f>
        <v>0</v>
      </c>
      <c r="G75" s="21">
        <v>213</v>
      </c>
      <c r="H75" s="22">
        <f t="shared" si="31"/>
        <v>-1.8433179723502304E-2</v>
      </c>
      <c r="I75" s="23">
        <f>IF(ISNUMBER(G75), $B91 * H75, "")</f>
        <v>-5529.9539170506914</v>
      </c>
      <c r="J75" s="21">
        <v>215</v>
      </c>
      <c r="K75" s="22">
        <f t="shared" si="32"/>
        <v>-9.2165898617511521E-3</v>
      </c>
      <c r="L75" s="23">
        <f>IF(ISNUMBER(J75), $B91 * K75, "")</f>
        <v>-2764.9769585253457</v>
      </c>
      <c r="M75" s="21">
        <v>214</v>
      </c>
      <c r="N75" s="22">
        <f t="shared" si="33"/>
        <v>-1.3824884792626729E-2</v>
      </c>
      <c r="O75" s="23">
        <f>IF(ISNUMBER(M75), $B91 * N75, "")</f>
        <v>-4147.4654377880188</v>
      </c>
      <c r="Q75" s="127"/>
      <c r="R75" s="127"/>
      <c r="S75" s="127"/>
    </row>
    <row r="76" spans="1:19" ht="17.25" thickBot="1">
      <c r="A76" s="32" t="s">
        <v>156</v>
      </c>
      <c r="B76" s="36">
        <v>151</v>
      </c>
      <c r="C76" s="37">
        <v>4.13793103E-2</v>
      </c>
      <c r="D76" s="15">
        <v>156</v>
      </c>
      <c r="E76" s="37">
        <f>IF(ISNUMBER(D76), (D76 - $B76) / $B76, "")</f>
        <v>3.3112582781456956E-2</v>
      </c>
      <c r="F76" s="19">
        <f>IF(ISNUMBER(D76), $B91 * E76, "")</f>
        <v>9933.7748344370866</v>
      </c>
      <c r="G76" s="15">
        <v>155</v>
      </c>
      <c r="H76" s="37">
        <f>IF(ISNUMBER(G76), (G76 - $B76) / $B76, "")</f>
        <v>2.6490066225165563E-2</v>
      </c>
      <c r="I76" s="19">
        <f>IF(ISNUMBER(G76), $B91 * H76, "")</f>
        <v>7947.0198675496686</v>
      </c>
      <c r="J76" s="15">
        <v>156</v>
      </c>
      <c r="K76" s="37">
        <f>IF(ISNUMBER(J76), (J76 - $B76) / $B76, "")</f>
        <v>3.3112582781456956E-2</v>
      </c>
      <c r="L76" s="19">
        <f>IF(ISNUMBER(J76), $B91 * K76, "")</f>
        <v>9933.7748344370866</v>
      </c>
      <c r="M76" s="15">
        <v>153</v>
      </c>
      <c r="N76" s="37">
        <f>IF(ISNUMBER(M76), (M76 - $B76) / $B76, "")</f>
        <v>1.3245033112582781E-2</v>
      </c>
      <c r="O76" s="19">
        <f>IF(ISNUMBER(M76), $B91 * N76, "")</f>
        <v>3973.5099337748343</v>
      </c>
      <c r="Q76" s="127"/>
      <c r="R76" s="127"/>
      <c r="S76" s="127"/>
    </row>
    <row r="77" spans="1:19" ht="17.25" thickBot="1">
      <c r="A77" s="32" t="s">
        <v>120</v>
      </c>
      <c r="B77" s="33">
        <v>228</v>
      </c>
      <c r="C77" s="16">
        <v>3.6363636400000003E-2</v>
      </c>
      <c r="D77" s="15">
        <v>231</v>
      </c>
      <c r="E77" s="16">
        <f t="shared" ref="E77:E80" si="34">IF(ISNUMBER(D77), (D77 - $B77) / $B77, "")</f>
        <v>1.3157894736842105E-2</v>
      </c>
      <c r="F77" s="19">
        <f>IF(ISNUMBER(D77), $B91 * E77, "")</f>
        <v>3947.3684210526312</v>
      </c>
      <c r="G77" s="15">
        <v>229</v>
      </c>
      <c r="H77" s="16">
        <f t="shared" ref="H77:H80" si="35">IF(ISNUMBER(G77), (G77 - $B77) / $B77, "")</f>
        <v>4.3859649122807015E-3</v>
      </c>
      <c r="I77" s="19">
        <f>IF(ISNUMBER(G77), $B91 * H77, "")</f>
        <v>1315.7894736842104</v>
      </c>
      <c r="J77" s="15">
        <v>231</v>
      </c>
      <c r="K77" s="16">
        <f t="shared" ref="K77:K80" si="36">IF(ISNUMBER(J77), (J77 - $B77) / $B77, "")</f>
        <v>1.3157894736842105E-2</v>
      </c>
      <c r="L77" s="19">
        <f>IF(ISNUMBER(J77), $B91 * K77, "")</f>
        <v>3947.3684210526312</v>
      </c>
      <c r="M77" s="15">
        <v>230</v>
      </c>
      <c r="N77" s="16">
        <f t="shared" ref="N77:N80" si="37">IF(ISNUMBER(M77), (M77 - $B77) / $B77, "")</f>
        <v>8.771929824561403E-3</v>
      </c>
      <c r="O77" s="19">
        <f>IF(ISNUMBER(M77), $B91 * N77, "")</f>
        <v>2631.5789473684208</v>
      </c>
      <c r="Q77" s="127"/>
      <c r="R77" s="127"/>
      <c r="S77" s="127"/>
    </row>
    <row r="78" spans="1:19" ht="17.25" thickBot="1">
      <c r="A78" s="32" t="s">
        <v>296</v>
      </c>
      <c r="B78" s="33">
        <v>374</v>
      </c>
      <c r="C78" s="16">
        <v>3.0303030299999999E-2</v>
      </c>
      <c r="D78" s="15">
        <v>432</v>
      </c>
      <c r="E78" s="16">
        <f t="shared" si="34"/>
        <v>0.15508021390374332</v>
      </c>
      <c r="F78" s="19">
        <f>IF(ISNUMBER(D78), $B91 * E78, "")</f>
        <v>46524.064171122998</v>
      </c>
      <c r="G78" s="15">
        <v>423</v>
      </c>
      <c r="H78" s="16">
        <f t="shared" si="35"/>
        <v>0.13101604278074866</v>
      </c>
      <c r="I78" s="19">
        <f>IF(ISNUMBER(G78), $B91 * H78, "")</f>
        <v>39304.812834224598</v>
      </c>
      <c r="J78" s="15">
        <v>428</v>
      </c>
      <c r="K78" s="16">
        <f t="shared" si="36"/>
        <v>0.14438502673796791</v>
      </c>
      <c r="L78" s="19">
        <f>IF(ISNUMBER(J78), $B91 * K78, "")</f>
        <v>43315.508021390371</v>
      </c>
      <c r="M78" s="15">
        <v>427</v>
      </c>
      <c r="N78" s="16">
        <f t="shared" si="37"/>
        <v>0.14171122994652408</v>
      </c>
      <c r="O78" s="19">
        <f>IF(ISNUMBER(M78), $B91 * N78, "")</f>
        <v>42513.368983957225</v>
      </c>
      <c r="Q78" s="127"/>
      <c r="R78" s="127"/>
      <c r="S78" s="127"/>
    </row>
    <row r="79" spans="1:19" ht="17.25" thickBot="1">
      <c r="A79" s="32" t="s">
        <v>54</v>
      </c>
      <c r="B79" s="33">
        <v>351</v>
      </c>
      <c r="C79" s="16">
        <v>2.93255132E-2</v>
      </c>
      <c r="D79" s="15">
        <v>351</v>
      </c>
      <c r="E79" s="16">
        <f t="shared" si="34"/>
        <v>0</v>
      </c>
      <c r="F79" s="19">
        <f>IF(ISNUMBER(D79), $B91 * E79, "")</f>
        <v>0</v>
      </c>
      <c r="G79" s="15">
        <v>348</v>
      </c>
      <c r="H79" s="16">
        <f t="shared" si="35"/>
        <v>-8.5470085470085479E-3</v>
      </c>
      <c r="I79" s="19">
        <f>IF(ISNUMBER(G79), $B91 * H79, "")</f>
        <v>-2564.1025641025644</v>
      </c>
      <c r="J79" s="15">
        <v>355</v>
      </c>
      <c r="K79" s="16">
        <f t="shared" si="36"/>
        <v>1.1396011396011397E-2</v>
      </c>
      <c r="L79" s="19">
        <f>IF(ISNUMBER(J79), $B91 * K79, "")</f>
        <v>3418.8034188034189</v>
      </c>
      <c r="M79" s="15">
        <v>369</v>
      </c>
      <c r="N79" s="16">
        <f t="shared" si="37"/>
        <v>5.128205128205128E-2</v>
      </c>
      <c r="O79" s="19">
        <f>IF(ISNUMBER(M79), $B91 * N79, "")</f>
        <v>15384.615384615385</v>
      </c>
      <c r="Q79" s="38"/>
      <c r="R79" s="38"/>
    </row>
    <row r="80" spans="1:19" ht="17.25" thickBot="1">
      <c r="A80" s="34" t="s">
        <v>232</v>
      </c>
      <c r="B80" s="35">
        <v>184</v>
      </c>
      <c r="C80" s="22">
        <v>2.7932960900000001E-2</v>
      </c>
      <c r="D80" s="21">
        <v>201</v>
      </c>
      <c r="E80" s="22">
        <f t="shared" si="34"/>
        <v>9.2391304347826081E-2</v>
      </c>
      <c r="F80" s="19">
        <f>IF(ISNUMBER(D80), $B91 * E80, "")</f>
        <v>27717.391304347824</v>
      </c>
      <c r="G80" s="21">
        <v>200</v>
      </c>
      <c r="H80" s="22">
        <f t="shared" si="35"/>
        <v>8.6956521739130432E-2</v>
      </c>
      <c r="I80" s="19">
        <f>IF(ISNUMBER(G80), $B91 * H80, "")</f>
        <v>26086.956521739128</v>
      </c>
      <c r="J80" s="21">
        <v>203</v>
      </c>
      <c r="K80" s="22">
        <f t="shared" si="36"/>
        <v>0.10326086956521739</v>
      </c>
      <c r="L80" s="19">
        <f>IF(ISNUMBER(J80), $B91 * K80, "")</f>
        <v>30978.260869565216</v>
      </c>
      <c r="M80" s="21">
        <v>202</v>
      </c>
      <c r="N80" s="22">
        <f t="shared" si="37"/>
        <v>9.7826086956521743E-2</v>
      </c>
      <c r="O80" s="19">
        <f>IF(ISNUMBER(M80), $B91 * N80, "")</f>
        <v>29347.826086956524</v>
      </c>
      <c r="Q80" s="139"/>
      <c r="R80" s="140"/>
      <c r="S80" s="141"/>
    </row>
    <row r="81" spans="1:19">
      <c r="A81" s="30" t="s">
        <v>57</v>
      </c>
      <c r="B81" s="31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7">
        <f>IF(ISNUMBER(D81), $B91 * E81, "")</f>
        <v>1459.8540145985403</v>
      </c>
      <c r="G81" s="13">
        <v>407</v>
      </c>
      <c r="H81" s="14">
        <f>IF(ISNUMBER(G81), (G81 - $B81) / $B81, "")</f>
        <v>-9.7323600973236012E-3</v>
      </c>
      <c r="I81" s="17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7">
        <f>IF(ISNUMBER(J81), $B91 * K81, "")</f>
        <v>729.92700729927014</v>
      </c>
      <c r="M81" s="13">
        <v>411</v>
      </c>
      <c r="N81" s="14">
        <f>IF(ISNUMBER(M81), (M81 - $B81) / $B81, "")</f>
        <v>0</v>
      </c>
      <c r="O81" s="17">
        <f>IF(ISNUMBER(M81), $B91 * N81, "")</f>
        <v>0</v>
      </c>
      <c r="Q81" s="142"/>
      <c r="R81" s="143"/>
      <c r="S81" s="144"/>
    </row>
    <row r="82" spans="1:19" ht="17.25" thickBot="1">
      <c r="A82" s="32" t="s">
        <v>278</v>
      </c>
      <c r="B82" s="33">
        <v>150</v>
      </c>
      <c r="C82" s="16">
        <v>2.73972603E-2</v>
      </c>
      <c r="D82" s="15">
        <v>155</v>
      </c>
      <c r="E82" s="16">
        <f t="shared" ref="E82:E85" si="38">IF(ISNUMBER(D82), (D82 - $B82) / $B82, "")</f>
        <v>3.3333333333333333E-2</v>
      </c>
      <c r="F82" s="19">
        <f>IF(ISNUMBER(D82), $B91 * E82, "")</f>
        <v>10000</v>
      </c>
      <c r="G82" s="15">
        <v>154</v>
      </c>
      <c r="H82" s="16">
        <f t="shared" ref="H82:H85" si="39">IF(ISNUMBER(G82), (G82 - $B82) / $B82, "")</f>
        <v>2.6666666666666668E-2</v>
      </c>
      <c r="I82" s="19">
        <f>IF(ISNUMBER(G82), $B91 * H82, "")</f>
        <v>8000.0000000000009</v>
      </c>
      <c r="J82" s="15">
        <v>157</v>
      </c>
      <c r="K82" s="16">
        <f t="shared" ref="K82:K85" si="40">IF(ISNUMBER(J82), (J82 - $B82) / $B82, "")</f>
        <v>4.6666666666666669E-2</v>
      </c>
      <c r="L82" s="19">
        <f>IF(ISNUMBER(J82), $B91 * K82, "")</f>
        <v>14000</v>
      </c>
      <c r="M82" s="15">
        <v>154</v>
      </c>
      <c r="N82" s="16">
        <f t="shared" ref="N82:N85" si="41">IF(ISNUMBER(M82), (M82 - $B82) / $B82, "")</f>
        <v>2.6666666666666668E-2</v>
      </c>
      <c r="O82" s="19">
        <f>IF(ISNUMBER(M82), $B91 * N82, "")</f>
        <v>8000.0000000000009</v>
      </c>
      <c r="Q82" s="145"/>
      <c r="R82" s="146"/>
      <c r="S82" s="147"/>
    </row>
    <row r="83" spans="1:19" ht="17.25" thickBot="1">
      <c r="A83" s="32" t="s">
        <v>134</v>
      </c>
      <c r="B83" s="33">
        <v>156</v>
      </c>
      <c r="C83" s="16">
        <v>2.6315789499999999E-2</v>
      </c>
      <c r="D83" s="15">
        <v>157</v>
      </c>
      <c r="E83" s="16">
        <f t="shared" si="38"/>
        <v>6.41025641025641E-3</v>
      </c>
      <c r="F83" s="19">
        <f>IF(ISNUMBER(D83), $B91 * E83, "")</f>
        <v>1923.0769230769231</v>
      </c>
      <c r="G83" s="15">
        <v>157</v>
      </c>
      <c r="H83" s="16">
        <f t="shared" si="39"/>
        <v>6.41025641025641E-3</v>
      </c>
      <c r="I83" s="19">
        <f>IF(ISNUMBER(G83), $B91 * H83, "")</f>
        <v>1923.0769230769231</v>
      </c>
      <c r="J83" s="15">
        <v>158</v>
      </c>
      <c r="K83" s="16">
        <f t="shared" si="40"/>
        <v>1.282051282051282E-2</v>
      </c>
      <c r="L83" s="19">
        <f>IF(ISNUMBER(J83), $B91 * K83, "")</f>
        <v>3846.1538461538462</v>
      </c>
      <c r="M83" s="15">
        <v>158</v>
      </c>
      <c r="N83" s="16">
        <f t="shared" si="41"/>
        <v>1.282051282051282E-2</v>
      </c>
      <c r="O83" s="19">
        <f>IF(ISNUMBER(M83), $B91 * N83, "")</f>
        <v>3846.1538461538462</v>
      </c>
      <c r="Q83" s="127"/>
      <c r="R83" s="127"/>
      <c r="S83" s="127"/>
    </row>
    <row r="84" spans="1:19" ht="17.25" thickBot="1">
      <c r="A84" s="32" t="s">
        <v>132</v>
      </c>
      <c r="B84" s="33">
        <v>234</v>
      </c>
      <c r="C84" s="16">
        <v>2.6315789499999999E-2</v>
      </c>
      <c r="D84" s="15">
        <v>239</v>
      </c>
      <c r="E84" s="16">
        <f t="shared" si="38"/>
        <v>2.1367521367521368E-2</v>
      </c>
      <c r="F84" s="19">
        <f>IF(ISNUMBER(D84), $B91 * E84, "")</f>
        <v>6410.2564102564102</v>
      </c>
      <c r="G84" s="15">
        <v>234</v>
      </c>
      <c r="H84" s="16">
        <f t="shared" si="39"/>
        <v>0</v>
      </c>
      <c r="I84" s="19">
        <f>IF(ISNUMBER(G84), $B91 * H84, "")</f>
        <v>0</v>
      </c>
      <c r="J84" s="15">
        <v>238</v>
      </c>
      <c r="K84" s="16">
        <f t="shared" si="40"/>
        <v>1.7094017094017096E-2</v>
      </c>
      <c r="L84" s="19">
        <f>IF(ISNUMBER(J84), $B91 * K84, "")</f>
        <v>5128.2051282051289</v>
      </c>
      <c r="M84" s="15">
        <v>235</v>
      </c>
      <c r="N84" s="16">
        <f t="shared" si="41"/>
        <v>4.2735042735042739E-3</v>
      </c>
      <c r="O84" s="19">
        <f>IF(ISNUMBER(M84), $B91 * N84, "")</f>
        <v>1282.0512820512822</v>
      </c>
      <c r="Q84" s="148"/>
      <c r="R84" s="148"/>
      <c r="S84" s="148"/>
    </row>
    <row r="85" spans="1:19" ht="17.25" thickBot="1">
      <c r="A85" s="34" t="s">
        <v>122</v>
      </c>
      <c r="B85" s="35">
        <v>121</v>
      </c>
      <c r="C85" s="22">
        <v>2.54237288E-2</v>
      </c>
      <c r="D85" s="21">
        <v>128</v>
      </c>
      <c r="E85" s="22">
        <f t="shared" si="38"/>
        <v>5.7851239669421489E-2</v>
      </c>
      <c r="F85" s="23">
        <f>IF(ISNUMBER(D85), $B91 * E85, "")</f>
        <v>17355.371900826445</v>
      </c>
      <c r="G85" s="21">
        <v>128</v>
      </c>
      <c r="H85" s="22">
        <f t="shared" si="39"/>
        <v>5.7851239669421489E-2</v>
      </c>
      <c r="I85" s="23">
        <f>IF(ISNUMBER(G85), $B91 * H85, "")</f>
        <v>17355.371900826445</v>
      </c>
      <c r="J85" s="21">
        <v>128</v>
      </c>
      <c r="K85" s="22">
        <f t="shared" si="40"/>
        <v>5.7851239669421489E-2</v>
      </c>
      <c r="L85" s="23">
        <f>IF(ISNUMBER(J85), $B91 * K85, "")</f>
        <v>17355.371900826445</v>
      </c>
      <c r="M85" s="21">
        <v>126</v>
      </c>
      <c r="N85" s="22">
        <f t="shared" si="41"/>
        <v>4.1322314049586778E-2</v>
      </c>
      <c r="O85" s="23">
        <f>IF(ISNUMBER(M85), $B91 * N85, "")</f>
        <v>12396.694214876034</v>
      </c>
      <c r="Q85" s="148"/>
      <c r="R85" s="148"/>
      <c r="S85" s="148"/>
    </row>
    <row r="86" spans="1:19" ht="17.25" thickBot="1">
      <c r="A86" s="32" t="s">
        <v>142</v>
      </c>
      <c r="B86" s="36">
        <v>410</v>
      </c>
      <c r="C86" s="37">
        <v>2.2443890300000002E-2</v>
      </c>
      <c r="D86" s="15">
        <v>441</v>
      </c>
      <c r="E86" s="37">
        <f>IF(ISNUMBER(D86), (D86 - $B86) / $B86, "")</f>
        <v>7.5609756097560973E-2</v>
      </c>
      <c r="F86" s="19">
        <f>IF(ISNUMBER(D86), $B91 * E86, "")</f>
        <v>22682.926829268294</v>
      </c>
      <c r="G86" s="15">
        <v>428</v>
      </c>
      <c r="H86" s="37">
        <f>IF(ISNUMBER(G86), (G86 - $B86) / $B86, "")</f>
        <v>4.3902439024390241E-2</v>
      </c>
      <c r="I86" s="19">
        <f>IF(ISNUMBER(G86), $B91 * H86, "")</f>
        <v>13170.731707317073</v>
      </c>
      <c r="J86" s="15">
        <v>430</v>
      </c>
      <c r="K86" s="37">
        <f>IF(ISNUMBER(J86), (J86 - $B86) / $B86, "")</f>
        <v>4.878048780487805E-2</v>
      </c>
      <c r="L86" s="19">
        <f>IF(ISNUMBER(J86), $B91 * K86, "")</f>
        <v>14634.146341463415</v>
      </c>
      <c r="M86" s="15">
        <v>428</v>
      </c>
      <c r="N86" s="37">
        <f>IF(ISNUMBER(M86), (M86 - $B86) / $B86, "")</f>
        <v>4.3902439024390241E-2</v>
      </c>
      <c r="O86" s="19">
        <f>IF(ISNUMBER(M86), $B91 * N86, "")</f>
        <v>13170.731707317073</v>
      </c>
      <c r="Q86" s="127"/>
      <c r="R86" s="127"/>
      <c r="S86" s="127"/>
    </row>
    <row r="87" spans="1:19" ht="17.25" thickBot="1">
      <c r="A87" s="32" t="s">
        <v>208</v>
      </c>
      <c r="B87" s="33">
        <v>523</v>
      </c>
      <c r="C87" s="16">
        <v>2.1484375E-2</v>
      </c>
      <c r="D87" s="15">
        <v>522</v>
      </c>
      <c r="E87" s="16">
        <f t="shared" ref="E87:E90" si="42">IF(ISNUMBER(D87), (D87 - $B87) / $B87, "")</f>
        <v>-1.9120458891013384E-3</v>
      </c>
      <c r="F87" s="19">
        <f>IF(ISNUMBER(D87), $B91 * E87, "")</f>
        <v>-573.61376673040149</v>
      </c>
      <c r="G87" s="15">
        <v>521</v>
      </c>
      <c r="H87" s="16">
        <f t="shared" ref="H87:H90" si="43">IF(ISNUMBER(G87), (G87 - $B87) / $B87, "")</f>
        <v>-3.8240917782026767E-3</v>
      </c>
      <c r="I87" s="19">
        <f>IF(ISNUMBER(G87), $B91 * H87, "")</f>
        <v>-1147.227533460803</v>
      </c>
      <c r="J87" s="15">
        <v>530</v>
      </c>
      <c r="K87" s="16">
        <f t="shared" ref="K87:K90" si="44">IF(ISNUMBER(J87), (J87 - $B87) / $B87, "")</f>
        <v>1.338432122370937E-2</v>
      </c>
      <c r="L87" s="19">
        <f>IF(ISNUMBER(J87), $B91 * K87, "")</f>
        <v>4015.2963671128109</v>
      </c>
      <c r="M87" s="15">
        <v>525</v>
      </c>
      <c r="N87" s="16">
        <f t="shared" ref="N87:N90" si="45">IF(ISNUMBER(M87), (M87 - $B87) / $B87, "")</f>
        <v>3.8240917782026767E-3</v>
      </c>
      <c r="O87" s="19">
        <f>IF(ISNUMBER(M87), $B91 * N87, "")</f>
        <v>1147.227533460803</v>
      </c>
      <c r="Q87" s="127"/>
      <c r="R87" s="127"/>
      <c r="S87" s="127"/>
    </row>
    <row r="88" spans="1:19" ht="17.25" thickBot="1">
      <c r="A88" s="32" t="s">
        <v>148</v>
      </c>
      <c r="B88" s="33">
        <v>198</v>
      </c>
      <c r="C88" s="16">
        <v>1.5384615399999999E-2</v>
      </c>
      <c r="D88" s="15">
        <v>214</v>
      </c>
      <c r="E88" s="16">
        <f t="shared" si="42"/>
        <v>8.0808080808080815E-2</v>
      </c>
      <c r="F88" s="19">
        <f>IF(ISNUMBER(D88), $B91 * E88, "")</f>
        <v>24242.424242424244</v>
      </c>
      <c r="G88" s="15">
        <v>213</v>
      </c>
      <c r="H88" s="16">
        <f t="shared" si="43"/>
        <v>7.575757575757576E-2</v>
      </c>
      <c r="I88" s="19">
        <f>IF(ISNUMBER(G88), $B91 * H88, "")</f>
        <v>22727.272727272728</v>
      </c>
      <c r="J88" s="15">
        <v>216</v>
      </c>
      <c r="K88" s="16">
        <f t="shared" si="44"/>
        <v>9.0909090909090912E-2</v>
      </c>
      <c r="L88" s="19">
        <f>IF(ISNUMBER(J88), $B91 * K88, "")</f>
        <v>27272.727272727272</v>
      </c>
      <c r="M88" s="15">
        <v>209</v>
      </c>
      <c r="N88" s="16">
        <f t="shared" si="45"/>
        <v>5.5555555555555552E-2</v>
      </c>
      <c r="O88" s="19">
        <f>IF(ISNUMBER(M88), $B91 * N88, "")</f>
        <v>16666.666666666664</v>
      </c>
      <c r="Q88" s="127"/>
      <c r="R88" s="127"/>
      <c r="S88" s="127"/>
    </row>
    <row r="89" spans="1:19">
      <c r="A89" s="32" t="s">
        <v>182</v>
      </c>
      <c r="B89" s="33">
        <v>487</v>
      </c>
      <c r="C89" s="16">
        <v>1.4583333299999999E-2</v>
      </c>
      <c r="D89" s="15">
        <v>500</v>
      </c>
      <c r="E89" s="16">
        <f t="shared" si="42"/>
        <v>2.6694045174537988E-2</v>
      </c>
      <c r="F89" s="19">
        <f>IF(ISNUMBER(D89), $B91 * E89, "")</f>
        <v>8008.2135523613961</v>
      </c>
      <c r="G89" s="15">
        <v>493</v>
      </c>
      <c r="H89" s="16">
        <f t="shared" si="43"/>
        <v>1.2320328542094456E-2</v>
      </c>
      <c r="I89" s="19">
        <f>IF(ISNUMBER(G89), $B91 * H89, "")</f>
        <v>3696.0985626283368</v>
      </c>
      <c r="J89" s="15">
        <v>499</v>
      </c>
      <c r="K89" s="16">
        <f t="shared" si="44"/>
        <v>2.4640657084188913E-2</v>
      </c>
      <c r="L89" s="19">
        <f>IF(ISNUMBER(J89), $B91 * K89, "")</f>
        <v>7392.1971252566736</v>
      </c>
      <c r="M89" s="15">
        <v>497</v>
      </c>
      <c r="N89" s="16">
        <f t="shared" si="45"/>
        <v>2.0533880903490759E-2</v>
      </c>
      <c r="O89" s="19">
        <f>IF(ISNUMBER(M89), $B91 * N89, "")</f>
        <v>6160.1642710472279</v>
      </c>
      <c r="Q89" s="128"/>
      <c r="R89" s="129"/>
      <c r="S89" s="130"/>
    </row>
    <row r="90" spans="1:19" ht="17.25" thickBot="1">
      <c r="A90" s="34" t="s">
        <v>112</v>
      </c>
      <c r="B90" s="35">
        <v>275</v>
      </c>
      <c r="C90" s="22">
        <v>1.10294118E-2</v>
      </c>
      <c r="D90" s="21">
        <v>278</v>
      </c>
      <c r="E90" s="22">
        <f t="shared" si="42"/>
        <v>1.090909090909091E-2</v>
      </c>
      <c r="F90" s="19">
        <f>IF(ISNUMBER(D90), $B91 * E90, "")</f>
        <v>3272.727272727273</v>
      </c>
      <c r="G90" s="21">
        <v>274</v>
      </c>
      <c r="H90" s="22">
        <f t="shared" si="43"/>
        <v>-3.6363636363636364E-3</v>
      </c>
      <c r="I90" s="19">
        <f>IF(ISNUMBER(G90), $B91 * H90, "")</f>
        <v>-1090.909090909091</v>
      </c>
      <c r="J90" s="21">
        <v>278</v>
      </c>
      <c r="K90" s="22">
        <f t="shared" si="44"/>
        <v>1.090909090909091E-2</v>
      </c>
      <c r="L90" s="19">
        <f>IF(ISNUMBER(J90), $B91 * K90, "")</f>
        <v>3272.727272727273</v>
      </c>
      <c r="M90" s="21">
        <v>276</v>
      </c>
      <c r="N90" s="22">
        <f t="shared" si="45"/>
        <v>3.6363636363636364E-3</v>
      </c>
      <c r="O90" s="19">
        <f>IF(ISNUMBER(M90), $B91 * N90, "")</f>
        <v>1090.909090909091</v>
      </c>
      <c r="Q90" s="131"/>
      <c r="R90" s="132"/>
      <c r="S90" s="133"/>
    </row>
    <row r="91" spans="1:19" ht="17.25" thickBot="1">
      <c r="A91" s="27" t="s">
        <v>42</v>
      </c>
      <c r="B91" s="137">
        <f>$B$37</f>
        <v>300000</v>
      </c>
      <c r="C91" s="138"/>
      <c r="D91" s="27" t="s">
        <v>43</v>
      </c>
      <c r="E91" s="28">
        <f>IF(COUNT(E71:E90), SUM(E71:E90) / COUNT(E71:E90), 0)</f>
        <v>3.0747737594160929E-2</v>
      </c>
      <c r="F91" s="29">
        <f>SUM(F71:F90)</f>
        <v>184486.42556496555</v>
      </c>
      <c r="G91" s="27" t="s">
        <v>43</v>
      </c>
      <c r="H91" s="28">
        <f>IF(COUNT(H71:H90), SUM(H71:H90) / COUNT(H71:H90), 0)</f>
        <v>1.9161681861338504E-2</v>
      </c>
      <c r="I91" s="29">
        <f>SUM(I71:I90)</f>
        <v>114970.09116803102</v>
      </c>
      <c r="J91" s="27" t="s">
        <v>43</v>
      </c>
      <c r="K91" s="28">
        <f>IF(COUNT(K71:K90), SUM(K71:K90) / COUNT(K71:K90), 0)</f>
        <v>3.2495138262519693E-2</v>
      </c>
      <c r="L91" s="29">
        <f>SUM(L71:L90)</f>
        <v>194970.82957511808</v>
      </c>
      <c r="M91" s="27" t="s">
        <v>43</v>
      </c>
      <c r="N91" s="28">
        <f>IF(COUNT(N71:N90), SUM(N71:N90) / COUNT(N71:N90), 0)</f>
        <v>2.4573227756866368E-2</v>
      </c>
      <c r="O91" s="29">
        <f>SUM(O71:O90)</f>
        <v>147439.36654119819</v>
      </c>
      <c r="Q91" s="134"/>
      <c r="R91" s="135"/>
      <c r="S91" s="136"/>
    </row>
    <row r="93" spans="1:19" ht="17.25" thickBot="1"/>
    <row r="94" spans="1:19" ht="17.25" thickBot="1">
      <c r="A94" s="149" t="s">
        <v>46</v>
      </c>
      <c r="B94" s="150"/>
      <c r="C94" s="150"/>
      <c r="D94" s="150"/>
      <c r="E94" s="150"/>
      <c r="F94" s="150"/>
      <c r="G94" s="150"/>
      <c r="H94" s="150"/>
      <c r="I94" s="150"/>
      <c r="J94" s="150"/>
      <c r="K94" s="150"/>
      <c r="L94" s="150"/>
      <c r="M94" s="150"/>
      <c r="N94" s="150"/>
      <c r="O94" s="151"/>
      <c r="Q94" s="148"/>
      <c r="R94" s="148"/>
      <c r="S94" s="148"/>
    </row>
    <row r="95" spans="1:19" ht="17.25" thickBot="1">
      <c r="A95" s="110" t="s">
        <v>35</v>
      </c>
      <c r="B95" s="149" t="s">
        <v>36</v>
      </c>
      <c r="C95" s="151"/>
      <c r="D95" s="149" t="s">
        <v>37</v>
      </c>
      <c r="E95" s="150"/>
      <c r="F95" s="151"/>
      <c r="G95" s="152">
        <f>_xlfn.IFNA(VLOOKUP(B95, 현재가테이블!$B$2:$D$200, 2, FALSE), "-")</f>
        <v>68203000</v>
      </c>
      <c r="H95" s="153"/>
      <c r="I95" s="154"/>
      <c r="J95" s="149" t="s">
        <v>38</v>
      </c>
      <c r="K95" s="150"/>
      <c r="L95" s="151"/>
      <c r="M95" s="155">
        <f>_xlfn.IFNA(VLOOKUP(B95, 현재가테이블!$B$2:$D$200, 3, FALSE), "-")</f>
        <v>-1.22521687E-2</v>
      </c>
      <c r="N95" s="156"/>
      <c r="O95" s="157"/>
      <c r="Q95" s="148"/>
      <c r="R95" s="148"/>
      <c r="S95" s="148"/>
    </row>
    <row r="96" spans="1:19" ht="17.25" thickBot="1">
      <c r="A96" s="158" t="s">
        <v>39</v>
      </c>
      <c r="B96" s="159" t="str">
        <f>TEXT($G$1, "[$-ko-KR]yyyy-mm-dd(ddd) ") &amp; "오전 00:00"</f>
        <v>2021-05-01(토) 오전 00:00</v>
      </c>
      <c r="C96" s="160"/>
      <c r="D96" s="161" t="str">
        <f>TEXT($G$1, "[$-ko-KR]yyyy-mm-dd(ddd) ") &amp; "오후 14:00"</f>
        <v>2021-05-01(토) 오후 14:00</v>
      </c>
      <c r="E96" s="162"/>
      <c r="F96" s="163"/>
      <c r="G96" s="161" t="str">
        <f>TEXT($G$1, "[$-ko-KR]yyyy-mm-dd(ddd) ") &amp; "오후 19:00"</f>
        <v>2021-05-01(토) 오후 19:00</v>
      </c>
      <c r="H96" s="162"/>
      <c r="I96" s="163"/>
      <c r="J96" s="164" t="str">
        <f>TEXT($G$1, "[$-ko-KR]yyyy-mm-dd(ddd) ") &amp; "오후 21:00"</f>
        <v>2021-05-01(토) 오후 21:00</v>
      </c>
      <c r="K96" s="164"/>
      <c r="L96" s="164"/>
      <c r="M96" s="161" t="str">
        <f>TEXT($G$1+1, "[$-ko-KR]yyyy-mm-dd(ddd) ") &amp; "오전 00:00"</f>
        <v>2021-05-02(일) 오전 00:00</v>
      </c>
      <c r="N96" s="162"/>
      <c r="O96" s="163"/>
      <c r="Q96" s="148"/>
      <c r="R96" s="148"/>
      <c r="S96" s="148"/>
    </row>
    <row r="97" spans="1:19" ht="17.25" thickBot="1">
      <c r="A97" s="158"/>
      <c r="B97" s="2" t="s">
        <v>37</v>
      </c>
      <c r="C97" s="10" t="s">
        <v>38</v>
      </c>
      <c r="D97" s="2" t="s">
        <v>37</v>
      </c>
      <c r="E97" s="10" t="s">
        <v>40</v>
      </c>
      <c r="F97" s="11" t="s">
        <v>41</v>
      </c>
      <c r="G97" s="2" t="s">
        <v>37</v>
      </c>
      <c r="H97" s="10" t="s">
        <v>40</v>
      </c>
      <c r="I97" s="11" t="s">
        <v>41</v>
      </c>
      <c r="J97" s="10" t="s">
        <v>37</v>
      </c>
      <c r="K97" s="10" t="s">
        <v>40</v>
      </c>
      <c r="L97" s="109" t="s">
        <v>41</v>
      </c>
      <c r="M97" s="2" t="s">
        <v>37</v>
      </c>
      <c r="N97" s="10" t="s">
        <v>40</v>
      </c>
      <c r="O97" s="72" t="s">
        <v>41</v>
      </c>
      <c r="Q97" s="127"/>
      <c r="R97" s="127"/>
      <c r="S97" s="127"/>
    </row>
    <row r="98" spans="1:19" ht="17.25" thickBot="1">
      <c r="A98" s="30" t="s">
        <v>92</v>
      </c>
      <c r="B98" s="31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7">
        <f>IF(ISNUMBER(D98), $B118 * E98, "")</f>
        <v>6504.0650406504064</v>
      </c>
      <c r="G98" s="13">
        <v>1850</v>
      </c>
      <c r="H98" s="14">
        <f>IF(ISNUMBER(G98), (G98 - $B98) / $B98, "")</f>
        <v>2.7100271002710027E-3</v>
      </c>
      <c r="I98" s="17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7">
        <f>IF(ISNUMBER(J98), $B118 * K98, "")</f>
        <v>6504.0650406504064</v>
      </c>
      <c r="M98" s="13">
        <v>1855</v>
      </c>
      <c r="N98" s="14">
        <f>IF(ISNUMBER(M98), (M98 - $B98) / $B98, "")</f>
        <v>5.4200542005420054E-3</v>
      </c>
      <c r="O98" s="17">
        <f>IF(ISNUMBER(M98), $B118 * N98, "")</f>
        <v>1626.0162601626016</v>
      </c>
      <c r="Q98" s="148"/>
      <c r="R98" s="148"/>
      <c r="S98" s="148"/>
    </row>
    <row r="99" spans="1:19" ht="17.25" thickBot="1">
      <c r="A99" s="32" t="s">
        <v>116</v>
      </c>
      <c r="B99" s="33">
        <v>741</v>
      </c>
      <c r="C99" s="16">
        <v>0.1010401189</v>
      </c>
      <c r="D99" s="15">
        <v>731</v>
      </c>
      <c r="E99" s="16">
        <f t="shared" ref="E99:E102" si="46">IF(ISNUMBER(D99), (D99 - $B99) / $B99, "")</f>
        <v>-1.3495276653171391E-2</v>
      </c>
      <c r="F99" s="19">
        <f>IF(ISNUMBER(D99), $B118 * E99, "")</f>
        <v>-4048.5829959514172</v>
      </c>
      <c r="G99" s="15">
        <v>717</v>
      </c>
      <c r="H99" s="16">
        <f t="shared" ref="H99:H102" si="47">IF(ISNUMBER(G99), (G99 - $B99) / $B99, "")</f>
        <v>-3.2388663967611336E-2</v>
      </c>
      <c r="I99" s="19">
        <f>IF(ISNUMBER(G99), $B118 * H99, "")</f>
        <v>-9716.5991902834012</v>
      </c>
      <c r="J99" s="15">
        <v>728</v>
      </c>
      <c r="K99" s="16">
        <f t="shared" ref="K99:K102" si="48">IF(ISNUMBER(J99), (J99 - $B99) / $B99, "")</f>
        <v>-1.7543859649122806E-2</v>
      </c>
      <c r="L99" s="19">
        <f>IF(ISNUMBER(J99), $B118 * K99, "")</f>
        <v>-5263.1578947368416</v>
      </c>
      <c r="M99" s="15">
        <v>715</v>
      </c>
      <c r="N99" s="16">
        <f t="shared" ref="N99:N102" si="49">IF(ISNUMBER(M99), (M99 - $B99) / $B99, "")</f>
        <v>-3.5087719298245612E-2</v>
      </c>
      <c r="O99" s="19">
        <f>IF(ISNUMBER(M99), $B118 * N99, "")</f>
        <v>-10526.315789473683</v>
      </c>
      <c r="Q99" s="148"/>
      <c r="R99" s="148"/>
      <c r="S99" s="148"/>
    </row>
    <row r="100" spans="1:19" ht="17.25" thickBot="1">
      <c r="A100" s="32" t="s">
        <v>110</v>
      </c>
      <c r="B100" s="33">
        <v>3090</v>
      </c>
      <c r="C100" s="16">
        <v>9.7690941399999995E-2</v>
      </c>
      <c r="D100" s="15">
        <v>3100</v>
      </c>
      <c r="E100" s="16">
        <f t="shared" si="46"/>
        <v>3.2362459546925568E-3</v>
      </c>
      <c r="F100" s="19">
        <f>IF(ISNUMBER(D100), $B118 * E100, "")</f>
        <v>970.87378640776706</v>
      </c>
      <c r="G100" s="15">
        <v>3135</v>
      </c>
      <c r="H100" s="16">
        <f t="shared" si="47"/>
        <v>1.4563106796116505E-2</v>
      </c>
      <c r="I100" s="19">
        <f>IF(ISNUMBER(G100), $B118 * H100, "")</f>
        <v>4368.9320388349515</v>
      </c>
      <c r="J100" s="15">
        <v>3190</v>
      </c>
      <c r="K100" s="16">
        <f t="shared" si="48"/>
        <v>3.2362459546925564E-2</v>
      </c>
      <c r="L100" s="19">
        <f>IF(ISNUMBER(J100), $B118 * K100, "")</f>
        <v>9708.7378640776697</v>
      </c>
      <c r="M100" s="15">
        <v>3140</v>
      </c>
      <c r="N100" s="16">
        <f t="shared" si="49"/>
        <v>1.6181229773462782E-2</v>
      </c>
      <c r="O100" s="19">
        <f>IF(ISNUMBER(M100), $B118 * N100, "")</f>
        <v>4854.3689320388348</v>
      </c>
      <c r="Q100" s="127"/>
      <c r="R100" s="127"/>
      <c r="S100" s="127"/>
    </row>
    <row r="101" spans="1:19" ht="17.25" thickBot="1">
      <c r="A101" s="32" t="s">
        <v>78</v>
      </c>
      <c r="B101" s="33">
        <v>1134500</v>
      </c>
      <c r="C101" s="16">
        <v>8.3572110800000002E-2</v>
      </c>
      <c r="D101" s="15">
        <v>1200500</v>
      </c>
      <c r="E101" s="16">
        <f t="shared" si="46"/>
        <v>5.8175407668576463E-2</v>
      </c>
      <c r="F101" s="19">
        <f>IF(ISNUMBER(D101), $B118 * E101, "")</f>
        <v>17452.622300572941</v>
      </c>
      <c r="G101" s="15">
        <v>1185000</v>
      </c>
      <c r="H101" s="16">
        <f t="shared" si="47"/>
        <v>4.4513001322168358E-2</v>
      </c>
      <c r="I101" s="19">
        <f>IF(ISNUMBER(G101), $B118 * H101, "")</f>
        <v>13353.900396650508</v>
      </c>
      <c r="J101" s="15">
        <v>1197000</v>
      </c>
      <c r="K101" s="16">
        <f t="shared" si="48"/>
        <v>5.509034817100044E-2</v>
      </c>
      <c r="L101" s="19">
        <f>IF(ISNUMBER(J101), $B118 * K101, "")</f>
        <v>16527.104451300132</v>
      </c>
      <c r="M101" s="15">
        <v>1179500</v>
      </c>
      <c r="N101" s="16">
        <f t="shared" si="49"/>
        <v>3.9665050683120318E-2</v>
      </c>
      <c r="O101" s="19">
        <f>IF(ISNUMBER(M101), $B118 * N101, "")</f>
        <v>11899.515204936095</v>
      </c>
      <c r="Q101" s="127"/>
      <c r="R101" s="127"/>
      <c r="S101" s="127"/>
    </row>
    <row r="102" spans="1:19" ht="17.25" thickBot="1">
      <c r="A102" s="34" t="s">
        <v>118</v>
      </c>
      <c r="B102" s="35">
        <v>6575</v>
      </c>
      <c r="C102" s="22">
        <v>7.7868852500000002E-2</v>
      </c>
      <c r="D102" s="21">
        <v>6930</v>
      </c>
      <c r="E102" s="22">
        <f t="shared" si="46"/>
        <v>5.3992395437262357E-2</v>
      </c>
      <c r="F102" s="23">
        <f>IF(ISNUMBER(D102), $B118 * E102, "")</f>
        <v>16197.718631178706</v>
      </c>
      <c r="G102" s="21">
        <v>6815</v>
      </c>
      <c r="H102" s="22">
        <f t="shared" si="47"/>
        <v>3.6501901140684412E-2</v>
      </c>
      <c r="I102" s="23">
        <f>IF(ISNUMBER(G102), $B118 * H102, "")</f>
        <v>10950.570342205323</v>
      </c>
      <c r="J102" s="21">
        <v>6920</v>
      </c>
      <c r="K102" s="22">
        <f t="shared" si="48"/>
        <v>5.2471482889733842E-2</v>
      </c>
      <c r="L102" s="23">
        <f>IF(ISNUMBER(J102), $B118 * K102, "")</f>
        <v>15741.444866920152</v>
      </c>
      <c r="M102" s="21">
        <v>6865</v>
      </c>
      <c r="N102" s="22">
        <f t="shared" si="49"/>
        <v>4.4106463878326993E-2</v>
      </c>
      <c r="O102" s="23">
        <f>IF(ISNUMBER(M102), $B118 * N102, "")</f>
        <v>13231.939163498098</v>
      </c>
      <c r="Q102" s="127"/>
      <c r="R102" s="127"/>
      <c r="S102" s="127"/>
    </row>
    <row r="103" spans="1:19" ht="17.25" thickBot="1">
      <c r="A103" s="32" t="s">
        <v>162</v>
      </c>
      <c r="B103" s="36">
        <v>2225</v>
      </c>
      <c r="C103" s="37">
        <v>7.7481840199999999E-2</v>
      </c>
      <c r="D103" s="15">
        <v>2230</v>
      </c>
      <c r="E103" s="37">
        <f>IF(ISNUMBER(D103), (D103 - $B103) / $B103, "")</f>
        <v>2.2471910112359553E-3</v>
      </c>
      <c r="F103" s="19">
        <f>IF(ISNUMBER(D103), $B118 * E103, "")</f>
        <v>674.15730337078662</v>
      </c>
      <c r="G103" s="15">
        <v>2225</v>
      </c>
      <c r="H103" s="37">
        <f>IF(ISNUMBER(G103), (G103 - $B103) / $B103, "")</f>
        <v>0</v>
      </c>
      <c r="I103" s="19">
        <f>IF(ISNUMBER(G103), $B118 * H103, "")</f>
        <v>0</v>
      </c>
      <c r="J103" s="15">
        <v>2225</v>
      </c>
      <c r="K103" s="37">
        <f>IF(ISNUMBER(J103), (J103 - $B103) / $B103, "")</f>
        <v>0</v>
      </c>
      <c r="L103" s="19">
        <f>IF(ISNUMBER(J103), $B118 * K103, "")</f>
        <v>0</v>
      </c>
      <c r="M103" s="15">
        <v>2220</v>
      </c>
      <c r="N103" s="37">
        <f>IF(ISNUMBER(M103), (M103 - $B103) / $B103, "")</f>
        <v>-2.2471910112359553E-3</v>
      </c>
      <c r="O103" s="19">
        <f>IF(ISNUMBER(M103), $B118 * N103, "")</f>
        <v>-674.15730337078662</v>
      </c>
      <c r="Q103" s="127"/>
      <c r="R103" s="127"/>
      <c r="S103" s="127"/>
    </row>
    <row r="104" spans="1:19" ht="17.25" thickBot="1">
      <c r="A104" s="32" t="s">
        <v>168</v>
      </c>
      <c r="B104" s="33">
        <v>205</v>
      </c>
      <c r="C104" s="16">
        <v>7.3298429299999995E-2</v>
      </c>
      <c r="D104" s="15">
        <v>206</v>
      </c>
      <c r="E104" s="16">
        <f t="shared" ref="E104:E107" si="50">IF(ISNUMBER(D104), (D104 - $B104) / $B104, "")</f>
        <v>4.8780487804878049E-3</v>
      </c>
      <c r="F104" s="19">
        <f>IF(ISNUMBER(D104), $B118 * E104, "")</f>
        <v>1463.4146341463415</v>
      </c>
      <c r="G104" s="15">
        <v>204</v>
      </c>
      <c r="H104" s="16">
        <f t="shared" ref="H104:H107" si="51">IF(ISNUMBER(G104), (G104 - $B104) / $B104, "")</f>
        <v>-4.8780487804878049E-3</v>
      </c>
      <c r="I104" s="19">
        <f>IF(ISNUMBER(G104), $B118 * H104, "")</f>
        <v>-1463.4146341463415</v>
      </c>
      <c r="J104" s="15">
        <v>206</v>
      </c>
      <c r="K104" s="16">
        <f t="shared" ref="K104:K107" si="52">IF(ISNUMBER(J104), (J104 - $B104) / $B104, "")</f>
        <v>4.8780487804878049E-3</v>
      </c>
      <c r="L104" s="19">
        <f>IF(ISNUMBER(J104), $B118 * K104, "")</f>
        <v>1463.4146341463415</v>
      </c>
      <c r="M104" s="15">
        <v>205</v>
      </c>
      <c r="N104" s="16">
        <f t="shared" ref="N104:N107" si="53">IF(ISNUMBER(M104), (M104 - $B104) / $B104, "")</f>
        <v>0</v>
      </c>
      <c r="O104" s="19">
        <f>IF(ISNUMBER(M104), $B118 * N104, "")</f>
        <v>0</v>
      </c>
      <c r="Q104" s="127"/>
      <c r="R104" s="127"/>
      <c r="S104" s="127"/>
    </row>
    <row r="105" spans="1:19" ht="17.25" thickBot="1">
      <c r="A105" s="32" t="s">
        <v>90</v>
      </c>
      <c r="B105" s="33">
        <v>360700</v>
      </c>
      <c r="C105" s="16">
        <v>7.3192502199999995E-2</v>
      </c>
      <c r="D105" s="15">
        <v>381350</v>
      </c>
      <c r="E105" s="16">
        <f t="shared" si="50"/>
        <v>5.724979207097311E-2</v>
      </c>
      <c r="F105" s="19">
        <f>IF(ISNUMBER(D105), $B118 * E105, "")</f>
        <v>17174.937621291934</v>
      </c>
      <c r="G105" s="15">
        <v>377650</v>
      </c>
      <c r="H105" s="16">
        <f t="shared" si="51"/>
        <v>4.6991960077626835E-2</v>
      </c>
      <c r="I105" s="19">
        <f>IF(ISNUMBER(G105), $B118 * H105, "")</f>
        <v>14097.58802328805</v>
      </c>
      <c r="J105" s="15">
        <v>383200</v>
      </c>
      <c r="K105" s="16">
        <f t="shared" si="52"/>
        <v>6.2378708067646241E-2</v>
      </c>
      <c r="L105" s="19">
        <f>IF(ISNUMBER(J105), $B118 * K105, "")</f>
        <v>18713.612420293874</v>
      </c>
      <c r="M105" s="15">
        <v>385150</v>
      </c>
      <c r="N105" s="16">
        <f t="shared" si="53"/>
        <v>6.7784862766842258E-2</v>
      </c>
      <c r="O105" s="19">
        <f>IF(ISNUMBER(M105), $B118 * N105, "")</f>
        <v>20335.458830052678</v>
      </c>
      <c r="Q105" s="127"/>
      <c r="R105" s="127"/>
      <c r="S105" s="127"/>
    </row>
    <row r="106" spans="1:19" ht="17.25" thickBot="1">
      <c r="A106" s="32" t="s">
        <v>86</v>
      </c>
      <c r="B106" s="33">
        <v>7490</v>
      </c>
      <c r="C106" s="16">
        <v>6.8473609099999999E-2</v>
      </c>
      <c r="D106" s="15">
        <v>7790</v>
      </c>
      <c r="E106" s="16">
        <f t="shared" si="50"/>
        <v>4.0053404539385849E-2</v>
      </c>
      <c r="F106" s="19">
        <f>IF(ISNUMBER(D106), $B118 * E106, "")</f>
        <v>12016.021361815754</v>
      </c>
      <c r="G106" s="15">
        <v>7625</v>
      </c>
      <c r="H106" s="16">
        <f t="shared" si="51"/>
        <v>1.8024032042723633E-2</v>
      </c>
      <c r="I106" s="19">
        <f>IF(ISNUMBER(G106), $B118 * H106, "")</f>
        <v>5407.2096128170897</v>
      </c>
      <c r="J106" s="15">
        <v>7720</v>
      </c>
      <c r="K106" s="16">
        <f t="shared" si="52"/>
        <v>3.0707610146862484E-2</v>
      </c>
      <c r="L106" s="19">
        <f>IF(ISNUMBER(J106), $B118 * K106, "")</f>
        <v>9212.2830440587459</v>
      </c>
      <c r="M106" s="15">
        <v>7620</v>
      </c>
      <c r="N106" s="16">
        <f t="shared" si="53"/>
        <v>1.7356475300400534E-2</v>
      </c>
      <c r="O106" s="19">
        <f>IF(ISNUMBER(M106), $B118 * N106, "")</f>
        <v>5206.9425901201603</v>
      </c>
      <c r="Q106" s="38"/>
      <c r="R106" s="38"/>
    </row>
    <row r="107" spans="1:19" ht="17.25" thickBot="1">
      <c r="A107" s="34" t="s">
        <v>51</v>
      </c>
      <c r="B107" s="35">
        <v>626</v>
      </c>
      <c r="C107" s="22">
        <v>6.8259385699999994E-2</v>
      </c>
      <c r="D107" s="21">
        <v>627</v>
      </c>
      <c r="E107" s="22">
        <f t="shared" si="50"/>
        <v>1.5974440894568689E-3</v>
      </c>
      <c r="F107" s="19">
        <f>IF(ISNUMBER(D107), $B118 * E107, "")</f>
        <v>479.23322683706067</v>
      </c>
      <c r="G107" s="21">
        <v>619</v>
      </c>
      <c r="H107" s="22">
        <f t="shared" si="51"/>
        <v>-1.1182108626198083E-2</v>
      </c>
      <c r="I107" s="19">
        <f>IF(ISNUMBER(G107), $B118 * H107, "")</f>
        <v>-3354.6325878594248</v>
      </c>
      <c r="J107" s="21">
        <v>626</v>
      </c>
      <c r="K107" s="22">
        <f t="shared" si="52"/>
        <v>0</v>
      </c>
      <c r="L107" s="19">
        <f>IF(ISNUMBER(J107), $B118 * K107, "")</f>
        <v>0</v>
      </c>
      <c r="M107" s="21">
        <v>620</v>
      </c>
      <c r="N107" s="22">
        <f t="shared" si="53"/>
        <v>-9.5846645367412137E-3</v>
      </c>
      <c r="O107" s="19">
        <f>IF(ISNUMBER(M107), $B118 * N107, "")</f>
        <v>-2875.3993610223642</v>
      </c>
      <c r="Q107" s="139"/>
      <c r="R107" s="140"/>
      <c r="S107" s="141"/>
    </row>
    <row r="108" spans="1:19">
      <c r="A108" s="30" t="s">
        <v>136</v>
      </c>
      <c r="B108" s="31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7">
        <f>IF(ISNUMBER(D108), $B118 * E108, "")</f>
        <v>3688.5245901639341</v>
      </c>
      <c r="G108" s="13">
        <v>245</v>
      </c>
      <c r="H108" s="14">
        <f>IF(ISNUMBER(G108), (G108 - $B108) / $B108, "")</f>
        <v>4.0983606557377051E-3</v>
      </c>
      <c r="I108" s="17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7">
        <f>IF(ISNUMBER(J108), $B118 * K108, "")</f>
        <v>12295.081967213115</v>
      </c>
      <c r="M108" s="13">
        <v>250</v>
      </c>
      <c r="N108" s="14">
        <f>IF(ISNUMBER(M108), (M108 - $B108) / $B108, "")</f>
        <v>2.4590163934426229E-2</v>
      </c>
      <c r="O108" s="17">
        <f>IF(ISNUMBER(M108), $B118 * N108, "")</f>
        <v>7377.0491803278683</v>
      </c>
      <c r="Q108" s="142"/>
      <c r="R108" s="143"/>
      <c r="S108" s="144"/>
    </row>
    <row r="109" spans="1:19" ht="17.25" thickBot="1">
      <c r="A109" s="32" t="s">
        <v>49</v>
      </c>
      <c r="B109" s="33">
        <v>67791000</v>
      </c>
      <c r="C109" s="16">
        <v>6.2321747599999998E-2</v>
      </c>
      <c r="D109" s="15">
        <v>68921000</v>
      </c>
      <c r="E109" s="16">
        <f t="shared" ref="E109:E112" si="54">IF(ISNUMBER(D109), (D109 - $B109) / $B109, "")</f>
        <v>1.6668879349766193E-2</v>
      </c>
      <c r="F109" s="19">
        <f>IF(ISNUMBER(D109), $B118 * E109, "")</f>
        <v>5000.6638049298581</v>
      </c>
      <c r="G109" s="15">
        <v>68705000</v>
      </c>
      <c r="H109" s="16">
        <f t="shared" ref="H109:H112" si="55">IF(ISNUMBER(G109), (G109 - $B109) / $B109, "")</f>
        <v>1.3482615686448053E-2</v>
      </c>
      <c r="I109" s="19">
        <f>IF(ISNUMBER(G109), $B118 * H109, "")</f>
        <v>4044.7847059344158</v>
      </c>
      <c r="J109" s="15">
        <v>69055000</v>
      </c>
      <c r="K109" s="16">
        <f t="shared" ref="K109:K112" si="56">IF(ISNUMBER(J109), (J109 - $B109) / $B109, "")</f>
        <v>1.8645542918676521E-2</v>
      </c>
      <c r="L109" s="19">
        <f>IF(ISNUMBER(J109), $B118 * K109, "")</f>
        <v>5593.6628756029568</v>
      </c>
      <c r="M109" s="15">
        <v>68701000</v>
      </c>
      <c r="N109" s="16">
        <f t="shared" ref="N109:N112" si="57">IF(ISNUMBER(M109), (M109 - $B109) / $B109, "")</f>
        <v>1.3423610803794015E-2</v>
      </c>
      <c r="O109" s="19">
        <f>IF(ISNUMBER(M109), $B118 * N109, "")</f>
        <v>4027.0832411382044</v>
      </c>
      <c r="Q109" s="145"/>
      <c r="R109" s="146"/>
      <c r="S109" s="147"/>
    </row>
    <row r="110" spans="1:19" ht="17.25" thickBot="1">
      <c r="A110" s="32" t="s">
        <v>63</v>
      </c>
      <c r="B110" s="33">
        <v>112900</v>
      </c>
      <c r="C110" s="16">
        <v>6.0093896700000003E-2</v>
      </c>
      <c r="D110" s="15">
        <v>116650</v>
      </c>
      <c r="E110" s="16">
        <f t="shared" si="54"/>
        <v>3.3215234720992026E-2</v>
      </c>
      <c r="F110" s="19">
        <f>IF(ISNUMBER(D110), $B118 * E110, "")</f>
        <v>9964.5704162976072</v>
      </c>
      <c r="G110" s="15">
        <v>114050</v>
      </c>
      <c r="H110" s="16">
        <f t="shared" si="55"/>
        <v>1.0186005314437556E-2</v>
      </c>
      <c r="I110" s="19">
        <f>IF(ISNUMBER(G110), $B118 * H110, "")</f>
        <v>3055.8015943312666</v>
      </c>
      <c r="J110" s="15">
        <v>116350</v>
      </c>
      <c r="K110" s="16">
        <f t="shared" si="56"/>
        <v>3.0558015943312665E-2</v>
      </c>
      <c r="L110" s="19">
        <f>IF(ISNUMBER(J110), $B118 * K110, "")</f>
        <v>9167.404782993799</v>
      </c>
      <c r="M110" s="15">
        <v>115100</v>
      </c>
      <c r="N110" s="16">
        <f t="shared" si="57"/>
        <v>1.9486271036315322E-2</v>
      </c>
      <c r="O110" s="19">
        <f>IF(ISNUMBER(M110), $B118 * N110, "")</f>
        <v>5845.8813108945969</v>
      </c>
      <c r="Q110" s="127"/>
      <c r="R110" s="127"/>
      <c r="S110" s="127"/>
    </row>
    <row r="111" spans="1:19" ht="17.25" thickBot="1">
      <c r="A111" s="32" t="s">
        <v>210</v>
      </c>
      <c r="B111" s="33">
        <v>217</v>
      </c>
      <c r="C111" s="16">
        <v>5.85365854E-2</v>
      </c>
      <c r="D111" s="15">
        <v>217</v>
      </c>
      <c r="E111" s="16">
        <f t="shared" si="54"/>
        <v>0</v>
      </c>
      <c r="F111" s="19">
        <f>IF(ISNUMBER(D111), $B118 * E111, "")</f>
        <v>0</v>
      </c>
      <c r="G111" s="15">
        <v>213</v>
      </c>
      <c r="H111" s="16">
        <f t="shared" si="55"/>
        <v>-1.8433179723502304E-2</v>
      </c>
      <c r="I111" s="19">
        <f>IF(ISNUMBER(G111), $B118 * H111, "")</f>
        <v>-5529.9539170506914</v>
      </c>
      <c r="J111" s="15">
        <v>215</v>
      </c>
      <c r="K111" s="16">
        <f t="shared" si="56"/>
        <v>-9.2165898617511521E-3</v>
      </c>
      <c r="L111" s="19">
        <f>IF(ISNUMBER(J111), $B118 * K111, "")</f>
        <v>-2764.9769585253457</v>
      </c>
      <c r="M111" s="15">
        <v>214</v>
      </c>
      <c r="N111" s="16">
        <f t="shared" si="57"/>
        <v>-1.3824884792626729E-2</v>
      </c>
      <c r="O111" s="19">
        <f>IF(ISNUMBER(M111), $B118 * N111, "")</f>
        <v>-4147.4654377880188</v>
      </c>
      <c r="Q111" s="148"/>
      <c r="R111" s="148"/>
      <c r="S111" s="148"/>
    </row>
    <row r="112" spans="1:19" ht="17.25" thickBot="1">
      <c r="A112" s="34" t="s">
        <v>130</v>
      </c>
      <c r="B112" s="35">
        <v>320500</v>
      </c>
      <c r="C112" s="22">
        <v>5.3929628399999999E-2</v>
      </c>
      <c r="D112" s="21">
        <v>323950</v>
      </c>
      <c r="E112" s="22">
        <f t="shared" si="54"/>
        <v>1.0764430577223089E-2</v>
      </c>
      <c r="F112" s="23">
        <f>IF(ISNUMBER(D112), $B118 * E112, "")</f>
        <v>3229.3291731669265</v>
      </c>
      <c r="G112" s="21">
        <v>321500</v>
      </c>
      <c r="H112" s="22">
        <f t="shared" si="55"/>
        <v>3.1201248049921998E-3</v>
      </c>
      <c r="I112" s="23">
        <f>IF(ISNUMBER(G112), $B118 * H112, "")</f>
        <v>936.03744149765998</v>
      </c>
      <c r="J112" s="21">
        <v>325200</v>
      </c>
      <c r="K112" s="22">
        <f t="shared" si="56"/>
        <v>1.4664586583463339E-2</v>
      </c>
      <c r="L112" s="23">
        <f>IF(ISNUMBER(J112), $B118 * K112, "")</f>
        <v>4399.3759750390018</v>
      </c>
      <c r="M112" s="21">
        <v>321650</v>
      </c>
      <c r="N112" s="22">
        <f t="shared" si="57"/>
        <v>3.5881435257410295E-3</v>
      </c>
      <c r="O112" s="23">
        <f>IF(ISNUMBER(M112), $B118 * N112, "")</f>
        <v>1076.4430577223088</v>
      </c>
      <c r="Q112" s="148"/>
      <c r="R112" s="148"/>
      <c r="S112" s="148"/>
    </row>
    <row r="113" spans="1:19" ht="17.25" thickBot="1">
      <c r="A113" s="32" t="s">
        <v>192</v>
      </c>
      <c r="B113" s="36">
        <v>1175</v>
      </c>
      <c r="C113" s="37">
        <v>5.38116592E-2</v>
      </c>
      <c r="D113" s="15">
        <v>1180</v>
      </c>
      <c r="E113" s="37">
        <f>IF(ISNUMBER(D113), (D113 - $B113) / $B113, "")</f>
        <v>4.2553191489361703E-3</v>
      </c>
      <c r="F113" s="19">
        <f>IF(ISNUMBER(D113), $B118 * E113, "")</f>
        <v>1276.5957446808511</v>
      </c>
      <c r="G113" s="15">
        <v>1165</v>
      </c>
      <c r="H113" s="37">
        <f>IF(ISNUMBER(G113), (G113 - $B113) / $B113, "")</f>
        <v>-8.5106382978723406E-3</v>
      </c>
      <c r="I113" s="19">
        <f>IF(ISNUMBER(G113), $B118 * H113, "")</f>
        <v>-2553.1914893617022</v>
      </c>
      <c r="J113" s="15">
        <v>1180</v>
      </c>
      <c r="K113" s="37">
        <f>IF(ISNUMBER(J113), (J113 - $B113) / $B113, "")</f>
        <v>4.2553191489361703E-3</v>
      </c>
      <c r="L113" s="19">
        <f>IF(ISNUMBER(J113), $B118 * K113, "")</f>
        <v>1276.5957446808511</v>
      </c>
      <c r="M113" s="15">
        <v>1170</v>
      </c>
      <c r="N113" s="37">
        <f>IF(ISNUMBER(M113), (M113 - $B113) / $B113, "")</f>
        <v>-4.2553191489361703E-3</v>
      </c>
      <c r="O113" s="19">
        <f>IF(ISNUMBER(M113), $B118 * N113, "")</f>
        <v>-1276.5957446808511</v>
      </c>
      <c r="Q113" s="127"/>
      <c r="R113" s="127"/>
      <c r="S113" s="127"/>
    </row>
    <row r="114" spans="1:19" ht="17.25" thickBot="1">
      <c r="A114" s="32" t="s">
        <v>196</v>
      </c>
      <c r="B114" s="33">
        <v>22.1</v>
      </c>
      <c r="C114" s="16">
        <v>5.23809524E-2</v>
      </c>
      <c r="D114" s="15">
        <v>22</v>
      </c>
      <c r="E114" s="16">
        <f t="shared" ref="E114:E117" si="58">IF(ISNUMBER(D114), (D114 - $B114) / $B114, "")</f>
        <v>-4.524886877828118E-3</v>
      </c>
      <c r="F114" s="19">
        <f>IF(ISNUMBER(D114), $B118 * E114, "")</f>
        <v>-1357.4660633484355</v>
      </c>
      <c r="G114" s="15">
        <v>22</v>
      </c>
      <c r="H114" s="16">
        <f t="shared" ref="H114:H117" si="59">IF(ISNUMBER(G114), (G114 - $B114) / $B114, "")</f>
        <v>-4.524886877828118E-3</v>
      </c>
      <c r="I114" s="19">
        <f>IF(ISNUMBER(G114), $B118 * H114, "")</f>
        <v>-1357.4660633484355</v>
      </c>
      <c r="J114" s="15">
        <v>21.9</v>
      </c>
      <c r="K114" s="16">
        <f t="shared" ref="K114:K117" si="60">IF(ISNUMBER(J114), (J114 - $B114) / $B114, "")</f>
        <v>-9.049773755656236E-3</v>
      </c>
      <c r="L114" s="19">
        <f>IF(ISNUMBER(J114), $B118 * K114, "")</f>
        <v>-2714.9321266968709</v>
      </c>
      <c r="M114" s="15">
        <v>21.9</v>
      </c>
      <c r="N114" s="16">
        <f t="shared" ref="N114:N117" si="61">IF(ISNUMBER(M114), (M114 - $B114) / $B114, "")</f>
        <v>-9.049773755656236E-3</v>
      </c>
      <c r="O114" s="19">
        <f>IF(ISNUMBER(M114), $B118 * N114, "")</f>
        <v>-2714.9321266968709</v>
      </c>
      <c r="Q114" s="127"/>
      <c r="R114" s="127"/>
      <c r="S114" s="127"/>
    </row>
    <row r="115" spans="1:19" ht="17.25" thickBot="1">
      <c r="A115" s="32" t="s">
        <v>104</v>
      </c>
      <c r="B115" s="33">
        <v>2110</v>
      </c>
      <c r="C115" s="16">
        <v>5.2369077299999997E-2</v>
      </c>
      <c r="D115" s="15">
        <v>2180</v>
      </c>
      <c r="E115" s="16">
        <f t="shared" si="58"/>
        <v>3.3175355450236969E-2</v>
      </c>
      <c r="F115" s="19">
        <f>IF(ISNUMBER(D115), $B118 * E115, "")</f>
        <v>9952.6066350710917</v>
      </c>
      <c r="G115" s="15">
        <v>2130</v>
      </c>
      <c r="H115" s="16">
        <f t="shared" si="59"/>
        <v>9.4786729857819912E-3</v>
      </c>
      <c r="I115" s="19">
        <f>IF(ISNUMBER(G115), $B118 * H115, "")</f>
        <v>2843.6018957345973</v>
      </c>
      <c r="J115" s="15">
        <v>2150</v>
      </c>
      <c r="K115" s="16">
        <f t="shared" si="60"/>
        <v>1.8957345971563982E-2</v>
      </c>
      <c r="L115" s="19">
        <f>IF(ISNUMBER(J115), $B118 * K115, "")</f>
        <v>5687.2037914691946</v>
      </c>
      <c r="M115" s="15">
        <v>2120</v>
      </c>
      <c r="N115" s="16">
        <f t="shared" si="61"/>
        <v>4.7393364928909956E-3</v>
      </c>
      <c r="O115" s="19">
        <f>IF(ISNUMBER(M115), $B118 * N115, "")</f>
        <v>1421.8009478672986</v>
      </c>
      <c r="Q115" s="127"/>
      <c r="R115" s="127"/>
      <c r="S115" s="127"/>
    </row>
    <row r="116" spans="1:19">
      <c r="A116" s="32" t="s">
        <v>98</v>
      </c>
      <c r="B116" s="33">
        <v>6580</v>
      </c>
      <c r="C116" s="16">
        <v>5.1958433300000002E-2</v>
      </c>
      <c r="D116" s="15">
        <v>6710</v>
      </c>
      <c r="E116" s="16">
        <f t="shared" si="58"/>
        <v>1.9756838905775075E-2</v>
      </c>
      <c r="F116" s="19">
        <f>IF(ISNUMBER(D116), $B118 * E116, "")</f>
        <v>5927.0516717325227</v>
      </c>
      <c r="G116" s="15">
        <v>6690</v>
      </c>
      <c r="H116" s="16">
        <f t="shared" si="59"/>
        <v>1.6717325227963525E-2</v>
      </c>
      <c r="I116" s="19">
        <f>IF(ISNUMBER(G116), $B118 * H116, "")</f>
        <v>5015.1975683890578</v>
      </c>
      <c r="J116" s="15">
        <v>6770</v>
      </c>
      <c r="K116" s="16">
        <f t="shared" si="60"/>
        <v>2.8875379939209727E-2</v>
      </c>
      <c r="L116" s="19">
        <f>IF(ISNUMBER(J116), $B118 * K116, "")</f>
        <v>8662.6139817629173</v>
      </c>
      <c r="M116" s="15">
        <v>6720</v>
      </c>
      <c r="N116" s="16">
        <f t="shared" si="61"/>
        <v>2.1276595744680851E-2</v>
      </c>
      <c r="O116" s="19">
        <f>IF(ISNUMBER(M116), $B118 * N116, "")</f>
        <v>6382.9787234042551</v>
      </c>
      <c r="Q116" s="128"/>
      <c r="R116" s="129"/>
      <c r="S116" s="130"/>
    </row>
    <row r="117" spans="1:19" ht="17.25" thickBot="1">
      <c r="A117" s="34" t="s">
        <v>76</v>
      </c>
      <c r="B117" s="35">
        <v>45550</v>
      </c>
      <c r="C117" s="22">
        <v>5.0507380099999999E-2</v>
      </c>
      <c r="D117" s="21">
        <v>45720</v>
      </c>
      <c r="E117" s="22">
        <f t="shared" si="58"/>
        <v>3.7321624588364435E-3</v>
      </c>
      <c r="F117" s="19">
        <f>IF(ISNUMBER(D117), $B118 * E117, "")</f>
        <v>1119.6487376509331</v>
      </c>
      <c r="G117" s="21">
        <v>45490</v>
      </c>
      <c r="H117" s="22">
        <f t="shared" si="59"/>
        <v>-1.3172338090010978E-3</v>
      </c>
      <c r="I117" s="19">
        <f>IF(ISNUMBER(G117), $B118 * H117, "")</f>
        <v>-395.17014270032934</v>
      </c>
      <c r="J117" s="21">
        <v>46500</v>
      </c>
      <c r="K117" s="22">
        <f t="shared" si="60"/>
        <v>2.0856201975850714E-2</v>
      </c>
      <c r="L117" s="19">
        <f>IF(ISNUMBER(J117), $B118 * K117, "")</f>
        <v>6256.8605927552144</v>
      </c>
      <c r="M117" s="21">
        <v>46510</v>
      </c>
      <c r="N117" s="22">
        <f t="shared" si="61"/>
        <v>2.1075740944017565E-2</v>
      </c>
      <c r="O117" s="19">
        <f>IF(ISNUMBER(M117), $B118 * N117, "")</f>
        <v>6322.7222832052694</v>
      </c>
      <c r="Q117" s="131"/>
      <c r="R117" s="132"/>
      <c r="S117" s="133"/>
    </row>
    <row r="118" spans="1:19" ht="17.25" thickBot="1">
      <c r="A118" s="27" t="s">
        <v>42</v>
      </c>
      <c r="B118" s="137">
        <f>$B$37</f>
        <v>300000</v>
      </c>
      <c r="C118" s="138"/>
      <c r="D118" s="27" t="s">
        <v>43</v>
      </c>
      <c r="E118" s="28">
        <f>IF(COUNT(E98:E117), SUM(E98:E117) / COUNT(E98:E117), 0)</f>
        <v>1.7947664270110929E-2</v>
      </c>
      <c r="F118" s="29">
        <f>SUM(F98:F117)</f>
        <v>107685.98562066558</v>
      </c>
      <c r="G118" s="27" t="s">
        <v>43</v>
      </c>
      <c r="H118" s="28">
        <f>IF(COUNT(H98:H117), SUM(H98:H117) / COUNT(H98:H117), 0)</f>
        <v>6.9576186536225324E-3</v>
      </c>
      <c r="I118" s="29">
        <f>SUM(I98:I117)</f>
        <v>41745.711921735201</v>
      </c>
      <c r="J118" s="27" t="s">
        <v>43</v>
      </c>
      <c r="K118" s="28">
        <f>IF(COUNT(K98:K117), SUM(K98:K117) / COUNT(K98:K117), 0)</f>
        <v>2.0077732508834219E-2</v>
      </c>
      <c r="L118" s="29">
        <f>SUM(L98:L117)</f>
        <v>120466.39505300528</v>
      </c>
      <c r="M118" s="27" t="s">
        <v>43</v>
      </c>
      <c r="N118" s="28">
        <f>IF(COUNT(N98:N117), SUM(N98:N117) / COUNT(N98:N117), 0)</f>
        <v>1.1232222327055948E-2</v>
      </c>
      <c r="O118" s="29">
        <f>SUM(O98:O117)</f>
        <v>67393.333962335702</v>
      </c>
      <c r="Q118" s="134"/>
      <c r="R118" s="135"/>
      <c r="S118" s="136"/>
    </row>
    <row r="120" spans="1:19" ht="17.25" thickBot="1"/>
    <row r="121" spans="1:19" ht="17.25" thickBot="1">
      <c r="A121" s="149" t="s">
        <v>288</v>
      </c>
      <c r="B121" s="150"/>
      <c r="C121" s="150"/>
      <c r="D121" s="150"/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1"/>
      <c r="Q121" s="148"/>
      <c r="R121" s="148"/>
      <c r="S121" s="148"/>
    </row>
    <row r="122" spans="1:19" ht="17.25" thickBot="1">
      <c r="A122" s="110" t="s">
        <v>35</v>
      </c>
      <c r="B122" s="149" t="s">
        <v>36</v>
      </c>
      <c r="C122" s="151"/>
      <c r="D122" s="149" t="s">
        <v>37</v>
      </c>
      <c r="E122" s="150"/>
      <c r="F122" s="151"/>
      <c r="G122" s="152">
        <f>_xlfn.IFNA(VLOOKUP(B122, 현재가테이블!$B$2:$D$200, 2, FALSE), "-")</f>
        <v>68203000</v>
      </c>
      <c r="H122" s="153"/>
      <c r="I122" s="154"/>
      <c r="J122" s="149" t="s">
        <v>38</v>
      </c>
      <c r="K122" s="150"/>
      <c r="L122" s="151"/>
      <c r="M122" s="155">
        <f>_xlfn.IFNA(VLOOKUP(B122, 현재가테이블!$B$2:$D$200, 3, FALSE), "-")</f>
        <v>-1.22521687E-2</v>
      </c>
      <c r="N122" s="156"/>
      <c r="O122" s="157"/>
      <c r="Q122" s="148"/>
      <c r="R122" s="148"/>
      <c r="S122" s="148"/>
    </row>
    <row r="123" spans="1:19" ht="17.25" thickBot="1">
      <c r="A123" s="158" t="s">
        <v>39</v>
      </c>
      <c r="B123" s="159" t="str">
        <f>TEXT($G$1, "[$-ko-KR]yyyy-mm-dd(ddd) ") &amp; "오전 00:00"</f>
        <v>2021-05-01(토) 오전 00:00</v>
      </c>
      <c r="C123" s="160"/>
      <c r="D123" s="161" t="str">
        <f>TEXT($G$1, "[$-ko-KR]yyyy-mm-dd(ddd) ") &amp; "오후 14:00"</f>
        <v>2021-05-01(토) 오후 14:00</v>
      </c>
      <c r="E123" s="162"/>
      <c r="F123" s="163"/>
      <c r="G123" s="161" t="str">
        <f>TEXT($G$1, "[$-ko-KR]yyyy-mm-dd(ddd) ") &amp; "오후 19:00"</f>
        <v>2021-05-01(토) 오후 19:00</v>
      </c>
      <c r="H123" s="162"/>
      <c r="I123" s="163"/>
      <c r="J123" s="164" t="str">
        <f>TEXT($G$1, "[$-ko-KR]yyyy-mm-dd(ddd) ") &amp; "오후 21:00"</f>
        <v>2021-05-01(토) 오후 21:00</v>
      </c>
      <c r="K123" s="164"/>
      <c r="L123" s="164"/>
      <c r="M123" s="161" t="str">
        <f>TEXT($G$1+1, "[$-ko-KR]yyyy-mm-dd(ddd) ") &amp; "오전 00:00"</f>
        <v>2021-05-02(일) 오전 00:00</v>
      </c>
      <c r="N123" s="162"/>
      <c r="O123" s="163"/>
      <c r="Q123" s="148"/>
      <c r="R123" s="148"/>
      <c r="S123" s="148"/>
    </row>
    <row r="124" spans="1:19" ht="17.25" thickBot="1">
      <c r="A124" s="158"/>
      <c r="B124" s="2" t="s">
        <v>37</v>
      </c>
      <c r="C124" s="10" t="s">
        <v>38</v>
      </c>
      <c r="D124" s="2" t="s">
        <v>37</v>
      </c>
      <c r="E124" s="10" t="s">
        <v>40</v>
      </c>
      <c r="F124" s="11" t="s">
        <v>41</v>
      </c>
      <c r="G124" s="2" t="s">
        <v>37</v>
      </c>
      <c r="H124" s="10" t="s">
        <v>40</v>
      </c>
      <c r="I124" s="11" t="s">
        <v>41</v>
      </c>
      <c r="J124" s="10" t="s">
        <v>37</v>
      </c>
      <c r="K124" s="10" t="s">
        <v>40</v>
      </c>
      <c r="L124" s="109" t="s">
        <v>41</v>
      </c>
      <c r="M124" s="2" t="s">
        <v>37</v>
      </c>
      <c r="N124" s="10" t="s">
        <v>40</v>
      </c>
      <c r="O124" s="72" t="s">
        <v>41</v>
      </c>
      <c r="Q124" s="127"/>
      <c r="R124" s="127"/>
      <c r="S124" s="127"/>
    </row>
    <row r="125" spans="1:19" ht="17.25" thickBot="1">
      <c r="A125" s="30" t="s">
        <v>196</v>
      </c>
      <c r="B125" s="31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7">
        <f>IF(ISNUMBER(D125), $B145 * E125, "")</f>
        <v>-1357.4660633484355</v>
      </c>
      <c r="G125" s="13">
        <v>22</v>
      </c>
      <c r="H125" s="14">
        <f>IF(ISNUMBER(G125), (G125 - $B125) / $B125, "")</f>
        <v>-4.524886877828118E-3</v>
      </c>
      <c r="I125" s="17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7">
        <f>IF(ISNUMBER(J125), $B145 * K125, "")</f>
        <v>-2714.9321266968709</v>
      </c>
      <c r="M125" s="13">
        <v>21.9</v>
      </c>
      <c r="N125" s="14">
        <f>IF(ISNUMBER(M125), (M125 - $B125) / $B125, "")</f>
        <v>-9.049773755656236E-3</v>
      </c>
      <c r="O125" s="17">
        <f>IF(ISNUMBER(M125), $B145 * N125, "")</f>
        <v>-2714.9321266968709</v>
      </c>
      <c r="Q125" s="148"/>
      <c r="R125" s="148"/>
      <c r="S125" s="148"/>
    </row>
    <row r="126" spans="1:19" ht="17.25" thickBot="1">
      <c r="A126" s="32" t="s">
        <v>65</v>
      </c>
      <c r="B126" s="33">
        <v>76</v>
      </c>
      <c r="C126" s="16">
        <v>4.8275862099999997E-2</v>
      </c>
      <c r="D126" s="15">
        <v>78.5</v>
      </c>
      <c r="E126" s="16">
        <f t="shared" ref="E126:E129" si="62">IF(ISNUMBER(D126), (D126 - $B126) / $B126, "")</f>
        <v>3.2894736842105261E-2</v>
      </c>
      <c r="F126" s="19">
        <f>IF(ISNUMBER(D126), $B145 * E126, "")</f>
        <v>9868.4210526315783</v>
      </c>
      <c r="G126" s="15">
        <v>77.7</v>
      </c>
      <c r="H126" s="16">
        <f t="shared" ref="H126:H129" si="63">IF(ISNUMBER(G126), (G126 - $B126) / $B126, "")</f>
        <v>2.2368421052631617E-2</v>
      </c>
      <c r="I126" s="19">
        <f>IF(ISNUMBER(G126), $B145 * H126, "")</f>
        <v>6710.5263157894851</v>
      </c>
      <c r="J126" s="15">
        <v>78.2</v>
      </c>
      <c r="K126" s="16">
        <f t="shared" ref="K126:K129" si="64">IF(ISNUMBER(J126), (J126 - $B126) / $B126, "")</f>
        <v>2.894736842105267E-2</v>
      </c>
      <c r="L126" s="19">
        <f>IF(ISNUMBER(J126), $B145 * K126, "")</f>
        <v>8684.210526315801</v>
      </c>
      <c r="M126" s="15">
        <v>77.5</v>
      </c>
      <c r="N126" s="16">
        <f t="shared" ref="N126:N129" si="65">IF(ISNUMBER(M126), (M126 - $B126) / $B126, "")</f>
        <v>1.9736842105263157E-2</v>
      </c>
      <c r="O126" s="19">
        <f>IF(ISNUMBER(M126), $B145 * N126, "")</f>
        <v>5921.0526315789466</v>
      </c>
      <c r="Q126" s="148"/>
      <c r="R126" s="148"/>
      <c r="S126" s="148"/>
    </row>
    <row r="127" spans="1:19" ht="17.25" thickBot="1">
      <c r="A127" s="32" t="s">
        <v>152</v>
      </c>
      <c r="B127" s="33">
        <v>46.3</v>
      </c>
      <c r="C127" s="16">
        <v>2.88888889E-2</v>
      </c>
      <c r="D127" s="15">
        <v>47.6</v>
      </c>
      <c r="E127" s="16">
        <f t="shared" si="62"/>
        <v>2.8077753779697717E-2</v>
      </c>
      <c r="F127" s="19">
        <f>IF(ISNUMBER(D127), $B145 * E127, "")</f>
        <v>8423.3261339093151</v>
      </c>
      <c r="G127" s="15">
        <v>46.8</v>
      </c>
      <c r="H127" s="16">
        <f t="shared" si="63"/>
        <v>1.0799136069114472E-2</v>
      </c>
      <c r="I127" s="19">
        <f>IF(ISNUMBER(G127), $B145 * H127, "")</f>
        <v>3239.7408207343415</v>
      </c>
      <c r="J127" s="15">
        <v>47.5</v>
      </c>
      <c r="K127" s="16">
        <f t="shared" si="64"/>
        <v>2.5917926565874792E-2</v>
      </c>
      <c r="L127" s="19">
        <f>IF(ISNUMBER(J127), $B145 * K127, "")</f>
        <v>7775.3779697624377</v>
      </c>
      <c r="M127" s="15">
        <v>46.9</v>
      </c>
      <c r="N127" s="16">
        <f t="shared" si="65"/>
        <v>1.2958963282937396E-2</v>
      </c>
      <c r="O127" s="19">
        <f>IF(ISNUMBER(M127), $B145 * N127, "")</f>
        <v>3887.6889848812189</v>
      </c>
      <c r="Q127" s="127"/>
      <c r="R127" s="127"/>
      <c r="S127" s="127"/>
    </row>
    <row r="128" spans="1:19" ht="17.25" thickBot="1">
      <c r="A128" s="32" t="s">
        <v>100</v>
      </c>
      <c r="B128" s="33">
        <v>8.44</v>
      </c>
      <c r="C128" s="16">
        <v>2.80146163E-2</v>
      </c>
      <c r="D128" s="15">
        <v>8.56</v>
      </c>
      <c r="E128" s="16">
        <f t="shared" si="62"/>
        <v>1.4218009478673105E-2</v>
      </c>
      <c r="F128" s="19">
        <f>IF(ISNUMBER(D128), $B145 * E128, "")</f>
        <v>4265.4028436019316</v>
      </c>
      <c r="G128" s="15">
        <v>8.56</v>
      </c>
      <c r="H128" s="16">
        <f t="shared" si="63"/>
        <v>1.4218009478673105E-2</v>
      </c>
      <c r="I128" s="19">
        <f>IF(ISNUMBER(G128), $B145 * H128, "")</f>
        <v>4265.4028436019316</v>
      </c>
      <c r="J128" s="15">
        <v>8.6</v>
      </c>
      <c r="K128" s="16">
        <f t="shared" si="64"/>
        <v>1.8957345971564E-2</v>
      </c>
      <c r="L128" s="19">
        <f>IF(ISNUMBER(J128), $B145 * K128, "")</f>
        <v>5687.2037914692</v>
      </c>
      <c r="M128" s="15">
        <v>8.5500000000000007</v>
      </c>
      <c r="N128" s="16">
        <f t="shared" si="65"/>
        <v>1.303317535545038E-2</v>
      </c>
      <c r="O128" s="19">
        <f>IF(ISNUMBER(M128), $B145 * N128, "")</f>
        <v>3909.9526066351141</v>
      </c>
      <c r="Q128" s="127"/>
      <c r="R128" s="127"/>
      <c r="S128" s="127"/>
    </row>
    <row r="129" spans="1:19" ht="17.25" thickBot="1">
      <c r="A129" s="34" t="s">
        <v>220</v>
      </c>
      <c r="B129" s="35">
        <v>20</v>
      </c>
      <c r="C129" s="22">
        <v>2.5641025599999999E-2</v>
      </c>
      <c r="D129" s="21">
        <v>20.100000000000001</v>
      </c>
      <c r="E129" s="22">
        <f t="shared" si="62"/>
        <v>5.0000000000000712E-3</v>
      </c>
      <c r="F129" s="23">
        <f>IF(ISNUMBER(D129), $B145 * E129, "")</f>
        <v>1500.0000000000214</v>
      </c>
      <c r="G129" s="21">
        <v>20</v>
      </c>
      <c r="H129" s="22">
        <f t="shared" si="63"/>
        <v>0</v>
      </c>
      <c r="I129" s="23">
        <f>IF(ISNUMBER(G129), $B145 * H129, "")</f>
        <v>0</v>
      </c>
      <c r="J129" s="21">
        <v>20.100000000000001</v>
      </c>
      <c r="K129" s="22">
        <f t="shared" si="64"/>
        <v>5.0000000000000712E-3</v>
      </c>
      <c r="L129" s="23">
        <f>IF(ISNUMBER(J129), $B145 * K129, "")</f>
        <v>1500.0000000000214</v>
      </c>
      <c r="M129" s="21">
        <v>20.2</v>
      </c>
      <c r="N129" s="22">
        <f t="shared" si="65"/>
        <v>9.9999999999999638E-3</v>
      </c>
      <c r="O129" s="23">
        <f>IF(ISNUMBER(M129), $B145 * N129, "")</f>
        <v>2999.9999999999891</v>
      </c>
      <c r="Q129" s="127"/>
      <c r="R129" s="127"/>
      <c r="S129" s="127"/>
    </row>
    <row r="130" spans="1:19" ht="17.25" thickBot="1">
      <c r="A130" s="32" t="s">
        <v>72</v>
      </c>
      <c r="B130" s="36">
        <v>35.4</v>
      </c>
      <c r="C130" s="37">
        <v>2.3121387300000001E-2</v>
      </c>
      <c r="D130" s="15">
        <v>37.200000000000003</v>
      </c>
      <c r="E130" s="37">
        <f>IF(ISNUMBER(D130), (D130 - $B130) / $B130, "")</f>
        <v>5.0847457627118765E-2</v>
      </c>
      <c r="F130" s="19">
        <f>IF(ISNUMBER(D130), $B145 * E130, "")</f>
        <v>15254.23728813563</v>
      </c>
      <c r="G130" s="15">
        <v>36.6</v>
      </c>
      <c r="H130" s="37">
        <f>IF(ISNUMBER(G130), (G130 - $B130) / $B130, "")</f>
        <v>3.3898305084745846E-2</v>
      </c>
      <c r="I130" s="19">
        <f>IF(ISNUMBER(G130), $B145 * H130, "")</f>
        <v>10169.491525423753</v>
      </c>
      <c r="J130" s="15">
        <v>36.9</v>
      </c>
      <c r="K130" s="37">
        <f>IF(ISNUMBER(J130), (J130 - $B130) / $B130, "")</f>
        <v>4.2372881355932208E-2</v>
      </c>
      <c r="L130" s="19">
        <f>IF(ISNUMBER(J130), $B145 * K130, "")</f>
        <v>12711.864406779663</v>
      </c>
      <c r="M130" s="15">
        <v>37.4</v>
      </c>
      <c r="N130" s="37">
        <f>IF(ISNUMBER(M130), (M130 - $B130) / $B130, "")</f>
        <v>5.6497175141242938E-2</v>
      </c>
      <c r="O130" s="19">
        <f>IF(ISNUMBER(M130), $B145 * N130, "")</f>
        <v>16949.152542372882</v>
      </c>
      <c r="Q130" s="127"/>
      <c r="R130" s="127"/>
      <c r="S130" s="127"/>
    </row>
    <row r="131" spans="1:19" ht="17.25" thickBot="1">
      <c r="A131" s="32" t="s">
        <v>236</v>
      </c>
      <c r="B131" s="33">
        <v>76.900000000000006</v>
      </c>
      <c r="C131" s="16">
        <v>1.8543046399999999E-2</v>
      </c>
      <c r="D131" s="15">
        <v>77.099999999999994</v>
      </c>
      <c r="E131" s="16">
        <f t="shared" ref="E131:E134" si="66">IF(ISNUMBER(D131), (D131 - $B131) / $B131, "")</f>
        <v>2.6007802340700732E-3</v>
      </c>
      <c r="F131" s="19">
        <f>IF(ISNUMBER(D131), $B145 * E131, "")</f>
        <v>780.23407022102197</v>
      </c>
      <c r="G131" s="15">
        <v>76.900000000000006</v>
      </c>
      <c r="H131" s="16">
        <f t="shared" ref="H131:H134" si="67">IF(ISNUMBER(G131), (G131 - $B131) / $B131, "")</f>
        <v>0</v>
      </c>
      <c r="I131" s="19">
        <f>IF(ISNUMBER(G131), $B145 * H131, "")</f>
        <v>0</v>
      </c>
      <c r="J131" s="15">
        <v>77</v>
      </c>
      <c r="K131" s="16">
        <f t="shared" ref="K131:K134" si="68">IF(ISNUMBER(J131), (J131 - $B131) / $B131, "")</f>
        <v>1.3003901170350366E-3</v>
      </c>
      <c r="L131" s="19">
        <f>IF(ISNUMBER(J131), $B145 * K131, "")</f>
        <v>390.11703511051098</v>
      </c>
      <c r="M131" s="15">
        <v>77.3</v>
      </c>
      <c r="N131" s="16">
        <f t="shared" ref="N131:N134" si="69">IF(ISNUMBER(M131), (M131 - $B131) / $B131, "")</f>
        <v>5.2015604681403312E-3</v>
      </c>
      <c r="O131" s="19">
        <f>IF(ISNUMBER(M131), $B145 * N131, "")</f>
        <v>1560.4681404420994</v>
      </c>
      <c r="Q131" s="127"/>
      <c r="R131" s="127"/>
      <c r="S131" s="127"/>
    </row>
    <row r="132" spans="1:19" ht="17.25" thickBot="1">
      <c r="A132" s="32" t="s">
        <v>228</v>
      </c>
      <c r="B132" s="33">
        <v>19.8</v>
      </c>
      <c r="C132" s="16">
        <v>1.02040816E-2</v>
      </c>
      <c r="D132" s="15">
        <v>19.899999999999999</v>
      </c>
      <c r="E132" s="16">
        <f t="shared" si="66"/>
        <v>5.0505050505049425E-3</v>
      </c>
      <c r="F132" s="19">
        <f>IF(ISNUMBER(D132), $B145 * E132, "")</f>
        <v>1515.1515151514827</v>
      </c>
      <c r="G132" s="15">
        <v>19.8</v>
      </c>
      <c r="H132" s="16">
        <f t="shared" si="67"/>
        <v>0</v>
      </c>
      <c r="I132" s="19">
        <f>IF(ISNUMBER(G132), $B145 * H132, "")</f>
        <v>0</v>
      </c>
      <c r="J132" s="15">
        <v>19.899999999999999</v>
      </c>
      <c r="K132" s="16">
        <f t="shared" si="68"/>
        <v>5.0505050505049425E-3</v>
      </c>
      <c r="L132" s="19">
        <f>IF(ISNUMBER(J132), $B145 * K132, "")</f>
        <v>1515.1515151514827</v>
      </c>
      <c r="M132" s="15">
        <v>19.899999999999999</v>
      </c>
      <c r="N132" s="16">
        <f t="shared" si="69"/>
        <v>5.0505050505049425E-3</v>
      </c>
      <c r="O132" s="19">
        <f>IF(ISNUMBER(M132), $B145 * N132, "")</f>
        <v>1515.1515151514827</v>
      </c>
      <c r="Q132" s="127"/>
      <c r="R132" s="127"/>
      <c r="S132" s="127"/>
    </row>
    <row r="133" spans="1:19" ht="17.25" thickBot="1">
      <c r="A133" s="32" t="s">
        <v>266</v>
      </c>
      <c r="B133" s="33">
        <v>94.2</v>
      </c>
      <c r="C133" s="16">
        <v>5.3361792999999996E-3</v>
      </c>
      <c r="D133" s="15">
        <v>93.5</v>
      </c>
      <c r="E133" s="16">
        <f t="shared" si="66"/>
        <v>-7.430997876857779E-3</v>
      </c>
      <c r="F133" s="19">
        <f>IF(ISNUMBER(D133), $B145 * E133, "")</f>
        <v>-2229.2993630573337</v>
      </c>
      <c r="G133" s="15">
        <v>93.4</v>
      </c>
      <c r="H133" s="16">
        <f t="shared" si="67"/>
        <v>-8.4925690021231126E-3</v>
      </c>
      <c r="I133" s="19">
        <f>IF(ISNUMBER(G133), $B145 * H133, "")</f>
        <v>-2547.7707006369337</v>
      </c>
      <c r="J133" s="15">
        <v>93.6</v>
      </c>
      <c r="K133" s="16">
        <f t="shared" si="68"/>
        <v>-6.3694267515924472E-3</v>
      </c>
      <c r="L133" s="19">
        <f>IF(ISNUMBER(J133), $B145 * K133, "")</f>
        <v>-1910.8280254777342</v>
      </c>
      <c r="M133" s="15">
        <v>93.6</v>
      </c>
      <c r="N133" s="16">
        <f t="shared" si="69"/>
        <v>-6.3694267515924472E-3</v>
      </c>
      <c r="O133" s="19">
        <f>IF(ISNUMBER(M133), $B145 * N133, "")</f>
        <v>-1910.8280254777342</v>
      </c>
      <c r="Q133" s="38"/>
      <c r="R133" s="38"/>
    </row>
    <row r="134" spans="1:19" ht="17.25" thickBot="1">
      <c r="A134" s="34" t="s">
        <v>222</v>
      </c>
      <c r="B134" s="35">
        <v>20.100000000000001</v>
      </c>
      <c r="C134" s="22">
        <v>5.0000000000000001E-3</v>
      </c>
      <c r="D134" s="21">
        <v>20.100000000000001</v>
      </c>
      <c r="E134" s="22">
        <f t="shared" si="66"/>
        <v>0</v>
      </c>
      <c r="F134" s="19">
        <f>IF(ISNUMBER(D134), $B145 * E134, "")</f>
        <v>0</v>
      </c>
      <c r="G134" s="21">
        <v>19.899999999999999</v>
      </c>
      <c r="H134" s="22">
        <f t="shared" si="67"/>
        <v>-9.9502487562190458E-3</v>
      </c>
      <c r="I134" s="19">
        <f>IF(ISNUMBER(G134), $B145 * H134, "")</f>
        <v>-2985.0746268657135</v>
      </c>
      <c r="J134" s="21">
        <v>20.100000000000001</v>
      </c>
      <c r="K134" s="22">
        <f t="shared" si="68"/>
        <v>0</v>
      </c>
      <c r="L134" s="19">
        <f>IF(ISNUMBER(J134), $B145 * K134, "")</f>
        <v>0</v>
      </c>
      <c r="M134" s="21">
        <v>20.100000000000001</v>
      </c>
      <c r="N134" s="22">
        <f t="shared" si="69"/>
        <v>0</v>
      </c>
      <c r="O134" s="19">
        <f>IF(ISNUMBER(M134), $B145 * N134, "")</f>
        <v>0</v>
      </c>
      <c r="Q134" s="139"/>
      <c r="R134" s="140"/>
      <c r="S134" s="141"/>
    </row>
    <row r="135" spans="1:19">
      <c r="A135" s="30" t="s">
        <v>214</v>
      </c>
      <c r="B135" s="31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7">
        <f>IF(ISNUMBER(D135), $B145 * E135, "")</f>
        <v>-1234.5679012345854</v>
      </c>
      <c r="G135" s="13">
        <v>24.2</v>
      </c>
      <c r="H135" s="14">
        <f>IF(ISNUMBER(G135), (G135 - $B135) / $B135, "")</f>
        <v>-4.1152263374486181E-3</v>
      </c>
      <c r="I135" s="17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7">
        <f>IF(ISNUMBER(J135), $B145 * K135, "")</f>
        <v>-1234.5679012345854</v>
      </c>
      <c r="M135" s="13">
        <v>24.2</v>
      </c>
      <c r="N135" s="14">
        <f>IF(ISNUMBER(M135), (M135 - $B135) / $B135, "")</f>
        <v>-4.1152263374486181E-3</v>
      </c>
      <c r="O135" s="17">
        <f>IF(ISNUMBER(M135), $B145 * N135, "")</f>
        <v>-1234.5679012345854</v>
      </c>
      <c r="Q135" s="142"/>
      <c r="R135" s="143"/>
      <c r="S135" s="144"/>
    </row>
    <row r="136" spans="1:19" ht="17.25" thickBot="1">
      <c r="A136" s="32" t="s">
        <v>126</v>
      </c>
      <c r="B136" s="33">
        <v>60.4</v>
      </c>
      <c r="C136" s="16">
        <v>3.3222591000000002E-3</v>
      </c>
      <c r="D136" s="15">
        <v>69.599999999999994</v>
      </c>
      <c r="E136" s="16">
        <f t="shared" ref="E136:E139" si="70">IF(ISNUMBER(D136), (D136 - $B136) / $B136, "")</f>
        <v>0.15231788079470193</v>
      </c>
      <c r="F136" s="19">
        <f>IF(ISNUMBER(D136), $B145 * E136, "")</f>
        <v>45695.364238410577</v>
      </c>
      <c r="G136" s="15">
        <v>70.3</v>
      </c>
      <c r="H136" s="16">
        <f t="shared" ref="H136:H139" si="71">IF(ISNUMBER(G136), (G136 - $B136) / $B136, "")</f>
        <v>0.1639072847682119</v>
      </c>
      <c r="I136" s="19">
        <f>IF(ISNUMBER(G136), $B145 * H136, "")</f>
        <v>49172.185430463571</v>
      </c>
      <c r="J136" s="15">
        <v>71.2</v>
      </c>
      <c r="K136" s="16">
        <f t="shared" ref="K136:K139" si="72">IF(ISNUMBER(J136), (J136 - $B136) / $B136, "")</f>
        <v>0.17880794701986763</v>
      </c>
      <c r="L136" s="19">
        <f>IF(ISNUMBER(J136), $B145 * K136, "")</f>
        <v>53642.384105960286</v>
      </c>
      <c r="M136" s="15">
        <v>70.7</v>
      </c>
      <c r="N136" s="16">
        <f t="shared" ref="N136:N139" si="73">IF(ISNUMBER(M136), (M136 - $B136) / $B136, "")</f>
        <v>0.17052980132450338</v>
      </c>
      <c r="O136" s="19">
        <f>IF(ISNUMBER(M136), $B145 * N136, "")</f>
        <v>51158.940397351013</v>
      </c>
      <c r="Q136" s="145"/>
      <c r="R136" s="146"/>
      <c r="S136" s="147"/>
    </row>
    <row r="137" spans="1:19" ht="17.25" thickBot="1">
      <c r="A137" s="32" t="s">
        <v>198</v>
      </c>
      <c r="B137" s="33">
        <v>31.2</v>
      </c>
      <c r="C137" s="16">
        <v>3.2154341000000001E-3</v>
      </c>
      <c r="D137" s="15">
        <v>31.5</v>
      </c>
      <c r="E137" s="16">
        <f t="shared" si="70"/>
        <v>9.6153846153846385E-3</v>
      </c>
      <c r="F137" s="19">
        <f>IF(ISNUMBER(D137), $B145 * E137, "")</f>
        <v>2884.6153846153916</v>
      </c>
      <c r="G137" s="15">
        <v>31.3</v>
      </c>
      <c r="H137" s="16">
        <f t="shared" si="71"/>
        <v>3.2051282051282506E-3</v>
      </c>
      <c r="I137" s="19">
        <f>IF(ISNUMBER(G137), $B145 * H137, "")</f>
        <v>961.53846153847519</v>
      </c>
      <c r="J137" s="15">
        <v>31.5</v>
      </c>
      <c r="K137" s="16">
        <f t="shared" si="72"/>
        <v>9.6153846153846385E-3</v>
      </c>
      <c r="L137" s="19">
        <f>IF(ISNUMBER(J137), $B145 * K137, "")</f>
        <v>2884.6153846153916</v>
      </c>
      <c r="M137" s="15">
        <v>31.7</v>
      </c>
      <c r="N137" s="16">
        <f t="shared" si="73"/>
        <v>1.6025641025641028E-2</v>
      </c>
      <c r="O137" s="19">
        <f>IF(ISNUMBER(M137), $B145 * N137, "")</f>
        <v>4807.6923076923085</v>
      </c>
      <c r="Q137" s="127"/>
      <c r="R137" s="127"/>
      <c r="S137" s="127"/>
    </row>
    <row r="138" spans="1:19" ht="17.25" thickBot="1">
      <c r="A138" s="32" t="s">
        <v>154</v>
      </c>
      <c r="B138" s="33">
        <v>22.1</v>
      </c>
      <c r="C138" s="16">
        <v>0</v>
      </c>
      <c r="D138" s="15">
        <v>22.2</v>
      </c>
      <c r="E138" s="16">
        <f t="shared" si="70"/>
        <v>4.5248868778279576E-3</v>
      </c>
      <c r="F138" s="19">
        <f>IF(ISNUMBER(D138), $B145 * E138, "")</f>
        <v>1357.4660633483873</v>
      </c>
      <c r="G138" s="15">
        <v>21.9</v>
      </c>
      <c r="H138" s="16">
        <f t="shared" si="71"/>
        <v>-9.049773755656236E-3</v>
      </c>
      <c r="I138" s="19">
        <f>IF(ISNUMBER(G138), $B145 * H138, "")</f>
        <v>-2714.9321266968709</v>
      </c>
      <c r="J138" s="15">
        <v>22.1</v>
      </c>
      <c r="K138" s="16">
        <f t="shared" si="72"/>
        <v>0</v>
      </c>
      <c r="L138" s="19">
        <f>IF(ISNUMBER(J138), $B145 * K138, "")</f>
        <v>0</v>
      </c>
      <c r="M138" s="15">
        <v>22.2</v>
      </c>
      <c r="N138" s="16">
        <f t="shared" si="73"/>
        <v>4.5248868778279576E-3</v>
      </c>
      <c r="O138" s="19">
        <f>IF(ISNUMBER(M138), $B145 * N138, "")</f>
        <v>1357.4660633483873</v>
      </c>
      <c r="Q138" s="148"/>
      <c r="R138" s="148"/>
      <c r="S138" s="148"/>
    </row>
    <row r="139" spans="1:19" ht="17.25" thickBot="1">
      <c r="A139" s="34" t="s">
        <v>268</v>
      </c>
      <c r="B139" s="35">
        <v>96.5</v>
      </c>
      <c r="C139" s="22">
        <v>-1.0351967E-3</v>
      </c>
      <c r="D139" s="21">
        <v>98</v>
      </c>
      <c r="E139" s="22">
        <f t="shared" si="70"/>
        <v>1.5544041450777202E-2</v>
      </c>
      <c r="F139" s="23">
        <f>IF(ISNUMBER(D139), $B145 * E139, "")</f>
        <v>4663.2124352331602</v>
      </c>
      <c r="G139" s="21">
        <v>97.1</v>
      </c>
      <c r="H139" s="22">
        <f t="shared" si="71"/>
        <v>6.2176165803108216E-3</v>
      </c>
      <c r="I139" s="23">
        <f>IF(ISNUMBER(G139), $B145 * H139, "")</f>
        <v>1865.2849740932465</v>
      </c>
      <c r="J139" s="21">
        <v>97.1</v>
      </c>
      <c r="K139" s="22">
        <f t="shared" si="72"/>
        <v>6.2176165803108216E-3</v>
      </c>
      <c r="L139" s="23">
        <f>IF(ISNUMBER(J139), $B145 * K139, "")</f>
        <v>1865.2849740932465</v>
      </c>
      <c r="M139" s="21">
        <v>97</v>
      </c>
      <c r="N139" s="22">
        <f t="shared" si="73"/>
        <v>5.1813471502590676E-3</v>
      </c>
      <c r="O139" s="23">
        <f>IF(ISNUMBER(M139), $B145 * N139, "")</f>
        <v>1554.4041450777202</v>
      </c>
      <c r="Q139" s="148"/>
      <c r="R139" s="148"/>
      <c r="S139" s="148"/>
    </row>
    <row r="140" spans="1:19" ht="17.25" thickBot="1">
      <c r="A140" s="32" t="s">
        <v>186</v>
      </c>
      <c r="B140" s="36">
        <v>26.1</v>
      </c>
      <c r="C140" s="37">
        <v>-3.8167939000000001E-3</v>
      </c>
      <c r="D140" s="15">
        <v>26.6</v>
      </c>
      <c r="E140" s="37">
        <f>IF(ISNUMBER(D140), (D140 - $B140) / $B140, "")</f>
        <v>1.9157088122605363E-2</v>
      </c>
      <c r="F140" s="19">
        <f>IF(ISNUMBER(D140), $B145 * E140, "")</f>
        <v>5747.1264367816084</v>
      </c>
      <c r="G140" s="15">
        <v>26.2</v>
      </c>
      <c r="H140" s="37">
        <f>IF(ISNUMBER(G140), (G140 - $B140) / $B140, "")</f>
        <v>3.8314176245209911E-3</v>
      </c>
      <c r="I140" s="19">
        <f>IF(ISNUMBER(G140), $B145 * H140, "")</f>
        <v>1149.4252873562973</v>
      </c>
      <c r="J140" s="15">
        <v>26.5</v>
      </c>
      <c r="K140" s="37">
        <f>IF(ISNUMBER(J140), (J140 - $B140) / $B140, "")</f>
        <v>1.5325670498084237E-2</v>
      </c>
      <c r="L140" s="19">
        <f>IF(ISNUMBER(J140), $B145 * K140, "")</f>
        <v>4597.7011494252711</v>
      </c>
      <c r="M140" s="15">
        <v>26.3</v>
      </c>
      <c r="N140" s="37">
        <f>IF(ISNUMBER(M140), (M140 - $B140) / $B140, "")</f>
        <v>7.6628352490421183E-3</v>
      </c>
      <c r="O140" s="19">
        <f>IF(ISNUMBER(M140), $B145 * N140, "")</f>
        <v>2298.8505747126355</v>
      </c>
      <c r="Q140" s="127"/>
      <c r="R140" s="127"/>
      <c r="S140" s="127"/>
    </row>
    <row r="141" spans="1:19" ht="17.25" thickBot="1">
      <c r="A141" s="32" t="s">
        <v>218</v>
      </c>
      <c r="B141" s="33">
        <v>31.8</v>
      </c>
      <c r="C141" s="16">
        <v>-6.2500000000000003E-3</v>
      </c>
      <c r="D141" s="15">
        <v>32.1</v>
      </c>
      <c r="E141" s="16">
        <f t="shared" ref="E141:E144" si="74">IF(ISNUMBER(D141), (D141 - $B141) / $B141, "")</f>
        <v>9.4339622641509656E-3</v>
      </c>
      <c r="F141" s="19">
        <f>IF(ISNUMBER(D141), $B145 * E141, "")</f>
        <v>2830.1886792452897</v>
      </c>
      <c r="G141" s="15">
        <v>32</v>
      </c>
      <c r="H141" s="16">
        <f t="shared" ref="H141:H144" si="75">IF(ISNUMBER(G141), (G141 - $B141) / $B141, "")</f>
        <v>6.2893081761006067E-3</v>
      </c>
      <c r="I141" s="19">
        <f>IF(ISNUMBER(G141), $B145 * H141, "")</f>
        <v>1886.7924528301821</v>
      </c>
      <c r="J141" s="15">
        <v>32.1</v>
      </c>
      <c r="K141" s="16">
        <f t="shared" ref="K141:K144" si="76">IF(ISNUMBER(J141), (J141 - $B141) / $B141, "")</f>
        <v>9.4339622641509656E-3</v>
      </c>
      <c r="L141" s="19">
        <f>IF(ISNUMBER(J141), $B145 * K141, "")</f>
        <v>2830.1886792452897</v>
      </c>
      <c r="M141" s="15">
        <v>32.1</v>
      </c>
      <c r="N141" s="16">
        <f t="shared" ref="N141:N144" si="77">IF(ISNUMBER(M141), (M141 - $B141) / $B141, "")</f>
        <v>9.4339622641509656E-3</v>
      </c>
      <c r="O141" s="19">
        <f>IF(ISNUMBER(M141), $B145 * N141, "")</f>
        <v>2830.1886792452897</v>
      </c>
      <c r="Q141" s="127"/>
      <c r="R141" s="127"/>
      <c r="S141" s="127"/>
    </row>
    <row r="142" spans="1:19" ht="17.25" thickBot="1">
      <c r="A142" s="32" t="s">
        <v>172</v>
      </c>
      <c r="B142" s="33">
        <v>28.3</v>
      </c>
      <c r="C142" s="16">
        <v>-1.04895105E-2</v>
      </c>
      <c r="D142" s="15">
        <v>28.2</v>
      </c>
      <c r="E142" s="16">
        <f t="shared" si="74"/>
        <v>-3.5335689045936898E-3</v>
      </c>
      <c r="F142" s="19">
        <f>IF(ISNUMBER(D142), $B145 * E142, "")</f>
        <v>-1060.0706713781069</v>
      </c>
      <c r="G142" s="15">
        <v>28</v>
      </c>
      <c r="H142" s="16">
        <f t="shared" si="75"/>
        <v>-1.0600706713780944E-2</v>
      </c>
      <c r="I142" s="19">
        <f>IF(ISNUMBER(G142), $B145 * H142, "")</f>
        <v>-3180.212014134283</v>
      </c>
      <c r="J142" s="15">
        <v>28.1</v>
      </c>
      <c r="K142" s="16">
        <f t="shared" si="76"/>
        <v>-7.0671378091872539E-3</v>
      </c>
      <c r="L142" s="19">
        <f>IF(ISNUMBER(J142), $B145 * K142, "")</f>
        <v>-2120.1413427561761</v>
      </c>
      <c r="M142" s="15">
        <v>28.2</v>
      </c>
      <c r="N142" s="16">
        <f t="shared" si="77"/>
        <v>-3.5335689045936898E-3</v>
      </c>
      <c r="O142" s="19">
        <f>IF(ISNUMBER(M142), $B145 * N142, "")</f>
        <v>-1060.0706713781069</v>
      </c>
      <c r="Q142" s="127"/>
      <c r="R142" s="127"/>
      <c r="S142" s="127"/>
    </row>
    <row r="143" spans="1:19">
      <c r="A143" s="32" t="s">
        <v>254</v>
      </c>
      <c r="B143" s="33">
        <v>93</v>
      </c>
      <c r="C143" s="16">
        <v>-1.4830508500000001E-2</v>
      </c>
      <c r="D143" s="15">
        <v>92.4</v>
      </c>
      <c r="E143" s="16">
        <f t="shared" si="74"/>
        <v>-6.4516129032257457E-3</v>
      </c>
      <c r="F143" s="19">
        <f>IF(ISNUMBER(D143), $B145 * E143, "")</f>
        <v>-1935.4838709677238</v>
      </c>
      <c r="G143" s="15">
        <v>92.1</v>
      </c>
      <c r="H143" s="16">
        <f t="shared" si="75"/>
        <v>-9.6774193548387708E-3</v>
      </c>
      <c r="I143" s="19">
        <f>IF(ISNUMBER(G143), $B145 * H143, "")</f>
        <v>-2903.2258064516313</v>
      </c>
      <c r="J143" s="15">
        <v>92.4</v>
      </c>
      <c r="K143" s="16">
        <f t="shared" si="76"/>
        <v>-6.4516129032257457E-3</v>
      </c>
      <c r="L143" s="19">
        <f>IF(ISNUMBER(J143), $B145 * K143, "")</f>
        <v>-1935.4838709677238</v>
      </c>
      <c r="M143" s="15">
        <v>92.4</v>
      </c>
      <c r="N143" s="16">
        <f t="shared" si="77"/>
        <v>-6.4516129032257457E-3</v>
      </c>
      <c r="O143" s="19">
        <f>IF(ISNUMBER(M143), $B145 * N143, "")</f>
        <v>-1935.4838709677238</v>
      </c>
      <c r="Q143" s="128"/>
      <c r="R143" s="129"/>
      <c r="S143" s="130"/>
    </row>
    <row r="144" spans="1:19" ht="17.25" thickBot="1">
      <c r="A144" s="34"/>
      <c r="B144" s="35"/>
      <c r="C144" s="22"/>
      <c r="D144" s="21" t="s">
        <v>297</v>
      </c>
      <c r="E144" s="22" t="str">
        <f t="shared" si="74"/>
        <v/>
      </c>
      <c r="F144" s="19" t="str">
        <f>IF(ISNUMBER(D144), $B145 * E144, "")</f>
        <v/>
      </c>
      <c r="G144" s="21" t="s">
        <v>297</v>
      </c>
      <c r="H144" s="22" t="str">
        <f t="shared" si="75"/>
        <v/>
      </c>
      <c r="I144" s="19" t="str">
        <f>IF(ISNUMBER(G144), $B145 * H144, "")</f>
        <v/>
      </c>
      <c r="J144" s="21" t="s">
        <v>297</v>
      </c>
      <c r="K144" s="22" t="str">
        <f t="shared" si="76"/>
        <v/>
      </c>
      <c r="L144" s="19" t="str">
        <f>IF(ISNUMBER(J144), $B145 * K144, "")</f>
        <v/>
      </c>
      <c r="M144" s="21" t="s">
        <v>297</v>
      </c>
      <c r="N144" s="22" t="str">
        <f t="shared" si="77"/>
        <v/>
      </c>
      <c r="O144" s="19" t="str">
        <f>IF(ISNUMBER(M144), $B145 * N144, "")</f>
        <v/>
      </c>
      <c r="Q144" s="131"/>
      <c r="R144" s="132"/>
      <c r="S144" s="133"/>
    </row>
    <row r="145" spans="1:19" ht="17.25" thickBot="1">
      <c r="A145" s="27" t="s">
        <v>42</v>
      </c>
      <c r="B145" s="137">
        <f>$B$37</f>
        <v>300000</v>
      </c>
      <c r="C145" s="138"/>
      <c r="D145" s="27" t="s">
        <v>43</v>
      </c>
      <c r="E145" s="28">
        <f>IF(COUNT(E125:E144), SUM(E125:E144) / COUNT(E125:E144), 0)</f>
        <v>1.7011904959877054E-2</v>
      </c>
      <c r="F145" s="29">
        <f>SUM(F125:F144)</f>
        <v>96967.858271299192</v>
      </c>
      <c r="G145" s="27" t="s">
        <v>43</v>
      </c>
      <c r="H145" s="28">
        <f>IF(COUNT(H125:H144), SUM(H125:H144) / COUNT(H125:H144), 0)</f>
        <v>1.0964410328502251E-2</v>
      </c>
      <c r="I145" s="29">
        <f>SUM(I125:I144)</f>
        <v>62497.138872462834</v>
      </c>
      <c r="J145" s="27" t="s">
        <v>43</v>
      </c>
      <c r="K145" s="28">
        <f>IF(COUNT(K125:K144), SUM(K125:K144) / COUNT(K125:K144), 0)</f>
        <v>1.6520727415929037E-2</v>
      </c>
      <c r="L145" s="29">
        <f>SUM(L125:L144)</f>
        <v>94168.146270795492</v>
      </c>
      <c r="M145" s="27" t="s">
        <v>43</v>
      </c>
      <c r="N145" s="28">
        <f>IF(COUNT(N125:N144), SUM(N125:N144) / COUNT(N125:N144), 0)</f>
        <v>1.6121951928549837E-2</v>
      </c>
      <c r="O145" s="29">
        <f>SUM(O125:O144)</f>
        <v>91895.125992734043</v>
      </c>
      <c r="Q145" s="134"/>
      <c r="R145" s="135"/>
      <c r="S145" s="136"/>
    </row>
    <row r="147" spans="1:19" ht="17.25" thickBot="1"/>
    <row r="148" spans="1:19" ht="17.25" thickBot="1">
      <c r="A148" s="149" t="s">
        <v>289</v>
      </c>
      <c r="B148" s="150"/>
      <c r="C148" s="150"/>
      <c r="D148" s="150"/>
      <c r="E148" s="150"/>
      <c r="F148" s="150"/>
      <c r="G148" s="150"/>
      <c r="H148" s="150"/>
      <c r="I148" s="150"/>
      <c r="J148" s="150"/>
      <c r="K148" s="150"/>
      <c r="L148" s="150"/>
      <c r="M148" s="150"/>
      <c r="N148" s="150"/>
      <c r="O148" s="151"/>
      <c r="Q148" s="148"/>
      <c r="R148" s="148"/>
      <c r="S148" s="148"/>
    </row>
    <row r="149" spans="1:19" ht="17.25" thickBot="1">
      <c r="A149" s="110" t="s">
        <v>35</v>
      </c>
      <c r="B149" s="149" t="s">
        <v>36</v>
      </c>
      <c r="C149" s="151"/>
      <c r="D149" s="149" t="s">
        <v>37</v>
      </c>
      <c r="E149" s="150"/>
      <c r="F149" s="151"/>
      <c r="G149" s="152">
        <f>_xlfn.IFNA(VLOOKUP(B149, 현재가테이블!$B$2:$D$200, 2, FALSE), "-")</f>
        <v>68203000</v>
      </c>
      <c r="H149" s="153"/>
      <c r="I149" s="154"/>
      <c r="J149" s="149" t="s">
        <v>38</v>
      </c>
      <c r="K149" s="150"/>
      <c r="L149" s="151"/>
      <c r="M149" s="155">
        <f>_xlfn.IFNA(VLOOKUP(B149, 현재가테이블!$B$2:$D$200, 3, FALSE), "-")</f>
        <v>-1.22521687E-2</v>
      </c>
      <c r="N149" s="156"/>
      <c r="O149" s="157"/>
      <c r="Q149" s="148"/>
      <c r="R149" s="148"/>
      <c r="S149" s="148"/>
    </row>
    <row r="150" spans="1:19" ht="17.25" thickBot="1">
      <c r="A150" s="158" t="s">
        <v>39</v>
      </c>
      <c r="B150" s="159" t="str">
        <f>TEXT($G$1, "[$-ko-KR]yyyy-mm-dd(ddd) ") &amp; "오전 00:00"</f>
        <v>2021-05-01(토) 오전 00:00</v>
      </c>
      <c r="C150" s="160"/>
      <c r="D150" s="161" t="str">
        <f>TEXT($G$1, "[$-ko-KR]yyyy-mm-dd(ddd) ") &amp; "오후 14:00"</f>
        <v>2021-05-01(토) 오후 14:00</v>
      </c>
      <c r="E150" s="162"/>
      <c r="F150" s="163"/>
      <c r="G150" s="161" t="str">
        <f>TEXT($G$1, "[$-ko-KR]yyyy-mm-dd(ddd) ") &amp; "오후 19:00"</f>
        <v>2021-05-01(토) 오후 19:00</v>
      </c>
      <c r="H150" s="162"/>
      <c r="I150" s="163"/>
      <c r="J150" s="164" t="str">
        <f>TEXT($G$1, "[$-ko-KR]yyyy-mm-dd(ddd) ") &amp; "오후 21:00"</f>
        <v>2021-05-01(토) 오후 21:00</v>
      </c>
      <c r="K150" s="164"/>
      <c r="L150" s="164"/>
      <c r="M150" s="161" t="str">
        <f>TEXT($G$1+1, "[$-ko-KR]yyyy-mm-dd(ddd) ") &amp; "오전 00:00"</f>
        <v>2021-05-02(일) 오전 00:00</v>
      </c>
      <c r="N150" s="162"/>
      <c r="O150" s="163"/>
      <c r="Q150" s="148"/>
      <c r="R150" s="148"/>
      <c r="S150" s="148"/>
    </row>
    <row r="151" spans="1:19" ht="17.25" thickBot="1">
      <c r="A151" s="158"/>
      <c r="B151" s="2" t="s">
        <v>37</v>
      </c>
      <c r="C151" s="10" t="s">
        <v>38</v>
      </c>
      <c r="D151" s="2" t="s">
        <v>37</v>
      </c>
      <c r="E151" s="10" t="s">
        <v>40</v>
      </c>
      <c r="F151" s="11" t="s">
        <v>41</v>
      </c>
      <c r="G151" s="2" t="s">
        <v>37</v>
      </c>
      <c r="H151" s="10" t="s">
        <v>40</v>
      </c>
      <c r="I151" s="11" t="s">
        <v>41</v>
      </c>
      <c r="J151" s="10" t="s">
        <v>37</v>
      </c>
      <c r="K151" s="10" t="s">
        <v>40</v>
      </c>
      <c r="L151" s="109" t="s">
        <v>41</v>
      </c>
      <c r="M151" s="2" t="s">
        <v>37</v>
      </c>
      <c r="N151" s="10" t="s">
        <v>40</v>
      </c>
      <c r="O151" s="72" t="s">
        <v>41</v>
      </c>
      <c r="Q151" s="127"/>
      <c r="R151" s="127"/>
      <c r="S151" s="127"/>
    </row>
    <row r="152" spans="1:19" ht="17.25" thickBot="1">
      <c r="A152" s="30" t="s">
        <v>216</v>
      </c>
      <c r="B152" s="31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7">
        <f>IF(ISNUMBER(D152), $B172 * E152, "")</f>
        <v>23437.5</v>
      </c>
      <c r="G152" s="13">
        <v>487</v>
      </c>
      <c r="H152" s="14">
        <f>IF(ISNUMBER(G152), (G152 - $B152) / $B152, "")</f>
        <v>8.7053571428571425E-2</v>
      </c>
      <c r="I152" s="17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7">
        <f>IF(ISNUMBER(J152), $B172 * K152, "")</f>
        <v>36830.357142857138</v>
      </c>
      <c r="M152" s="13">
        <v>501</v>
      </c>
      <c r="N152" s="14">
        <f>IF(ISNUMBER(M152), (M152 - $B152) / $B152, "")</f>
        <v>0.11830357142857142</v>
      </c>
      <c r="O152" s="17">
        <f>IF(ISNUMBER(M152), $B172 * N152, "")</f>
        <v>35491.071428571428</v>
      </c>
      <c r="Q152" s="148"/>
      <c r="R152" s="148"/>
      <c r="S152" s="148"/>
    </row>
    <row r="153" spans="1:19" ht="17.25" thickBot="1">
      <c r="A153" s="32" t="s">
        <v>212</v>
      </c>
      <c r="B153" s="33">
        <v>156</v>
      </c>
      <c r="C153" s="16">
        <v>6.4516128999999997E-3</v>
      </c>
      <c r="D153" s="15">
        <v>158</v>
      </c>
      <c r="E153" s="16">
        <f t="shared" ref="E153:E156" si="78">IF(ISNUMBER(D153), (D153 - $B153) / $B153, "")</f>
        <v>1.282051282051282E-2</v>
      </c>
      <c r="F153" s="19">
        <f>IF(ISNUMBER(D153), $B172 * E153, "")</f>
        <v>3846.1538461538462</v>
      </c>
      <c r="G153" s="15">
        <v>158</v>
      </c>
      <c r="H153" s="16">
        <f t="shared" ref="H153:H156" si="79">IF(ISNUMBER(G153), (G153 - $B153) / $B153, "")</f>
        <v>1.282051282051282E-2</v>
      </c>
      <c r="I153" s="19">
        <f>IF(ISNUMBER(G153), $B172 * H153, "")</f>
        <v>3846.1538461538462</v>
      </c>
      <c r="J153" s="15">
        <v>161</v>
      </c>
      <c r="K153" s="16">
        <f t="shared" ref="K153:K156" si="80">IF(ISNUMBER(J153), (J153 - $B153) / $B153, "")</f>
        <v>3.2051282051282048E-2</v>
      </c>
      <c r="L153" s="19">
        <f>IF(ISNUMBER(J153), $B172 * K153, "")</f>
        <v>9615.3846153846152</v>
      </c>
      <c r="M153" s="15">
        <v>164</v>
      </c>
      <c r="N153" s="16">
        <f t="shared" ref="N153:N156" si="81">IF(ISNUMBER(M153), (M153 - $B153) / $B153, "")</f>
        <v>5.128205128205128E-2</v>
      </c>
      <c r="O153" s="19">
        <f>IF(ISNUMBER(M153), $B172 * N153, "")</f>
        <v>15384.615384615385</v>
      </c>
      <c r="Q153" s="148"/>
      <c r="R153" s="148"/>
      <c r="S153" s="148"/>
    </row>
    <row r="154" spans="1:19" ht="17.25" thickBot="1">
      <c r="A154" s="32" t="s">
        <v>200</v>
      </c>
      <c r="B154" s="33">
        <v>406</v>
      </c>
      <c r="C154" s="16">
        <v>4.9504950000000001E-3</v>
      </c>
      <c r="D154" s="15">
        <v>413</v>
      </c>
      <c r="E154" s="16">
        <f t="shared" si="78"/>
        <v>1.7241379310344827E-2</v>
      </c>
      <c r="F154" s="19">
        <f>IF(ISNUMBER(D154), $B172 * E154, "")</f>
        <v>5172.4137931034484</v>
      </c>
      <c r="G154" s="15">
        <v>407</v>
      </c>
      <c r="H154" s="16">
        <f t="shared" si="79"/>
        <v>2.4630541871921183E-3</v>
      </c>
      <c r="I154" s="19">
        <f>IF(ISNUMBER(G154), $B172 * H154, "")</f>
        <v>738.91625615763553</v>
      </c>
      <c r="J154" s="15">
        <v>410</v>
      </c>
      <c r="K154" s="16">
        <f t="shared" si="80"/>
        <v>9.852216748768473E-3</v>
      </c>
      <c r="L154" s="19">
        <f>IF(ISNUMBER(J154), $B172 * K154, "")</f>
        <v>2955.6650246305421</v>
      </c>
      <c r="M154" s="15">
        <v>409</v>
      </c>
      <c r="N154" s="16">
        <f t="shared" si="81"/>
        <v>7.3891625615763543E-3</v>
      </c>
      <c r="O154" s="19">
        <f>IF(ISNUMBER(M154), $B172 * N154, "")</f>
        <v>2216.7487684729062</v>
      </c>
      <c r="Q154" s="127"/>
      <c r="R154" s="127"/>
      <c r="S154" s="127"/>
    </row>
    <row r="155" spans="1:19" ht="17.25" thickBot="1">
      <c r="A155" s="32" t="s">
        <v>226</v>
      </c>
      <c r="B155" s="33">
        <v>530</v>
      </c>
      <c r="C155" s="16">
        <v>3.7878788E-3</v>
      </c>
      <c r="D155" s="15">
        <v>559</v>
      </c>
      <c r="E155" s="16">
        <f t="shared" si="78"/>
        <v>5.4716981132075473E-2</v>
      </c>
      <c r="F155" s="19">
        <f>IF(ISNUMBER(D155), $B172 * E155, "")</f>
        <v>16415.094339622643</v>
      </c>
      <c r="G155" s="15">
        <v>563</v>
      </c>
      <c r="H155" s="16">
        <f t="shared" si="79"/>
        <v>6.2264150943396226E-2</v>
      </c>
      <c r="I155" s="19">
        <f>IF(ISNUMBER(G155), $B172 * H155, "")</f>
        <v>18679.245283018867</v>
      </c>
      <c r="J155" s="15">
        <v>562</v>
      </c>
      <c r="K155" s="16">
        <f t="shared" si="80"/>
        <v>6.0377358490566038E-2</v>
      </c>
      <c r="L155" s="19">
        <f>IF(ISNUMBER(J155), $B172 * K155, "")</f>
        <v>18113.207547169812</v>
      </c>
      <c r="M155" s="15">
        <v>563</v>
      </c>
      <c r="N155" s="16">
        <f t="shared" si="81"/>
        <v>6.2264150943396226E-2</v>
      </c>
      <c r="O155" s="19">
        <f>IF(ISNUMBER(M155), $B172 * N155, "")</f>
        <v>18679.245283018867</v>
      </c>
      <c r="Q155" s="127"/>
      <c r="R155" s="127"/>
      <c r="S155" s="127"/>
    </row>
    <row r="156" spans="1:19" ht="17.25" thickBot="1">
      <c r="A156" s="34" t="s">
        <v>284</v>
      </c>
      <c r="B156" s="35">
        <v>465</v>
      </c>
      <c r="C156" s="22">
        <v>0</v>
      </c>
      <c r="D156" s="21">
        <v>469</v>
      </c>
      <c r="E156" s="22">
        <f t="shared" si="78"/>
        <v>8.6021505376344086E-3</v>
      </c>
      <c r="F156" s="23">
        <f>IF(ISNUMBER(D156), $B172 * E156, "")</f>
        <v>2580.6451612903224</v>
      </c>
      <c r="G156" s="21">
        <v>468</v>
      </c>
      <c r="H156" s="22">
        <f t="shared" si="79"/>
        <v>6.4516129032258064E-3</v>
      </c>
      <c r="I156" s="23">
        <f>IF(ISNUMBER(G156), $B172 * H156, "")</f>
        <v>1935.483870967742</v>
      </c>
      <c r="J156" s="21">
        <v>470</v>
      </c>
      <c r="K156" s="22">
        <f t="shared" si="80"/>
        <v>1.0752688172043012E-2</v>
      </c>
      <c r="L156" s="23">
        <f>IF(ISNUMBER(J156), $B172 * K156, "")</f>
        <v>3225.8064516129034</v>
      </c>
      <c r="M156" s="21">
        <v>470</v>
      </c>
      <c r="N156" s="22">
        <f t="shared" si="81"/>
        <v>1.0752688172043012E-2</v>
      </c>
      <c r="O156" s="23">
        <f>IF(ISNUMBER(M156), $B172 * N156, "")</f>
        <v>3225.8064516129034</v>
      </c>
      <c r="Q156" s="127"/>
      <c r="R156" s="127"/>
      <c r="S156" s="127"/>
    </row>
    <row r="157" spans="1:19" ht="17.25" thickBot="1">
      <c r="A157" s="32" t="s">
        <v>282</v>
      </c>
      <c r="B157" s="36">
        <v>182</v>
      </c>
      <c r="C157" s="37">
        <v>0</v>
      </c>
      <c r="D157" s="15">
        <v>181</v>
      </c>
      <c r="E157" s="37">
        <f>IF(ISNUMBER(D157), (D157 - $B157) / $B157, "")</f>
        <v>-5.4945054945054949E-3</v>
      </c>
      <c r="F157" s="19">
        <f>IF(ISNUMBER(D157), $B172 * E157, "")</f>
        <v>-1648.3516483516485</v>
      </c>
      <c r="G157" s="15">
        <v>182</v>
      </c>
      <c r="H157" s="37">
        <f>IF(ISNUMBER(G157), (G157 - $B157) / $B157, "")</f>
        <v>0</v>
      </c>
      <c r="I157" s="19">
        <f>IF(ISNUMBER(G157), $B172 * H157, "")</f>
        <v>0</v>
      </c>
      <c r="J157" s="15">
        <v>182</v>
      </c>
      <c r="K157" s="37">
        <f>IF(ISNUMBER(J157), (J157 - $B157) / $B157, "")</f>
        <v>0</v>
      </c>
      <c r="L157" s="19">
        <f>IF(ISNUMBER(J157), $B172 * K157, "")</f>
        <v>0</v>
      </c>
      <c r="M157" s="15">
        <v>184</v>
      </c>
      <c r="N157" s="37">
        <f>IF(ISNUMBER(M157), (M157 - $B157) / $B157, "")</f>
        <v>1.098901098901099E-2</v>
      </c>
      <c r="O157" s="19">
        <f>IF(ISNUMBER(M157), $B172 * N157, "")</f>
        <v>3296.7032967032969</v>
      </c>
      <c r="Q157" s="127"/>
      <c r="R157" s="127"/>
      <c r="S157" s="127"/>
    </row>
    <row r="158" spans="1:19" ht="17.25" thickBot="1">
      <c r="A158" s="32" t="s">
        <v>264</v>
      </c>
      <c r="B158" s="33">
        <v>182</v>
      </c>
      <c r="C158" s="16">
        <v>0</v>
      </c>
      <c r="D158" s="15">
        <v>183</v>
      </c>
      <c r="E158" s="16">
        <f t="shared" ref="E158:E161" si="82">IF(ISNUMBER(D158), (D158 - $B158) / $B158, "")</f>
        <v>5.4945054945054949E-3</v>
      </c>
      <c r="F158" s="19">
        <f>IF(ISNUMBER(D158), $B172 * E158, "")</f>
        <v>1648.3516483516485</v>
      </c>
      <c r="G158" s="15">
        <v>181</v>
      </c>
      <c r="H158" s="16">
        <f t="shared" ref="H158:H161" si="83">IF(ISNUMBER(G158), (G158 - $B158) / $B158, "")</f>
        <v>-5.4945054945054949E-3</v>
      </c>
      <c r="I158" s="19">
        <f>IF(ISNUMBER(G158), $B172 * H158, "")</f>
        <v>-1648.3516483516485</v>
      </c>
      <c r="J158" s="15">
        <v>184</v>
      </c>
      <c r="K158" s="16">
        <f t="shared" ref="K158:K161" si="84">IF(ISNUMBER(J158), (J158 - $B158) / $B158, "")</f>
        <v>1.098901098901099E-2</v>
      </c>
      <c r="L158" s="19">
        <f>IF(ISNUMBER(J158), $B172 * K158, "")</f>
        <v>3296.7032967032969</v>
      </c>
      <c r="M158" s="15">
        <v>183</v>
      </c>
      <c r="N158" s="16">
        <f t="shared" ref="N158:N161" si="85">IF(ISNUMBER(M158), (M158 - $B158) / $B158, "")</f>
        <v>5.4945054945054949E-3</v>
      </c>
      <c r="O158" s="19">
        <f>IF(ISNUMBER(M158), $B172 * N158, "")</f>
        <v>1648.3516483516485</v>
      </c>
      <c r="Q158" s="127"/>
      <c r="R158" s="127"/>
      <c r="S158" s="127"/>
    </row>
    <row r="159" spans="1:19" ht="17.25" thickBot="1">
      <c r="A159" s="32" t="s">
        <v>256</v>
      </c>
      <c r="B159" s="33">
        <v>267</v>
      </c>
      <c r="C159" s="16">
        <v>0</v>
      </c>
      <c r="D159" s="15">
        <v>272</v>
      </c>
      <c r="E159" s="16">
        <f t="shared" si="82"/>
        <v>1.8726591760299626E-2</v>
      </c>
      <c r="F159" s="19">
        <f>IF(ISNUMBER(D159), $B172 * E159, "")</f>
        <v>5617.9775280898875</v>
      </c>
      <c r="G159" s="15">
        <v>270</v>
      </c>
      <c r="H159" s="16">
        <f t="shared" si="83"/>
        <v>1.1235955056179775E-2</v>
      </c>
      <c r="I159" s="19">
        <f>IF(ISNUMBER(G159), $B172 * H159, "")</f>
        <v>3370.7865168539324</v>
      </c>
      <c r="J159" s="15">
        <v>273</v>
      </c>
      <c r="K159" s="16">
        <f t="shared" si="84"/>
        <v>2.247191011235955E-2</v>
      </c>
      <c r="L159" s="19">
        <f>IF(ISNUMBER(J159), $B172 * K159, "")</f>
        <v>6741.5730337078649</v>
      </c>
      <c r="M159" s="15">
        <v>270</v>
      </c>
      <c r="N159" s="16">
        <f t="shared" si="85"/>
        <v>1.1235955056179775E-2</v>
      </c>
      <c r="O159" s="19">
        <f>IF(ISNUMBER(M159), $B172 * N159, "")</f>
        <v>3370.7865168539324</v>
      </c>
      <c r="Q159" s="127"/>
      <c r="R159" s="127"/>
      <c r="S159" s="127"/>
    </row>
    <row r="160" spans="1:19" ht="17.25" thickBot="1">
      <c r="A160" s="32" t="s">
        <v>260</v>
      </c>
      <c r="B160" s="33">
        <v>134</v>
      </c>
      <c r="C160" s="16">
        <v>0</v>
      </c>
      <c r="D160" s="15">
        <v>137</v>
      </c>
      <c r="E160" s="16">
        <f t="shared" si="82"/>
        <v>2.2388059701492536E-2</v>
      </c>
      <c r="F160" s="19">
        <f>IF(ISNUMBER(D160), $B172 * E160, "")</f>
        <v>6716.4179104477607</v>
      </c>
      <c r="G160" s="15">
        <v>136</v>
      </c>
      <c r="H160" s="16">
        <f t="shared" si="83"/>
        <v>1.4925373134328358E-2</v>
      </c>
      <c r="I160" s="19">
        <f>IF(ISNUMBER(G160), $B172 * H160, "")</f>
        <v>4477.6119402985078</v>
      </c>
      <c r="J160" s="15">
        <v>136</v>
      </c>
      <c r="K160" s="16">
        <f t="shared" si="84"/>
        <v>1.4925373134328358E-2</v>
      </c>
      <c r="L160" s="19">
        <f>IF(ISNUMBER(J160), $B172 * K160, "")</f>
        <v>4477.6119402985078</v>
      </c>
      <c r="M160" s="15">
        <v>135</v>
      </c>
      <c r="N160" s="16">
        <f t="shared" si="85"/>
        <v>7.462686567164179E-3</v>
      </c>
      <c r="O160" s="19">
        <f>IF(ISNUMBER(M160), $B172 * N160, "")</f>
        <v>2238.8059701492539</v>
      </c>
      <c r="Q160" s="38"/>
      <c r="R160" s="38"/>
    </row>
    <row r="161" spans="1:19" ht="17.25" thickBot="1">
      <c r="A161" s="34" t="s">
        <v>230</v>
      </c>
      <c r="B161" s="35">
        <v>182</v>
      </c>
      <c r="C161" s="22">
        <v>0</v>
      </c>
      <c r="D161" s="21">
        <v>182</v>
      </c>
      <c r="E161" s="22">
        <f t="shared" si="82"/>
        <v>0</v>
      </c>
      <c r="F161" s="19">
        <f>IF(ISNUMBER(D161), $B172 * E161, "")</f>
        <v>0</v>
      </c>
      <c r="G161" s="21">
        <v>182</v>
      </c>
      <c r="H161" s="22">
        <f t="shared" si="83"/>
        <v>0</v>
      </c>
      <c r="I161" s="19">
        <f>IF(ISNUMBER(G161), $B172 * H161, "")</f>
        <v>0</v>
      </c>
      <c r="J161" s="21">
        <v>185</v>
      </c>
      <c r="K161" s="22">
        <f t="shared" si="84"/>
        <v>1.6483516483516484E-2</v>
      </c>
      <c r="L161" s="19">
        <f>IF(ISNUMBER(J161), $B172 * K161, "")</f>
        <v>4945.0549450549452</v>
      </c>
      <c r="M161" s="21">
        <v>186</v>
      </c>
      <c r="N161" s="22">
        <f t="shared" si="85"/>
        <v>2.197802197802198E-2</v>
      </c>
      <c r="O161" s="19">
        <f>IF(ISNUMBER(M161), $B172 * N161, "")</f>
        <v>6593.4065934065939</v>
      </c>
      <c r="Q161" s="139"/>
      <c r="R161" s="140"/>
      <c r="S161" s="141"/>
    </row>
    <row r="162" spans="1:19">
      <c r="A162" s="30" t="s">
        <v>238</v>
      </c>
      <c r="B162" s="31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7">
        <f>IF(ISNUMBER(D162), $B172 * E162, "")</f>
        <v>5787.7813504823152</v>
      </c>
      <c r="G162" s="13">
        <v>314</v>
      </c>
      <c r="H162" s="14">
        <f>IF(ISNUMBER(G162), (G162 - $B162) / $B162, "")</f>
        <v>9.6463022508038593E-3</v>
      </c>
      <c r="I162" s="17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7">
        <f>IF(ISNUMBER(J162), $B172 * K162, "")</f>
        <v>3858.5209003215432</v>
      </c>
      <c r="M162" s="13">
        <v>315</v>
      </c>
      <c r="N162" s="14">
        <f>IF(ISNUMBER(M162), (M162 - $B162) / $B162, "")</f>
        <v>1.2861736334405145E-2</v>
      </c>
      <c r="O162" s="17">
        <f>IF(ISNUMBER(M162), $B172 * N162, "")</f>
        <v>3858.5209003215432</v>
      </c>
      <c r="Q162" s="142"/>
      <c r="R162" s="143"/>
      <c r="S162" s="144"/>
    </row>
    <row r="163" spans="1:19" ht="17.25" thickBot="1">
      <c r="A163" s="32" t="s">
        <v>250</v>
      </c>
      <c r="B163" s="33">
        <v>226</v>
      </c>
      <c r="C163" s="16">
        <v>-4.4052863000000001E-3</v>
      </c>
      <c r="D163" s="15">
        <v>257</v>
      </c>
      <c r="E163" s="16">
        <f t="shared" ref="E163:E166" si="86">IF(ISNUMBER(D163), (D163 - $B163) / $B163, "")</f>
        <v>0.13716814159292035</v>
      </c>
      <c r="F163" s="19">
        <f>IF(ISNUMBER(D163), $B172 * E163, "")</f>
        <v>41150.442477876102</v>
      </c>
      <c r="G163" s="15">
        <v>257</v>
      </c>
      <c r="H163" s="16">
        <f t="shared" ref="H163:H166" si="87">IF(ISNUMBER(G163), (G163 - $B163) / $B163, "")</f>
        <v>0.13716814159292035</v>
      </c>
      <c r="I163" s="19">
        <f>IF(ISNUMBER(G163), $B172 * H163, "")</f>
        <v>41150.442477876102</v>
      </c>
      <c r="J163" s="15">
        <v>262</v>
      </c>
      <c r="K163" s="16">
        <f t="shared" ref="K163:K166" si="88">IF(ISNUMBER(J163), (J163 - $B163) / $B163, "")</f>
        <v>0.15929203539823009</v>
      </c>
      <c r="L163" s="19">
        <f>IF(ISNUMBER(J163), $B172 * K163, "")</f>
        <v>47787.610619469029</v>
      </c>
      <c r="M163" s="15">
        <v>255</v>
      </c>
      <c r="N163" s="16">
        <f t="shared" ref="N163:N166" si="89">IF(ISNUMBER(M163), (M163 - $B163) / $B163, "")</f>
        <v>0.12831858407079647</v>
      </c>
      <c r="O163" s="19">
        <f>IF(ISNUMBER(M163), $B172 * N163, "")</f>
        <v>38495.575221238942</v>
      </c>
      <c r="Q163" s="145"/>
      <c r="R163" s="146"/>
      <c r="S163" s="147"/>
    </row>
    <row r="164" spans="1:19" ht="17.25" thickBot="1">
      <c r="A164" s="32" t="s">
        <v>88</v>
      </c>
      <c r="B164" s="33">
        <v>667</v>
      </c>
      <c r="C164" s="16">
        <v>-4.4776119000000001E-3</v>
      </c>
      <c r="D164" s="15">
        <v>661</v>
      </c>
      <c r="E164" s="16">
        <f t="shared" si="86"/>
        <v>-8.9955022488755615E-3</v>
      </c>
      <c r="F164" s="19">
        <f>IF(ISNUMBER(D164), $B172 * E164, "")</f>
        <v>-2698.6506746626683</v>
      </c>
      <c r="G164" s="15">
        <v>657</v>
      </c>
      <c r="H164" s="16">
        <f t="shared" si="87"/>
        <v>-1.4992503748125937E-2</v>
      </c>
      <c r="I164" s="19">
        <f>IF(ISNUMBER(G164), $B172 * H164, "")</f>
        <v>-4497.7511244377811</v>
      </c>
      <c r="J164" s="15">
        <v>660</v>
      </c>
      <c r="K164" s="16">
        <f t="shared" si="88"/>
        <v>-1.0494752623688156E-2</v>
      </c>
      <c r="L164" s="19">
        <f>IF(ISNUMBER(J164), $B172 * K164, "")</f>
        <v>-3148.4257871064469</v>
      </c>
      <c r="M164" s="15">
        <v>653</v>
      </c>
      <c r="N164" s="16">
        <f t="shared" si="89"/>
        <v>-2.0989505247376312E-2</v>
      </c>
      <c r="O164" s="19">
        <f>IF(ISNUMBER(M164), $B172 * N164, "")</f>
        <v>-6296.8515742128939</v>
      </c>
      <c r="Q164" s="127"/>
      <c r="R164" s="127"/>
      <c r="S164" s="127"/>
    </row>
    <row r="165" spans="1:19" ht="17.25" thickBot="1">
      <c r="A165" s="32" t="s">
        <v>202</v>
      </c>
      <c r="B165" s="33">
        <v>215</v>
      </c>
      <c r="C165" s="16">
        <v>-4.6296295999999999E-3</v>
      </c>
      <c r="D165" s="15">
        <v>219</v>
      </c>
      <c r="E165" s="16">
        <f t="shared" si="86"/>
        <v>1.8604651162790697E-2</v>
      </c>
      <c r="F165" s="19">
        <f>IF(ISNUMBER(D165), $B172 * E165, "")</f>
        <v>5581.395348837209</v>
      </c>
      <c r="G165" s="15">
        <v>216</v>
      </c>
      <c r="H165" s="16">
        <f t="shared" si="87"/>
        <v>4.6511627906976744E-3</v>
      </c>
      <c r="I165" s="19">
        <f>IF(ISNUMBER(G165), $B172 * H165, "")</f>
        <v>1395.3488372093022</v>
      </c>
      <c r="J165" s="15">
        <v>219</v>
      </c>
      <c r="K165" s="16">
        <f t="shared" si="88"/>
        <v>1.8604651162790697E-2</v>
      </c>
      <c r="L165" s="19">
        <f>IF(ISNUMBER(J165), $B172 * K165, "")</f>
        <v>5581.395348837209</v>
      </c>
      <c r="M165" s="15">
        <v>219</v>
      </c>
      <c r="N165" s="16">
        <f t="shared" si="89"/>
        <v>1.8604651162790697E-2</v>
      </c>
      <c r="O165" s="19">
        <f>IF(ISNUMBER(M165), $B172 * N165, "")</f>
        <v>5581.395348837209</v>
      </c>
      <c r="Q165" s="148"/>
      <c r="R165" s="148"/>
      <c r="S165" s="148"/>
    </row>
    <row r="166" spans="1:19" ht="17.25" thickBot="1">
      <c r="A166" s="34" t="s">
        <v>240</v>
      </c>
      <c r="B166" s="35">
        <v>209</v>
      </c>
      <c r="C166" s="22">
        <v>-4.7619048000000002E-3</v>
      </c>
      <c r="D166" s="21">
        <v>208</v>
      </c>
      <c r="E166" s="22">
        <f t="shared" si="86"/>
        <v>-4.7846889952153108E-3</v>
      </c>
      <c r="F166" s="23">
        <f>IF(ISNUMBER(D166), $B172 * E166, "")</f>
        <v>-1435.4066985645932</v>
      </c>
      <c r="G166" s="21">
        <v>208</v>
      </c>
      <c r="H166" s="22">
        <f t="shared" si="87"/>
        <v>-4.7846889952153108E-3</v>
      </c>
      <c r="I166" s="23">
        <f>IF(ISNUMBER(G166), $B172 * H166, "")</f>
        <v>-1435.4066985645932</v>
      </c>
      <c r="J166" s="21">
        <v>210</v>
      </c>
      <c r="K166" s="22">
        <f t="shared" si="88"/>
        <v>4.7846889952153108E-3</v>
      </c>
      <c r="L166" s="23">
        <f>IF(ISNUMBER(J166), $B172 * K166, "")</f>
        <v>1435.4066985645932</v>
      </c>
      <c r="M166" s="21">
        <v>214</v>
      </c>
      <c r="N166" s="22">
        <f t="shared" si="89"/>
        <v>2.3923444976076555E-2</v>
      </c>
      <c r="O166" s="23">
        <f>IF(ISNUMBER(M166), $B172 * N166, "")</f>
        <v>7177.0334928229668</v>
      </c>
      <c r="Q166" s="148"/>
      <c r="R166" s="148"/>
      <c r="S166" s="148"/>
    </row>
    <row r="167" spans="1:19" ht="17.25" thickBot="1">
      <c r="A167" s="32" t="s">
        <v>258</v>
      </c>
      <c r="B167" s="36">
        <v>751</v>
      </c>
      <c r="C167" s="37">
        <v>-7.9260237999999993E-3</v>
      </c>
      <c r="D167" s="15">
        <v>747</v>
      </c>
      <c r="E167" s="37">
        <f>IF(ISNUMBER(D167), (D167 - $B167) / $B167, "")</f>
        <v>-5.3262316910785623E-3</v>
      </c>
      <c r="F167" s="19">
        <f>IF(ISNUMBER(D167), $B172 * E167, "")</f>
        <v>-1597.8695073235688</v>
      </c>
      <c r="G167" s="15">
        <v>746</v>
      </c>
      <c r="H167" s="37">
        <f>IF(ISNUMBER(G167), (G167 - $B167) / $B167, "")</f>
        <v>-6.6577896138482022E-3</v>
      </c>
      <c r="I167" s="19">
        <f>IF(ISNUMBER(G167), $B172 * H167, "")</f>
        <v>-1997.3368841544607</v>
      </c>
      <c r="J167" s="15">
        <v>748</v>
      </c>
      <c r="K167" s="37">
        <f>IF(ISNUMBER(J167), (J167 - $B167) / $B167, "")</f>
        <v>-3.9946737683089215E-3</v>
      </c>
      <c r="L167" s="19">
        <f>IF(ISNUMBER(J167), $B172 * K167, "")</f>
        <v>-1198.4021304926764</v>
      </c>
      <c r="M167" s="15">
        <v>751</v>
      </c>
      <c r="N167" s="37">
        <f>IF(ISNUMBER(M167), (M167 - $B167) / $B167, "")</f>
        <v>0</v>
      </c>
      <c r="O167" s="19">
        <f>IF(ISNUMBER(M167), $B172 * N167, "")</f>
        <v>0</v>
      </c>
      <c r="Q167" s="127"/>
      <c r="R167" s="127"/>
      <c r="S167" s="127"/>
    </row>
    <row r="168" spans="1:19" ht="17.25" thickBot="1">
      <c r="A168" s="32" t="s">
        <v>246</v>
      </c>
      <c r="B168" s="33">
        <v>438</v>
      </c>
      <c r="C168" s="16">
        <v>-9.0497738000000008E-3</v>
      </c>
      <c r="D168" s="15">
        <v>443</v>
      </c>
      <c r="E168" s="16">
        <f t="shared" ref="E168:E171" si="90">IF(ISNUMBER(D168), (D168 - $B168) / $B168, "")</f>
        <v>1.1415525114155251E-2</v>
      </c>
      <c r="F168" s="19">
        <f>IF(ISNUMBER(D168), $B172 * E168, "")</f>
        <v>3424.6575342465753</v>
      </c>
      <c r="G168" s="15">
        <v>441</v>
      </c>
      <c r="H168" s="16">
        <f t="shared" ref="H168:H171" si="91">IF(ISNUMBER(G168), (G168 - $B168) / $B168, "")</f>
        <v>6.8493150684931503E-3</v>
      </c>
      <c r="I168" s="19">
        <f>IF(ISNUMBER(G168), $B172 * H168, "")</f>
        <v>2054.794520547945</v>
      </c>
      <c r="J168" s="15">
        <v>444</v>
      </c>
      <c r="K168" s="16">
        <f t="shared" ref="K168:K171" si="92">IF(ISNUMBER(J168), (J168 - $B168) / $B168, "")</f>
        <v>1.3698630136986301E-2</v>
      </c>
      <c r="L168" s="19">
        <f>IF(ISNUMBER(J168), $B172 * K168, "")</f>
        <v>4109.58904109589</v>
      </c>
      <c r="M168" s="15">
        <v>444</v>
      </c>
      <c r="N168" s="16">
        <f t="shared" ref="N168:N171" si="93">IF(ISNUMBER(M168), (M168 - $B168) / $B168, "")</f>
        <v>1.3698630136986301E-2</v>
      </c>
      <c r="O168" s="19">
        <f>IF(ISNUMBER(M168), $B172 * N168, "")</f>
        <v>4109.58904109589</v>
      </c>
      <c r="Q168" s="127"/>
      <c r="R168" s="127"/>
      <c r="S168" s="127"/>
    </row>
    <row r="169" spans="1:19" ht="17.25" thickBot="1">
      <c r="A169" s="32" t="s">
        <v>270</v>
      </c>
      <c r="B169" s="33">
        <v>531</v>
      </c>
      <c r="C169" s="16">
        <v>-1.30111524E-2</v>
      </c>
      <c r="D169" s="15">
        <v>546</v>
      </c>
      <c r="E169" s="16">
        <f t="shared" si="90"/>
        <v>2.8248587570621469E-2</v>
      </c>
      <c r="F169" s="19">
        <f>IF(ISNUMBER(D169), $B172 * E169, "")</f>
        <v>8474.5762711864409</v>
      </c>
      <c r="G169" s="15">
        <v>541</v>
      </c>
      <c r="H169" s="16">
        <f t="shared" si="91"/>
        <v>1.8832391713747645E-2</v>
      </c>
      <c r="I169" s="19">
        <f>IF(ISNUMBER(G169), $B172 * H169, "")</f>
        <v>5649.7175141242933</v>
      </c>
      <c r="J169" s="15">
        <v>548</v>
      </c>
      <c r="K169" s="16">
        <f t="shared" si="92"/>
        <v>3.2015065913370999E-2</v>
      </c>
      <c r="L169" s="19">
        <f>IF(ISNUMBER(J169), $B172 * K169, "")</f>
        <v>9604.5197740112999</v>
      </c>
      <c r="M169" s="15">
        <v>544</v>
      </c>
      <c r="N169" s="16">
        <f t="shared" si="93"/>
        <v>2.4482109227871938E-2</v>
      </c>
      <c r="O169" s="19">
        <f>IF(ISNUMBER(M169), $B172 * N169, "")</f>
        <v>7344.6327683615818</v>
      </c>
      <c r="Q169" s="127"/>
      <c r="R169" s="127"/>
      <c r="S169" s="127"/>
    </row>
    <row r="170" spans="1:19">
      <c r="A170" s="32" t="s">
        <v>170</v>
      </c>
      <c r="B170" s="33">
        <v>524</v>
      </c>
      <c r="C170" s="16">
        <v>-1.5037594E-2</v>
      </c>
      <c r="D170" s="15">
        <v>526</v>
      </c>
      <c r="E170" s="16">
        <f t="shared" si="90"/>
        <v>3.8167938931297708E-3</v>
      </c>
      <c r="F170" s="19">
        <f>IF(ISNUMBER(D170), $B172 * E170, "")</f>
        <v>1145.0381679389313</v>
      </c>
      <c r="G170" s="15">
        <v>526</v>
      </c>
      <c r="H170" s="16">
        <f t="shared" si="91"/>
        <v>3.8167938931297708E-3</v>
      </c>
      <c r="I170" s="19">
        <f>IF(ISNUMBER(G170), $B172 * H170, "")</f>
        <v>1145.0381679389313</v>
      </c>
      <c r="J170" s="15">
        <v>530</v>
      </c>
      <c r="K170" s="16">
        <f t="shared" si="92"/>
        <v>1.1450381679389313E-2</v>
      </c>
      <c r="L170" s="19">
        <f>IF(ISNUMBER(J170), $B172 * K170, "")</f>
        <v>3435.1145038167938</v>
      </c>
      <c r="M170" s="15">
        <v>530</v>
      </c>
      <c r="N170" s="16">
        <f t="shared" si="93"/>
        <v>1.1450381679389313E-2</v>
      </c>
      <c r="O170" s="19">
        <f>IF(ISNUMBER(M170), $B172 * N170, "")</f>
        <v>3435.1145038167938</v>
      </c>
      <c r="Q170" s="128"/>
      <c r="R170" s="129"/>
      <c r="S170" s="130"/>
    </row>
    <row r="171" spans="1:19" ht="17.25" thickBot="1">
      <c r="A171" s="34" t="s">
        <v>252</v>
      </c>
      <c r="B171" s="35">
        <v>585</v>
      </c>
      <c r="C171" s="22">
        <v>-2.0100502499999999E-2</v>
      </c>
      <c r="D171" s="21">
        <v>587</v>
      </c>
      <c r="E171" s="22">
        <f t="shared" si="90"/>
        <v>3.4188034188034188E-3</v>
      </c>
      <c r="F171" s="19">
        <f>IF(ISNUMBER(D171), $B172 * E171, "")</f>
        <v>1025.6410256410256</v>
      </c>
      <c r="G171" s="21">
        <v>588</v>
      </c>
      <c r="H171" s="22">
        <f t="shared" si="91"/>
        <v>5.1282051282051282E-3</v>
      </c>
      <c r="I171" s="19">
        <f>IF(ISNUMBER(G171), $B172 * H171, "")</f>
        <v>1538.4615384615386</v>
      </c>
      <c r="J171" s="21">
        <v>589</v>
      </c>
      <c r="K171" s="22">
        <f t="shared" si="92"/>
        <v>6.8376068376068376E-3</v>
      </c>
      <c r="L171" s="19">
        <f>IF(ISNUMBER(J171), $B172 * K171, "")</f>
        <v>2051.2820512820513</v>
      </c>
      <c r="M171" s="21">
        <v>589</v>
      </c>
      <c r="N171" s="22">
        <f t="shared" si="93"/>
        <v>6.8376068376068376E-3</v>
      </c>
      <c r="O171" s="19">
        <f>IF(ISNUMBER(M171), $B172 * N171, "")</f>
        <v>2051.2820512820513</v>
      </c>
      <c r="Q171" s="131"/>
      <c r="R171" s="132"/>
      <c r="S171" s="133"/>
    </row>
    <row r="172" spans="1:19" ht="17.25" thickBot="1">
      <c r="A172" s="27" t="s">
        <v>42</v>
      </c>
      <c r="B172" s="137">
        <f>$B$37</f>
        <v>300000</v>
      </c>
      <c r="C172" s="138"/>
      <c r="D172" s="27" t="s">
        <v>43</v>
      </c>
      <c r="E172" s="28">
        <f>IF(COUNT(E152:E171), SUM(E152:E171) / COUNT(E152:E171), 0)</f>
        <v>2.0773967979060941E-2</v>
      </c>
      <c r="F172" s="29">
        <f>SUM(F152:F171)</f>
        <v>124643.80787436568</v>
      </c>
      <c r="G172" s="27" t="s">
        <v>43</v>
      </c>
      <c r="H172" s="28">
        <f>IF(COUNT(H152:H171), SUM(H152:H171) / COUNT(H152:H171), 0)</f>
        <v>1.7568852752985451E-2</v>
      </c>
      <c r="I172" s="29">
        <f>SUM(I152:I171)</f>
        <v>105413.11651791273</v>
      </c>
      <c r="J172" s="27" t="s">
        <v>43</v>
      </c>
      <c r="K172" s="28">
        <f>IF(COUNT(K152:K171), SUM(K152:K171) / COUNT(K152:K171), 0)</f>
        <v>2.7286329169536477E-2</v>
      </c>
      <c r="L172" s="29">
        <f>SUM(L152:L171)</f>
        <v>163717.97501721897</v>
      </c>
      <c r="M172" s="27" t="s">
        <v>43</v>
      </c>
      <c r="N172" s="28">
        <f>IF(COUNT(N152:N171), SUM(N152:N171) / COUNT(N152:N171), 0)</f>
        <v>2.6316972182553383E-2</v>
      </c>
      <c r="O172" s="29">
        <f>SUM(O152:O171)</f>
        <v>157901.8330953203</v>
      </c>
      <c r="Q172" s="134"/>
      <c r="R172" s="135"/>
      <c r="S172" s="136"/>
    </row>
    <row r="174" spans="1:19" ht="17.25" thickBot="1"/>
    <row r="175" spans="1:19" ht="17.25" thickBot="1">
      <c r="A175" s="149" t="s">
        <v>285</v>
      </c>
      <c r="B175" s="150"/>
      <c r="C175" s="150"/>
      <c r="D175" s="150"/>
      <c r="E175" s="150"/>
      <c r="F175" s="150"/>
      <c r="G175" s="150"/>
      <c r="H175" s="150"/>
      <c r="I175" s="150"/>
      <c r="J175" s="150"/>
      <c r="K175" s="150"/>
      <c r="L175" s="150"/>
      <c r="M175" s="150"/>
      <c r="N175" s="150"/>
      <c r="O175" s="151"/>
      <c r="Q175" s="148"/>
      <c r="R175" s="148"/>
      <c r="S175" s="148"/>
    </row>
    <row r="176" spans="1:19" ht="17.25" thickBot="1">
      <c r="A176" s="110" t="s">
        <v>35</v>
      </c>
      <c r="B176" s="149" t="s">
        <v>36</v>
      </c>
      <c r="C176" s="151"/>
      <c r="D176" s="149" t="s">
        <v>37</v>
      </c>
      <c r="E176" s="150"/>
      <c r="F176" s="151"/>
      <c r="G176" s="152">
        <f>_xlfn.IFNA(VLOOKUP(B176, 현재가테이블!$B$2:$D$200, 2, FALSE), "-")</f>
        <v>68203000</v>
      </c>
      <c r="H176" s="153"/>
      <c r="I176" s="154"/>
      <c r="J176" s="149" t="s">
        <v>38</v>
      </c>
      <c r="K176" s="150"/>
      <c r="L176" s="151"/>
      <c r="M176" s="155">
        <f>_xlfn.IFNA(VLOOKUP(B176, 현재가테이블!$B$2:$D$200, 3, FALSE), "-")</f>
        <v>-1.22521687E-2</v>
      </c>
      <c r="N176" s="156"/>
      <c r="O176" s="157"/>
      <c r="Q176" s="148"/>
      <c r="R176" s="148"/>
      <c r="S176" s="148"/>
    </row>
    <row r="177" spans="1:19" ht="17.25" thickBot="1">
      <c r="A177" s="158" t="s">
        <v>39</v>
      </c>
      <c r="B177" s="159" t="str">
        <f>TEXT($G$1, "[$-ko-KR]yyyy-mm-dd(ddd) ") &amp; "오전 00:00"</f>
        <v>2021-05-01(토) 오전 00:00</v>
      </c>
      <c r="C177" s="160"/>
      <c r="D177" s="161" t="str">
        <f>TEXT($G$1, "[$-ko-KR]yyyy-mm-dd(ddd) ") &amp; "오후 14:00"</f>
        <v>2021-05-01(토) 오후 14:00</v>
      </c>
      <c r="E177" s="162"/>
      <c r="F177" s="163"/>
      <c r="G177" s="161" t="str">
        <f>TEXT($G$1, "[$-ko-KR]yyyy-mm-dd(ddd) ") &amp; "오후 19:00"</f>
        <v>2021-05-01(토) 오후 19:00</v>
      </c>
      <c r="H177" s="162"/>
      <c r="I177" s="163"/>
      <c r="J177" s="164" t="str">
        <f>TEXT($G$1, "[$-ko-KR]yyyy-mm-dd(ddd) ") &amp; "오후 21:00"</f>
        <v>2021-05-01(토) 오후 21:00</v>
      </c>
      <c r="K177" s="164"/>
      <c r="L177" s="164"/>
      <c r="M177" s="161" t="str">
        <f>TEXT($G$1+1, "[$-ko-KR]yyyy-mm-dd(ddd) ") &amp; "오전 00:00"</f>
        <v>2021-05-02(일) 오전 00:00</v>
      </c>
      <c r="N177" s="162"/>
      <c r="O177" s="163"/>
      <c r="Q177" s="148"/>
      <c r="R177" s="148"/>
      <c r="S177" s="148"/>
    </row>
    <row r="178" spans="1:19" ht="17.25" thickBot="1">
      <c r="A178" s="158"/>
      <c r="B178" s="2" t="s">
        <v>37</v>
      </c>
      <c r="C178" s="10" t="s">
        <v>38</v>
      </c>
      <c r="D178" s="2" t="s">
        <v>37</v>
      </c>
      <c r="E178" s="10" t="s">
        <v>40</v>
      </c>
      <c r="F178" s="11" t="s">
        <v>41</v>
      </c>
      <c r="G178" s="2" t="s">
        <v>37</v>
      </c>
      <c r="H178" s="10" t="s">
        <v>40</v>
      </c>
      <c r="I178" s="11" t="s">
        <v>41</v>
      </c>
      <c r="J178" s="10" t="s">
        <v>37</v>
      </c>
      <c r="K178" s="10" t="s">
        <v>40</v>
      </c>
      <c r="L178" s="109" t="s">
        <v>41</v>
      </c>
      <c r="M178" s="2" t="s">
        <v>37</v>
      </c>
      <c r="N178" s="10" t="s">
        <v>40</v>
      </c>
      <c r="O178" s="72" t="s">
        <v>41</v>
      </c>
      <c r="Q178" s="127"/>
      <c r="R178" s="127"/>
      <c r="S178" s="127"/>
    </row>
    <row r="179" spans="1:19" ht="17.25" thickBot="1">
      <c r="A179" s="30" t="s">
        <v>276</v>
      </c>
      <c r="B179" s="31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7">
        <f>IF(ISNUMBER(D179), $B199 * E179, "")</f>
        <v>-708.38252656434474</v>
      </c>
      <c r="G179" s="13">
        <v>4200</v>
      </c>
      <c r="H179" s="14">
        <f>IF(ISNUMBER(G179), (G179 - $B179) / $B179, "")</f>
        <v>-8.2644628099173556E-3</v>
      </c>
      <c r="I179" s="17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7">
        <f>IF(ISNUMBER(J179), $B199 * K179, "")</f>
        <v>354.19126328217237</v>
      </c>
      <c r="M179" s="13">
        <v>4225</v>
      </c>
      <c r="N179" s="14">
        <f>IF(ISNUMBER(M179), (M179 - $B179) / $B179, "")</f>
        <v>-2.3612750885478157E-3</v>
      </c>
      <c r="O179" s="17">
        <f>IF(ISNUMBER(M179), $B199 * N179, "")</f>
        <v>-708.38252656434474</v>
      </c>
      <c r="Q179" s="148"/>
      <c r="R179" s="148"/>
      <c r="S179" s="148"/>
    </row>
    <row r="180" spans="1:19" ht="17.25" thickBot="1">
      <c r="A180" s="32" t="s">
        <v>218</v>
      </c>
      <c r="B180" s="33">
        <v>31.8</v>
      </c>
      <c r="C180" s="16">
        <v>-6.2500000000000003E-3</v>
      </c>
      <c r="D180" s="15">
        <v>32.1</v>
      </c>
      <c r="E180" s="16">
        <f t="shared" ref="E180:E183" si="94">IF(ISNUMBER(D180), (D180 - $B180) / $B180, "")</f>
        <v>9.4339622641509656E-3</v>
      </c>
      <c r="F180" s="19">
        <f>IF(ISNUMBER(D180), $B199 * E180, "")</f>
        <v>2830.1886792452897</v>
      </c>
      <c r="G180" s="15">
        <v>32</v>
      </c>
      <c r="H180" s="16">
        <f t="shared" ref="H180:H183" si="95">IF(ISNUMBER(G180), (G180 - $B180) / $B180, "")</f>
        <v>6.2893081761006067E-3</v>
      </c>
      <c r="I180" s="19">
        <f>IF(ISNUMBER(G180), $B199 * H180, "")</f>
        <v>1886.7924528301821</v>
      </c>
      <c r="J180" s="15">
        <v>32.1</v>
      </c>
      <c r="K180" s="16">
        <f t="shared" ref="K180:K183" si="96">IF(ISNUMBER(J180), (J180 - $B180) / $B180, "")</f>
        <v>9.4339622641509656E-3</v>
      </c>
      <c r="L180" s="19">
        <f>IF(ISNUMBER(J180), $B199 * K180, "")</f>
        <v>2830.1886792452897</v>
      </c>
      <c r="M180" s="15">
        <v>32.1</v>
      </c>
      <c r="N180" s="16">
        <f t="shared" ref="N180:N183" si="97">IF(ISNUMBER(M180), (M180 - $B180) / $B180, "")</f>
        <v>9.4339622641509656E-3</v>
      </c>
      <c r="O180" s="19">
        <f>IF(ISNUMBER(M180), $B199 * N180, "")</f>
        <v>2830.1886792452897</v>
      </c>
      <c r="Q180" s="148"/>
      <c r="R180" s="148"/>
      <c r="S180" s="148"/>
    </row>
    <row r="181" spans="1:19" ht="17.25" thickBot="1">
      <c r="A181" s="32" t="s">
        <v>248</v>
      </c>
      <c r="B181" s="33">
        <v>3320</v>
      </c>
      <c r="C181" s="16">
        <v>-7.4738416000000004E-3</v>
      </c>
      <c r="D181" s="15">
        <v>3380</v>
      </c>
      <c r="E181" s="16">
        <f t="shared" si="94"/>
        <v>1.8072289156626505E-2</v>
      </c>
      <c r="F181" s="19">
        <f>IF(ISNUMBER(D181), $B199 * E181, "")</f>
        <v>5421.6867469879517</v>
      </c>
      <c r="G181" s="15">
        <v>3335</v>
      </c>
      <c r="H181" s="16">
        <f t="shared" si="95"/>
        <v>4.5180722891566263E-3</v>
      </c>
      <c r="I181" s="19">
        <f>IF(ISNUMBER(G181), $B199 * H181, "")</f>
        <v>1355.4216867469879</v>
      </c>
      <c r="J181" s="15">
        <v>3360</v>
      </c>
      <c r="K181" s="16">
        <f t="shared" si="96"/>
        <v>1.2048192771084338E-2</v>
      </c>
      <c r="L181" s="19">
        <f>IF(ISNUMBER(J181), $B199 * K181, "")</f>
        <v>3614.4578313253014</v>
      </c>
      <c r="M181" s="15">
        <v>3335</v>
      </c>
      <c r="N181" s="16">
        <f t="shared" si="97"/>
        <v>4.5180722891566263E-3</v>
      </c>
      <c r="O181" s="19">
        <f>IF(ISNUMBER(M181), $B199 * N181, "")</f>
        <v>1355.4216867469879</v>
      </c>
      <c r="Q181" s="127"/>
      <c r="R181" s="127"/>
      <c r="S181" s="127"/>
    </row>
    <row r="182" spans="1:19" ht="17.25" thickBot="1">
      <c r="A182" s="32" t="s">
        <v>258</v>
      </c>
      <c r="B182" s="33">
        <v>751</v>
      </c>
      <c r="C182" s="16">
        <v>-7.9260237999999993E-3</v>
      </c>
      <c r="D182" s="15">
        <v>747</v>
      </c>
      <c r="E182" s="16">
        <f t="shared" si="94"/>
        <v>-5.3262316910785623E-3</v>
      </c>
      <c r="F182" s="19">
        <f>IF(ISNUMBER(D182), $B199 * E182, "")</f>
        <v>-1597.8695073235688</v>
      </c>
      <c r="G182" s="15">
        <v>746</v>
      </c>
      <c r="H182" s="16">
        <f t="shared" si="95"/>
        <v>-6.6577896138482022E-3</v>
      </c>
      <c r="I182" s="19">
        <f>IF(ISNUMBER(G182), $B199 * H182, "")</f>
        <v>-1997.3368841544607</v>
      </c>
      <c r="J182" s="15">
        <v>748</v>
      </c>
      <c r="K182" s="16">
        <f t="shared" si="96"/>
        <v>-3.9946737683089215E-3</v>
      </c>
      <c r="L182" s="19">
        <f>IF(ISNUMBER(J182), $B199 * K182, "")</f>
        <v>-1198.4021304926764</v>
      </c>
      <c r="M182" s="15">
        <v>751</v>
      </c>
      <c r="N182" s="16">
        <f t="shared" si="97"/>
        <v>0</v>
      </c>
      <c r="O182" s="19">
        <f>IF(ISNUMBER(M182), $B199 * N182, "")</f>
        <v>0</v>
      </c>
      <c r="Q182" s="127"/>
      <c r="R182" s="127"/>
      <c r="S182" s="127"/>
    </row>
    <row r="183" spans="1:19" ht="17.25" thickBot="1">
      <c r="A183" s="34" t="s">
        <v>274</v>
      </c>
      <c r="B183" s="35">
        <v>9250</v>
      </c>
      <c r="C183" s="22">
        <v>-8.5744909000000005E-3</v>
      </c>
      <c r="D183" s="21">
        <v>9215</v>
      </c>
      <c r="E183" s="22">
        <f t="shared" si="94"/>
        <v>-3.7837837837837837E-3</v>
      </c>
      <c r="F183" s="23">
        <f>IF(ISNUMBER(D183), $B199 * E183, "")</f>
        <v>-1135.1351351351352</v>
      </c>
      <c r="G183" s="21">
        <v>9195</v>
      </c>
      <c r="H183" s="22">
        <f t="shared" si="95"/>
        <v>-5.9459459459459459E-3</v>
      </c>
      <c r="I183" s="23">
        <f>IF(ISNUMBER(G183), $B199 * H183, "")</f>
        <v>-1783.7837837837837</v>
      </c>
      <c r="J183" s="21">
        <v>9260</v>
      </c>
      <c r="K183" s="22">
        <f t="shared" si="96"/>
        <v>1.0810810810810811E-3</v>
      </c>
      <c r="L183" s="23">
        <f>IF(ISNUMBER(J183), $B199 * K183, "")</f>
        <v>324.32432432432432</v>
      </c>
      <c r="M183" s="21">
        <v>9235</v>
      </c>
      <c r="N183" s="22">
        <f t="shared" si="97"/>
        <v>-1.6216216216216215E-3</v>
      </c>
      <c r="O183" s="23">
        <f>IF(ISNUMBER(M183), $B199 * N183, "")</f>
        <v>-486.48648648648646</v>
      </c>
      <c r="Q183" s="127"/>
      <c r="R183" s="127"/>
      <c r="S183" s="127"/>
    </row>
    <row r="184" spans="1:19" ht="17.25" thickBot="1">
      <c r="A184" s="32" t="s">
        <v>246</v>
      </c>
      <c r="B184" s="36">
        <v>438</v>
      </c>
      <c r="C184" s="37">
        <v>-9.0497738000000008E-3</v>
      </c>
      <c r="D184" s="15">
        <v>443</v>
      </c>
      <c r="E184" s="37">
        <f>IF(ISNUMBER(D184), (D184 - $B184) / $B184, "")</f>
        <v>1.1415525114155251E-2</v>
      </c>
      <c r="F184" s="19">
        <f>IF(ISNUMBER(D184), $B199 * E184, "")</f>
        <v>3424.6575342465753</v>
      </c>
      <c r="G184" s="15">
        <v>441</v>
      </c>
      <c r="H184" s="37">
        <f>IF(ISNUMBER(G184), (G184 - $B184) / $B184, "")</f>
        <v>6.8493150684931503E-3</v>
      </c>
      <c r="I184" s="19">
        <f>IF(ISNUMBER(G184), $B199 * H184, "")</f>
        <v>2054.794520547945</v>
      </c>
      <c r="J184" s="15">
        <v>444</v>
      </c>
      <c r="K184" s="37">
        <f>IF(ISNUMBER(J184), (J184 - $B184) / $B184, "")</f>
        <v>1.3698630136986301E-2</v>
      </c>
      <c r="L184" s="19">
        <f>IF(ISNUMBER(J184), $B199 * K184, "")</f>
        <v>4109.58904109589</v>
      </c>
      <c r="M184" s="15">
        <v>444</v>
      </c>
      <c r="N184" s="37">
        <f>IF(ISNUMBER(M184), (M184 - $B184) / $B184, "")</f>
        <v>1.3698630136986301E-2</v>
      </c>
      <c r="O184" s="19">
        <f>IF(ISNUMBER(M184), $B199 * N184, "")</f>
        <v>4109.58904109589</v>
      </c>
      <c r="Q184" s="127"/>
      <c r="R184" s="127"/>
      <c r="S184" s="127"/>
    </row>
    <row r="185" spans="1:19" ht="17.25" thickBot="1">
      <c r="A185" s="32" t="s">
        <v>172</v>
      </c>
      <c r="B185" s="33">
        <v>28.3</v>
      </c>
      <c r="C185" s="16">
        <v>-1.04895105E-2</v>
      </c>
      <c r="D185" s="15">
        <v>28.2</v>
      </c>
      <c r="E185" s="16">
        <f t="shared" ref="E185:E188" si="98">IF(ISNUMBER(D185), (D185 - $B185) / $B185, "")</f>
        <v>-3.5335689045936898E-3</v>
      </c>
      <c r="F185" s="19">
        <f>IF(ISNUMBER(D185), $B199 * E185, "")</f>
        <v>-1060.0706713781069</v>
      </c>
      <c r="G185" s="15">
        <v>28</v>
      </c>
      <c r="H185" s="16">
        <f t="shared" ref="H185:H188" si="99">IF(ISNUMBER(G185), (G185 - $B185) / $B185, "")</f>
        <v>-1.0600706713780944E-2</v>
      </c>
      <c r="I185" s="19">
        <f>IF(ISNUMBER(G185), $B199 * H185, "")</f>
        <v>-3180.212014134283</v>
      </c>
      <c r="J185" s="15">
        <v>28.1</v>
      </c>
      <c r="K185" s="16">
        <f t="shared" ref="K185:K188" si="100">IF(ISNUMBER(J185), (J185 - $B185) / $B185, "")</f>
        <v>-7.0671378091872539E-3</v>
      </c>
      <c r="L185" s="19">
        <f>IF(ISNUMBER(J185), $B199 * K185, "")</f>
        <v>-2120.1413427561761</v>
      </c>
      <c r="M185" s="15">
        <v>28.2</v>
      </c>
      <c r="N185" s="16">
        <f t="shared" ref="N185:N188" si="101">IF(ISNUMBER(M185), (M185 - $B185) / $B185, "")</f>
        <v>-3.5335689045936898E-3</v>
      </c>
      <c r="O185" s="19">
        <f>IF(ISNUMBER(M185), $B199 * N185, "")</f>
        <v>-1060.0706713781069</v>
      </c>
      <c r="Q185" s="127"/>
      <c r="R185" s="127"/>
      <c r="S185" s="127"/>
    </row>
    <row r="186" spans="1:19" ht="17.25" thickBot="1">
      <c r="A186" s="32" t="s">
        <v>270</v>
      </c>
      <c r="B186" s="33">
        <v>531</v>
      </c>
      <c r="C186" s="16">
        <v>-1.30111524E-2</v>
      </c>
      <c r="D186" s="15">
        <v>546</v>
      </c>
      <c r="E186" s="16">
        <f t="shared" si="98"/>
        <v>2.8248587570621469E-2</v>
      </c>
      <c r="F186" s="19">
        <f>IF(ISNUMBER(D186), $B199 * E186, "")</f>
        <v>8474.5762711864409</v>
      </c>
      <c r="G186" s="15">
        <v>541</v>
      </c>
      <c r="H186" s="16">
        <f t="shared" si="99"/>
        <v>1.8832391713747645E-2</v>
      </c>
      <c r="I186" s="19">
        <f>IF(ISNUMBER(G186), $B199 * H186, "")</f>
        <v>5649.7175141242933</v>
      </c>
      <c r="J186" s="15">
        <v>548</v>
      </c>
      <c r="K186" s="16">
        <f t="shared" si="100"/>
        <v>3.2015065913370999E-2</v>
      </c>
      <c r="L186" s="19">
        <f>IF(ISNUMBER(J186), $B199 * K186, "")</f>
        <v>9604.5197740112999</v>
      </c>
      <c r="M186" s="15">
        <v>544</v>
      </c>
      <c r="N186" s="16">
        <f t="shared" si="101"/>
        <v>2.4482109227871938E-2</v>
      </c>
      <c r="O186" s="19">
        <f>IF(ISNUMBER(M186), $B199 * N186, "")</f>
        <v>7344.6327683615818</v>
      </c>
      <c r="Q186" s="127"/>
      <c r="R186" s="127"/>
      <c r="S186" s="127"/>
    </row>
    <row r="187" spans="1:19" ht="17.25" thickBot="1">
      <c r="A187" s="32" t="s">
        <v>254</v>
      </c>
      <c r="B187" s="33">
        <v>93</v>
      </c>
      <c r="C187" s="16">
        <v>-1.4830508500000001E-2</v>
      </c>
      <c r="D187" s="15">
        <v>92.4</v>
      </c>
      <c r="E187" s="16">
        <f t="shared" si="98"/>
        <v>-6.4516129032257457E-3</v>
      </c>
      <c r="F187" s="19">
        <f>IF(ISNUMBER(D187), $B199 * E187, "")</f>
        <v>-1935.4838709677238</v>
      </c>
      <c r="G187" s="15">
        <v>92.1</v>
      </c>
      <c r="H187" s="16">
        <f t="shared" si="99"/>
        <v>-9.6774193548387708E-3</v>
      </c>
      <c r="I187" s="19">
        <f>IF(ISNUMBER(G187), $B199 * H187, "")</f>
        <v>-2903.2258064516313</v>
      </c>
      <c r="J187" s="15">
        <v>92.4</v>
      </c>
      <c r="K187" s="16">
        <f t="shared" si="100"/>
        <v>-6.4516129032257457E-3</v>
      </c>
      <c r="L187" s="19">
        <f>IF(ISNUMBER(J187), $B199 * K187, "")</f>
        <v>-1935.4838709677238</v>
      </c>
      <c r="M187" s="15">
        <v>92.4</v>
      </c>
      <c r="N187" s="16">
        <f t="shared" si="101"/>
        <v>-6.4516129032257457E-3</v>
      </c>
      <c r="O187" s="19">
        <f>IF(ISNUMBER(M187), $B199 * N187, "")</f>
        <v>-1935.4838709677238</v>
      </c>
      <c r="Q187" s="38"/>
      <c r="R187" s="38"/>
    </row>
    <row r="188" spans="1:19" ht="17.25" thickBot="1">
      <c r="A188" s="34" t="s">
        <v>170</v>
      </c>
      <c r="B188" s="35">
        <v>524</v>
      </c>
      <c r="C188" s="22">
        <v>-1.5037594E-2</v>
      </c>
      <c r="D188" s="21">
        <v>526</v>
      </c>
      <c r="E188" s="22">
        <f t="shared" si="98"/>
        <v>3.8167938931297708E-3</v>
      </c>
      <c r="F188" s="19">
        <f>IF(ISNUMBER(D188), $B199 * E188, "")</f>
        <v>1145.0381679389313</v>
      </c>
      <c r="G188" s="21">
        <v>526</v>
      </c>
      <c r="H188" s="22">
        <f t="shared" si="99"/>
        <v>3.8167938931297708E-3</v>
      </c>
      <c r="I188" s="19">
        <f>IF(ISNUMBER(G188), $B199 * H188, "")</f>
        <v>1145.0381679389313</v>
      </c>
      <c r="J188" s="21">
        <v>530</v>
      </c>
      <c r="K188" s="22">
        <f t="shared" si="100"/>
        <v>1.1450381679389313E-2</v>
      </c>
      <c r="L188" s="19">
        <f>IF(ISNUMBER(J188), $B199 * K188, "")</f>
        <v>3435.1145038167938</v>
      </c>
      <c r="M188" s="21">
        <v>530</v>
      </c>
      <c r="N188" s="22">
        <f t="shared" si="101"/>
        <v>1.1450381679389313E-2</v>
      </c>
      <c r="O188" s="19">
        <f>IF(ISNUMBER(M188), $B199 * N188, "")</f>
        <v>3435.1145038167938</v>
      </c>
      <c r="Q188" s="139"/>
      <c r="R188" s="140"/>
      <c r="S188" s="141"/>
    </row>
    <row r="189" spans="1:19">
      <c r="A189" s="30" t="s">
        <v>184</v>
      </c>
      <c r="B189" s="31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7">
        <f>IF(ISNUMBER(D189), $B209 * E189, "")</f>
        <v>0</v>
      </c>
      <c r="G189" s="13">
        <v>2590</v>
      </c>
      <c r="H189" s="14">
        <f>IF(ISNUMBER(G189), (G189 - $B189) / $B189, "")</f>
        <v>-5.7581573896353169E-3</v>
      </c>
      <c r="I189" s="17">
        <f>IF(ISNUMBER(G189), $B209 * H189, "")</f>
        <v>0</v>
      </c>
      <c r="J189" s="13">
        <v>2610</v>
      </c>
      <c r="K189" s="14">
        <f>IF(ISNUMBER(J189), (J189 - $B189) / $B189, "")</f>
        <v>1.9193857965451055E-3</v>
      </c>
      <c r="L189" s="17">
        <f>IF(ISNUMBER(J189), $B209 * K189, "")</f>
        <v>0</v>
      </c>
      <c r="M189" s="13">
        <v>2585</v>
      </c>
      <c r="N189" s="14">
        <f>IF(ISNUMBER(M189), (M189 - $B189) / $B189, "")</f>
        <v>-7.677543186180422E-3</v>
      </c>
      <c r="O189" s="17">
        <f>IF(ISNUMBER(M189), $B209 * N189, "")</f>
        <v>0</v>
      </c>
      <c r="Q189" s="142"/>
      <c r="R189" s="143"/>
      <c r="S189" s="144"/>
    </row>
    <row r="190" spans="1:19" ht="17.25" thickBot="1">
      <c r="A190" s="32" t="s">
        <v>194</v>
      </c>
      <c r="B190" s="33">
        <v>14310</v>
      </c>
      <c r="C190" s="16">
        <v>-1.6494845399999999E-2</v>
      </c>
      <c r="D190" s="15">
        <v>14420</v>
      </c>
      <c r="E190" s="16">
        <f t="shared" ref="E190:E193" si="102">IF(ISNUMBER(D190), (D190 - $B190) / $B190, "")</f>
        <v>7.6869322152341019E-3</v>
      </c>
      <c r="F190" s="19">
        <f>IF(ISNUMBER(D190), $B209 * E190, "")</f>
        <v>0</v>
      </c>
      <c r="G190" s="15">
        <v>14360</v>
      </c>
      <c r="H190" s="16">
        <f t="shared" ref="H190:H193" si="103">IF(ISNUMBER(G190), (G190 - $B190) / $B190, "")</f>
        <v>3.4940600978336828E-3</v>
      </c>
      <c r="I190" s="19">
        <f>IF(ISNUMBER(G190), $B209 * H190, "")</f>
        <v>0</v>
      </c>
      <c r="J190" s="15">
        <v>14500</v>
      </c>
      <c r="K190" s="16">
        <f t="shared" ref="K190:K193" si="104">IF(ISNUMBER(J190), (J190 - $B190) / $B190, "")</f>
        <v>1.3277428371767994E-2</v>
      </c>
      <c r="L190" s="19">
        <f>IF(ISNUMBER(J190), $B209 * K190, "")</f>
        <v>0</v>
      </c>
      <c r="M190" s="15">
        <v>14580</v>
      </c>
      <c r="N190" s="16">
        <f t="shared" ref="N190:N193" si="105">IF(ISNUMBER(M190), (M190 - $B190) / $B190, "")</f>
        <v>1.8867924528301886E-2</v>
      </c>
      <c r="O190" s="19">
        <f>IF(ISNUMBER(M190), $B209 * N190, "")</f>
        <v>0</v>
      </c>
      <c r="Q190" s="145"/>
      <c r="R190" s="146"/>
      <c r="S190" s="147"/>
    </row>
    <row r="191" spans="1:19" ht="17.25" thickBot="1">
      <c r="A191" s="32" t="s">
        <v>252</v>
      </c>
      <c r="B191" s="33">
        <v>585</v>
      </c>
      <c r="C191" s="16">
        <v>-2.0100502499999999E-2</v>
      </c>
      <c r="D191" s="15">
        <v>587</v>
      </c>
      <c r="E191" s="16">
        <f t="shared" si="102"/>
        <v>3.4188034188034188E-3</v>
      </c>
      <c r="F191" s="19">
        <f>IF(ISNUMBER(D191), $B209 * E191, "")</f>
        <v>0</v>
      </c>
      <c r="G191" s="15">
        <v>588</v>
      </c>
      <c r="H191" s="16">
        <f t="shared" si="103"/>
        <v>5.1282051282051282E-3</v>
      </c>
      <c r="I191" s="19">
        <f>IF(ISNUMBER(G191), $B209 * H191, "")</f>
        <v>0</v>
      </c>
      <c r="J191" s="15">
        <v>589</v>
      </c>
      <c r="K191" s="16">
        <f t="shared" si="104"/>
        <v>6.8376068376068376E-3</v>
      </c>
      <c r="L191" s="19">
        <f>IF(ISNUMBER(J191), $B209 * K191, "")</f>
        <v>0</v>
      </c>
      <c r="M191" s="15">
        <v>589</v>
      </c>
      <c r="N191" s="16">
        <f t="shared" si="105"/>
        <v>6.8376068376068376E-3</v>
      </c>
      <c r="O191" s="19">
        <f>IF(ISNUMBER(M191), $B209 * N191, "")</f>
        <v>0</v>
      </c>
      <c r="Q191" s="127"/>
      <c r="R191" s="127"/>
      <c r="S191" s="127"/>
    </row>
    <row r="192" spans="1:19" ht="17.25" thickBot="1">
      <c r="A192" s="32" t="s">
        <v>82</v>
      </c>
      <c r="B192" s="33">
        <v>1575</v>
      </c>
      <c r="C192" s="16">
        <v>-2.1739130400000001E-2</v>
      </c>
      <c r="D192" s="15">
        <v>1585</v>
      </c>
      <c r="E192" s="16">
        <f t="shared" si="102"/>
        <v>6.3492063492063492E-3</v>
      </c>
      <c r="F192" s="19">
        <f>IF(ISNUMBER(D192), $B209 * E192, "")</f>
        <v>0</v>
      </c>
      <c r="G192" s="15">
        <v>1580</v>
      </c>
      <c r="H192" s="16">
        <f t="shared" si="103"/>
        <v>3.1746031746031746E-3</v>
      </c>
      <c r="I192" s="19">
        <f>IF(ISNUMBER(G192), $B209 * H192, "")</f>
        <v>0</v>
      </c>
      <c r="J192" s="15">
        <v>1585</v>
      </c>
      <c r="K192" s="16">
        <f t="shared" si="104"/>
        <v>6.3492063492063492E-3</v>
      </c>
      <c r="L192" s="19">
        <f>IF(ISNUMBER(J192), $B209 * K192, "")</f>
        <v>0</v>
      </c>
      <c r="M192" s="15">
        <v>1585</v>
      </c>
      <c r="N192" s="16">
        <f t="shared" si="105"/>
        <v>6.3492063492063492E-3</v>
      </c>
      <c r="O192" s="19">
        <f>IF(ISNUMBER(M192), $B209 * N192, "")</f>
        <v>0</v>
      </c>
      <c r="Q192" s="148"/>
      <c r="R192" s="148"/>
      <c r="S192" s="148"/>
    </row>
    <row r="193" spans="1:19" ht="17.25" thickBot="1">
      <c r="A193" s="34" t="s">
        <v>124</v>
      </c>
      <c r="B193" s="35">
        <v>7595</v>
      </c>
      <c r="C193" s="22">
        <v>-2.31511254E-2</v>
      </c>
      <c r="D193" s="21">
        <v>7705</v>
      </c>
      <c r="E193" s="22">
        <f t="shared" si="102"/>
        <v>1.4483212639894667E-2</v>
      </c>
      <c r="F193" s="23">
        <f>IF(ISNUMBER(D193), $B209 * E193, "")</f>
        <v>0</v>
      </c>
      <c r="G193" s="21">
        <v>7650</v>
      </c>
      <c r="H193" s="22">
        <f t="shared" si="103"/>
        <v>7.2416063199473336E-3</v>
      </c>
      <c r="I193" s="23">
        <f>IF(ISNUMBER(G193), $B209 * H193, "")</f>
        <v>0</v>
      </c>
      <c r="J193" s="21">
        <v>7730</v>
      </c>
      <c r="K193" s="22">
        <f t="shared" si="104"/>
        <v>1.7774851876234364E-2</v>
      </c>
      <c r="L193" s="23">
        <f>IF(ISNUMBER(J193), $B209 * K193, "")</f>
        <v>0</v>
      </c>
      <c r="M193" s="21">
        <v>7715</v>
      </c>
      <c r="N193" s="22">
        <f t="shared" si="105"/>
        <v>1.5799868334430547E-2</v>
      </c>
      <c r="O193" s="23">
        <f>IF(ISNUMBER(M193), $B209 * N193, "")</f>
        <v>0</v>
      </c>
      <c r="Q193" s="148"/>
      <c r="R193" s="148"/>
      <c r="S193" s="148"/>
    </row>
    <row r="194" spans="1:19" ht="17.25" thickBot="1">
      <c r="A194" s="32" t="s">
        <v>158</v>
      </c>
      <c r="B194" s="36">
        <v>11710</v>
      </c>
      <c r="C194" s="37">
        <v>-2.98260149E-2</v>
      </c>
      <c r="D194" s="15">
        <v>11610</v>
      </c>
      <c r="E194" s="37">
        <f>IF(ISNUMBER(D194), (D194 - $B194) / $B194, "")</f>
        <v>-8.539709649871904E-3</v>
      </c>
      <c r="F194" s="19">
        <f>IF(ISNUMBER(D194), $B209 * E194, "")</f>
        <v>0</v>
      </c>
      <c r="G194" s="15">
        <v>11460</v>
      </c>
      <c r="H194" s="37">
        <f>IF(ISNUMBER(G194), (G194 - $B194) / $B194, "")</f>
        <v>-2.1349274124679761E-2</v>
      </c>
      <c r="I194" s="19">
        <f>IF(ISNUMBER(G194), $B209 * H194, "")</f>
        <v>0</v>
      </c>
      <c r="J194" s="15">
        <v>11510</v>
      </c>
      <c r="K194" s="37">
        <f>IF(ISNUMBER(J194), (J194 - $B194) / $B194, "")</f>
        <v>-1.7079419299743808E-2</v>
      </c>
      <c r="L194" s="19">
        <f>IF(ISNUMBER(J194), $B209 * K194, "")</f>
        <v>0</v>
      </c>
      <c r="M194" s="15">
        <v>11480</v>
      </c>
      <c r="N194" s="37">
        <f>IF(ISNUMBER(M194), (M194 - $B194) / $B194, "")</f>
        <v>-1.9641332194705381E-2</v>
      </c>
      <c r="O194" s="19">
        <f>IF(ISNUMBER(M194), $B209 * N194, "")</f>
        <v>0</v>
      </c>
      <c r="Q194" s="127"/>
      <c r="R194" s="127"/>
      <c r="S194" s="127"/>
    </row>
    <row r="195" spans="1:19" ht="17.25" thickBot="1">
      <c r="A195" s="32" t="s">
        <v>164</v>
      </c>
      <c r="B195" s="33">
        <v>26510</v>
      </c>
      <c r="C195" s="16">
        <v>-3.4244080099999998E-2</v>
      </c>
      <c r="D195" s="15">
        <v>26670</v>
      </c>
      <c r="E195" s="16">
        <f t="shared" ref="E195:E198" si="106">IF(ISNUMBER(D195), (D195 - $B195) / $B195, "")</f>
        <v>6.0354583176159939E-3</v>
      </c>
      <c r="F195" s="19">
        <f>IF(ISNUMBER(D195), $B209 * E195, "")</f>
        <v>0</v>
      </c>
      <c r="G195" s="15">
        <v>26630</v>
      </c>
      <c r="H195" s="16">
        <f t="shared" ref="H195:H198" si="107">IF(ISNUMBER(G195), (G195 - $B195) / $B195, "")</f>
        <v>4.5265937382119956E-3</v>
      </c>
      <c r="I195" s="19">
        <f>IF(ISNUMBER(G195), $B209 * H195, "")</f>
        <v>0</v>
      </c>
      <c r="J195" s="15">
        <v>27030</v>
      </c>
      <c r="K195" s="16">
        <f t="shared" ref="K195:K198" si="108">IF(ISNUMBER(J195), (J195 - $B195) / $B195, "")</f>
        <v>1.9615239532251982E-2</v>
      </c>
      <c r="L195" s="19">
        <f>IF(ISNUMBER(J195), $B209 * K195, "")</f>
        <v>0</v>
      </c>
      <c r="M195" s="15">
        <v>27170</v>
      </c>
      <c r="N195" s="16">
        <f t="shared" ref="N195:N198" si="109">IF(ISNUMBER(M195), (M195 - $B195) / $B195, "")</f>
        <v>2.4896265560165973E-2</v>
      </c>
      <c r="O195" s="19">
        <f>IF(ISNUMBER(M195), $B209 * N195, "")</f>
        <v>0</v>
      </c>
      <c r="Q195" s="127"/>
      <c r="R195" s="127"/>
      <c r="S195" s="127"/>
    </row>
    <row r="196" spans="1:19" ht="17.25" thickBot="1">
      <c r="A196" s="32" t="s">
        <v>190</v>
      </c>
      <c r="B196" s="33">
        <v>78080</v>
      </c>
      <c r="C196" s="16">
        <v>-3.7119250200000002E-2</v>
      </c>
      <c r="D196" s="15">
        <v>78350</v>
      </c>
      <c r="E196" s="16">
        <f t="shared" si="106"/>
        <v>3.4579918032786885E-3</v>
      </c>
      <c r="F196" s="19">
        <f>IF(ISNUMBER(D196), $B209 * E196, "")</f>
        <v>0</v>
      </c>
      <c r="G196" s="15">
        <v>78180</v>
      </c>
      <c r="H196" s="16">
        <f t="shared" si="107"/>
        <v>1.2807377049180327E-3</v>
      </c>
      <c r="I196" s="19">
        <f>IF(ISNUMBER(G196), $B209 * H196, "")</f>
        <v>0</v>
      </c>
      <c r="J196" s="15">
        <v>78490</v>
      </c>
      <c r="K196" s="16">
        <f t="shared" si="108"/>
        <v>5.2510245901639342E-3</v>
      </c>
      <c r="L196" s="19">
        <f>IF(ISNUMBER(J196), $B209 * K196, "")</f>
        <v>0</v>
      </c>
      <c r="M196" s="15">
        <v>78410</v>
      </c>
      <c r="N196" s="16">
        <f t="shared" si="109"/>
        <v>4.2264344262295086E-3</v>
      </c>
      <c r="O196" s="19">
        <f>IF(ISNUMBER(M196), $B209 * N196, "")</f>
        <v>0</v>
      </c>
      <c r="Q196" s="127"/>
      <c r="R196" s="127"/>
      <c r="S196" s="127"/>
    </row>
    <row r="197" spans="1:19">
      <c r="A197" s="32" t="s">
        <v>204</v>
      </c>
      <c r="B197" s="33">
        <v>10100</v>
      </c>
      <c r="C197" s="16">
        <v>-3.8095238099999998E-2</v>
      </c>
      <c r="D197" s="15">
        <v>10180</v>
      </c>
      <c r="E197" s="16">
        <f t="shared" si="106"/>
        <v>7.9207920792079209E-3</v>
      </c>
      <c r="F197" s="19">
        <f>IF(ISNUMBER(D197), $B209 * E197, "")</f>
        <v>0</v>
      </c>
      <c r="G197" s="15">
        <v>10070</v>
      </c>
      <c r="H197" s="16">
        <f t="shared" si="107"/>
        <v>-2.9702970297029703E-3</v>
      </c>
      <c r="I197" s="19">
        <f>IF(ISNUMBER(G197), $B209 * H197, "")</f>
        <v>0</v>
      </c>
      <c r="J197" s="15">
        <v>10090</v>
      </c>
      <c r="K197" s="16">
        <f t="shared" si="108"/>
        <v>-9.9009900990099011E-4</v>
      </c>
      <c r="L197" s="19">
        <f>IF(ISNUMBER(J197), $B209 * K197, "")</f>
        <v>0</v>
      </c>
      <c r="M197" s="15">
        <v>10130</v>
      </c>
      <c r="N197" s="16">
        <f t="shared" si="109"/>
        <v>2.9702970297029703E-3</v>
      </c>
      <c r="O197" s="19">
        <f>IF(ISNUMBER(M197), $B209 * N197, "")</f>
        <v>0</v>
      </c>
      <c r="Q197" s="128"/>
      <c r="R197" s="129"/>
      <c r="S197" s="130"/>
    </row>
    <row r="198" spans="1:19" ht="17.25" thickBot="1">
      <c r="A198" s="34" t="s">
        <v>67</v>
      </c>
      <c r="B198" s="35">
        <v>10020</v>
      </c>
      <c r="C198" s="22">
        <v>-4.1148325399999998E-2</v>
      </c>
      <c r="D198" s="21">
        <v>10000</v>
      </c>
      <c r="E198" s="22">
        <f t="shared" si="106"/>
        <v>-1.996007984031936E-3</v>
      </c>
      <c r="F198" s="19">
        <f>IF(ISNUMBER(D198), $B209 * E198, "")</f>
        <v>0</v>
      </c>
      <c r="G198" s="21">
        <v>9980</v>
      </c>
      <c r="H198" s="22">
        <f t="shared" si="107"/>
        <v>-3.9920159680638719E-3</v>
      </c>
      <c r="I198" s="19">
        <f>IF(ISNUMBER(G198), $B209 * H198, "")</f>
        <v>0</v>
      </c>
      <c r="J198" s="21">
        <v>10020</v>
      </c>
      <c r="K198" s="22">
        <f t="shared" si="108"/>
        <v>0</v>
      </c>
      <c r="L198" s="19">
        <f>IF(ISNUMBER(J198), $B209 * K198, "")</f>
        <v>0</v>
      </c>
      <c r="M198" s="21">
        <v>10040</v>
      </c>
      <c r="N198" s="22">
        <f t="shared" si="109"/>
        <v>1.996007984031936E-3</v>
      </c>
      <c r="O198" s="19">
        <f>IF(ISNUMBER(M198), $B209 * N198, "")</f>
        <v>0</v>
      </c>
      <c r="Q198" s="131"/>
      <c r="R198" s="132"/>
      <c r="S198" s="133"/>
    </row>
    <row r="199" spans="1:19" ht="17.25" thickBot="1">
      <c r="A199" s="27" t="s">
        <v>42</v>
      </c>
      <c r="B199" s="137">
        <f>$B$37</f>
        <v>300000</v>
      </c>
      <c r="C199" s="138"/>
      <c r="D199" s="27" t="s">
        <v>43</v>
      </c>
      <c r="E199" s="28">
        <f>IF(COUNT(E179:E198), SUM(E179:E198) / COUNT(E179:E198), 0)</f>
        <v>4.225429661185073E-3</v>
      </c>
      <c r="F199" s="29">
        <f>SUM(F179:F198)</f>
        <v>14859.20568823631</v>
      </c>
      <c r="G199" s="27" t="s">
        <v>43</v>
      </c>
      <c r="H199" s="28">
        <f>IF(COUNT(H179:H198), SUM(H179:H198) / COUNT(H179:H198), 0)</f>
        <v>-5.0321908230329965E-4</v>
      </c>
      <c r="I199" s="29">
        <f>SUM(I179:I198)</f>
        <v>-252.13298931102531</v>
      </c>
      <c r="J199" s="27" t="s">
        <v>43</v>
      </c>
      <c r="K199" s="28">
        <f>IF(COUNT(K179:K198), SUM(K179:K198) / COUNT(K179:K198), 0)</f>
        <v>5.8174875976873385E-3</v>
      </c>
      <c r="L199" s="29">
        <f>SUM(L179:L198)</f>
        <v>19018.35807288449</v>
      </c>
      <c r="M199" s="27" t="s">
        <v>43</v>
      </c>
      <c r="N199" s="28">
        <f>IF(COUNT(N179:N198), SUM(N179:N198) / COUNT(N179:N198), 0)</f>
        <v>5.2119906374178248E-3</v>
      </c>
      <c r="O199" s="29">
        <f>SUM(O179:O198)</f>
        <v>14884.523123869882</v>
      </c>
      <c r="Q199" s="134"/>
      <c r="R199" s="135"/>
      <c r="S199" s="13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D15:F16 E37:F37">
    <cfRule type="expression" dxfId="235" priority="105">
      <formula>$E$37&gt;0</formula>
    </cfRule>
    <cfRule type="expression" dxfId="234" priority="106">
      <formula>$E$37&lt;0</formula>
    </cfRule>
  </conditionalFormatting>
  <conditionalFormatting sqref="G15:I16 H37:I37">
    <cfRule type="expression" dxfId="233" priority="103">
      <formula>$H$37&gt;0</formula>
    </cfRule>
    <cfRule type="expression" dxfId="232" priority="104">
      <formula>$H$37&lt;0</formula>
    </cfRule>
  </conditionalFormatting>
  <conditionalFormatting sqref="J15:L16 K37:L37">
    <cfRule type="expression" dxfId="231" priority="101">
      <formula>$K$37&gt;0</formula>
    </cfRule>
    <cfRule type="expression" dxfId="230" priority="102">
      <formula>$K$37&lt;0</formula>
    </cfRule>
  </conditionalFormatting>
  <conditionalFormatting sqref="M15:O16 N37:O37">
    <cfRule type="expression" dxfId="229" priority="99">
      <formula>$N$37&gt;0</formula>
    </cfRule>
    <cfRule type="expression" dxfId="228" priority="100">
      <formula>$N$37&lt;0</formula>
    </cfRule>
  </conditionalFormatting>
  <conditionalFormatting sqref="D44:O63 A17:O36">
    <cfRule type="expression" dxfId="227" priority="107">
      <formula>AND($N17 &gt; 0, ISNUMBER($N17))</formula>
    </cfRule>
    <cfRule type="expression" dxfId="226" priority="108">
      <formula>AND($N17 &lt; 0, ISNUMBER($N17))</formula>
    </cfRule>
    <cfRule type="expression" dxfId="225" priority="109">
      <formula>AND($K17 &gt; 0, ISNUMBER($K17))</formula>
    </cfRule>
    <cfRule type="expression" dxfId="224" priority="110">
      <formula>AND($K17 &lt; 0, ISNUMBER($K17))</formula>
    </cfRule>
    <cfRule type="expression" dxfId="223" priority="111">
      <formula>AND($H17 &gt; 0, ISNUMBER($H17))</formula>
    </cfRule>
    <cfRule type="expression" dxfId="222" priority="112">
      <formula>AND($H17 &lt; 0, ISNUMBER($H17))</formula>
    </cfRule>
    <cfRule type="expression" dxfId="221" priority="113">
      <formula>AND($E17 &gt; 0, ISNUMBER($E17))</formula>
    </cfRule>
    <cfRule type="expression" dxfId="220" priority="114">
      <formula>AND($E17 &lt; 0, ISNUMBER($E17))</formula>
    </cfRule>
  </conditionalFormatting>
  <conditionalFormatting sqref="D42:F43 E64:F64">
    <cfRule type="expression" dxfId="219" priority="97">
      <formula>$E$64&gt;0</formula>
    </cfRule>
    <cfRule type="expression" dxfId="218" priority="98">
      <formula>$E$64&lt;0</formula>
    </cfRule>
  </conditionalFormatting>
  <conditionalFormatting sqref="G42:I43 H64:I64">
    <cfRule type="expression" dxfId="217" priority="95">
      <formula>$H$64&gt;0</formula>
    </cfRule>
    <cfRule type="expression" dxfId="216" priority="96">
      <formula>$H$64&lt;0</formula>
    </cfRule>
  </conditionalFormatting>
  <conditionalFormatting sqref="J42:L43 K64:L64">
    <cfRule type="expression" dxfId="215" priority="93">
      <formula>$K$64&gt;0</formula>
    </cfRule>
    <cfRule type="expression" dxfId="214" priority="94">
      <formula>$K$64&lt;0</formula>
    </cfRule>
  </conditionalFormatting>
  <conditionalFormatting sqref="M42:O43 N64:O64">
    <cfRule type="expression" dxfId="213" priority="91">
      <formula>$N$64&gt;0</formula>
    </cfRule>
    <cfRule type="expression" dxfId="212" priority="92">
      <formula>$N$64&lt;0</formula>
    </cfRule>
  </conditionalFormatting>
  <conditionalFormatting sqref="G2:I3">
    <cfRule type="expression" dxfId="211" priority="89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0" priority="90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209" priority="115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08" priority="116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207" priority="11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06" priority="11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205" priority="11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04" priority="12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203" priority="12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02" priority="12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201" priority="81">
      <formula>AND($N71 &gt; 0, ISNUMBER($N71))</formula>
    </cfRule>
    <cfRule type="expression" dxfId="200" priority="82">
      <formula>AND($N71 &lt; 0, ISNUMBER($N71))</formula>
    </cfRule>
    <cfRule type="expression" dxfId="199" priority="83">
      <formula>AND($K71 &gt; 0, ISNUMBER($K71))</formula>
    </cfRule>
    <cfRule type="expression" dxfId="198" priority="84">
      <formula>AND($K71 &lt; 0, ISNUMBER($K71))</formula>
    </cfRule>
    <cfRule type="expression" dxfId="197" priority="85">
      <formula>AND($H71 &gt; 0, ISNUMBER($H71))</formula>
    </cfRule>
    <cfRule type="expression" dxfId="196" priority="86">
      <formula>AND($H71 &lt; 0, ISNUMBER($H71))</formula>
    </cfRule>
    <cfRule type="expression" dxfId="195" priority="87">
      <formula>AND($E71 &gt; 0, ISNUMBER($E71))</formula>
    </cfRule>
    <cfRule type="expression" dxfId="194" priority="88">
      <formula>AND($E71 &lt; 0, ISNUMBER($E71))</formula>
    </cfRule>
  </conditionalFormatting>
  <conditionalFormatting sqref="D69:F70 E91:F91">
    <cfRule type="expression" dxfId="193" priority="79">
      <formula>$E$64&gt;0</formula>
    </cfRule>
    <cfRule type="expression" dxfId="192" priority="80">
      <formula>$E$64&lt;0</formula>
    </cfRule>
  </conditionalFormatting>
  <conditionalFormatting sqref="G69:I70 H91:I91">
    <cfRule type="expression" dxfId="191" priority="77">
      <formula>$H$64&gt;0</formula>
    </cfRule>
    <cfRule type="expression" dxfId="190" priority="78">
      <formula>$H$64&lt;0</formula>
    </cfRule>
  </conditionalFormatting>
  <conditionalFormatting sqref="J69:L70 K91:L91">
    <cfRule type="expression" dxfId="189" priority="75">
      <formula>$K$64&gt;0</formula>
    </cfRule>
    <cfRule type="expression" dxfId="188" priority="76">
      <formula>$K$64&lt;0</formula>
    </cfRule>
  </conditionalFormatting>
  <conditionalFormatting sqref="M69:O70 N91:O91">
    <cfRule type="expression" dxfId="187" priority="73">
      <formula>$N$64&gt;0</formula>
    </cfRule>
    <cfRule type="expression" dxfId="186" priority="74">
      <formula>$N$64&lt;0</formula>
    </cfRule>
  </conditionalFormatting>
  <conditionalFormatting sqref="A98:O117">
    <cfRule type="expression" dxfId="185" priority="65">
      <formula>AND($N98 &gt; 0, ISNUMBER($N98))</formula>
    </cfRule>
    <cfRule type="expression" dxfId="184" priority="66">
      <formula>AND($N98 &lt; 0, ISNUMBER($N98))</formula>
    </cfRule>
    <cfRule type="expression" dxfId="183" priority="67">
      <formula>AND($K98 &gt; 0, ISNUMBER($K98))</formula>
    </cfRule>
    <cfRule type="expression" dxfId="182" priority="68">
      <formula>AND($K98 &lt; 0, ISNUMBER($K98))</formula>
    </cfRule>
    <cfRule type="expression" dxfId="181" priority="69">
      <formula>AND($H98 &gt; 0, ISNUMBER($H98))</formula>
    </cfRule>
    <cfRule type="expression" dxfId="180" priority="70">
      <formula>AND($H98 &lt; 0, ISNUMBER($H98))</formula>
    </cfRule>
    <cfRule type="expression" dxfId="179" priority="71">
      <formula>AND($E98 &gt; 0, ISNUMBER($E98))</formula>
    </cfRule>
    <cfRule type="expression" dxfId="178" priority="72">
      <formula>AND($E98 &lt; 0, ISNUMBER($E98))</formula>
    </cfRule>
  </conditionalFormatting>
  <conditionalFormatting sqref="D96:F97 E118:F118">
    <cfRule type="expression" dxfId="177" priority="63">
      <formula>$E$64&gt;0</formula>
    </cfRule>
    <cfRule type="expression" dxfId="176" priority="64">
      <formula>$E$64&lt;0</formula>
    </cfRule>
  </conditionalFormatting>
  <conditionalFormatting sqref="G96:I97 H118:I118">
    <cfRule type="expression" dxfId="175" priority="61">
      <formula>$H$64&gt;0</formula>
    </cfRule>
    <cfRule type="expression" dxfId="174" priority="62">
      <formula>$H$64&lt;0</formula>
    </cfRule>
  </conditionalFormatting>
  <conditionalFormatting sqref="J96:L97 K118:L118">
    <cfRule type="expression" dxfId="173" priority="59">
      <formula>$K$64&gt;0</formula>
    </cfRule>
    <cfRule type="expression" dxfId="172" priority="60">
      <formula>$K$64&lt;0</formula>
    </cfRule>
  </conditionalFormatting>
  <conditionalFormatting sqref="M96:O97 N118:O118">
    <cfRule type="expression" dxfId="171" priority="57">
      <formula>$N$64&gt;0</formula>
    </cfRule>
    <cfRule type="expression" dxfId="170" priority="58">
      <formula>$N$64&lt;0</formula>
    </cfRule>
  </conditionalFormatting>
  <conditionalFormatting sqref="A125:O144">
    <cfRule type="expression" dxfId="169" priority="49">
      <formula>AND($N125 &gt; 0, ISNUMBER($N125))</formula>
    </cfRule>
    <cfRule type="expression" dxfId="168" priority="50">
      <formula>AND($N125 &lt; 0, ISNUMBER($N125))</formula>
    </cfRule>
    <cfRule type="expression" dxfId="167" priority="51">
      <formula>AND($K125 &gt; 0, ISNUMBER($K125))</formula>
    </cfRule>
    <cfRule type="expression" dxfId="166" priority="52">
      <formula>AND($K125 &lt; 0, ISNUMBER($K125))</formula>
    </cfRule>
    <cfRule type="expression" dxfId="165" priority="53">
      <formula>AND($H125 &gt; 0, ISNUMBER($H125))</formula>
    </cfRule>
    <cfRule type="expression" dxfId="164" priority="54">
      <formula>AND($H125 &lt; 0, ISNUMBER($H125))</formula>
    </cfRule>
    <cfRule type="expression" dxfId="163" priority="55">
      <formula>AND($E125 &gt; 0, ISNUMBER($E125))</formula>
    </cfRule>
    <cfRule type="expression" dxfId="162" priority="56">
      <formula>AND($E125 &lt; 0, ISNUMBER($E125))</formula>
    </cfRule>
  </conditionalFormatting>
  <conditionalFormatting sqref="D123:F124 E145:F145">
    <cfRule type="expression" dxfId="161" priority="47">
      <formula>$E$64&gt;0</formula>
    </cfRule>
    <cfRule type="expression" dxfId="160" priority="48">
      <formula>$E$64&lt;0</formula>
    </cfRule>
  </conditionalFormatting>
  <conditionalFormatting sqref="G123:I124 H145:I145">
    <cfRule type="expression" dxfId="159" priority="45">
      <formula>$H$64&gt;0</formula>
    </cfRule>
    <cfRule type="expression" dxfId="158" priority="46">
      <formula>$H$64&lt;0</formula>
    </cfRule>
  </conditionalFormatting>
  <conditionalFormatting sqref="J123:L124 K145:L145">
    <cfRule type="expression" dxfId="157" priority="43">
      <formula>$K$64&gt;0</formula>
    </cfRule>
    <cfRule type="expression" dxfId="156" priority="44">
      <formula>$K$64&lt;0</formula>
    </cfRule>
  </conditionalFormatting>
  <conditionalFormatting sqref="M123:O124 N145:O145">
    <cfRule type="expression" dxfId="155" priority="41">
      <formula>$N$64&gt;0</formula>
    </cfRule>
    <cfRule type="expression" dxfId="154" priority="42">
      <formula>$N$64&lt;0</formula>
    </cfRule>
  </conditionalFormatting>
  <conditionalFormatting sqref="A152:O171">
    <cfRule type="expression" dxfId="153" priority="33">
      <formula>AND($N152 &gt; 0, ISNUMBER($N152))</formula>
    </cfRule>
    <cfRule type="expression" dxfId="152" priority="34">
      <formula>AND($N152 &lt; 0, ISNUMBER($N152))</formula>
    </cfRule>
    <cfRule type="expression" dxfId="151" priority="35">
      <formula>AND($K152 &gt; 0, ISNUMBER($K152))</formula>
    </cfRule>
    <cfRule type="expression" dxfId="150" priority="36">
      <formula>AND($K152 &lt; 0, ISNUMBER($K152))</formula>
    </cfRule>
    <cfRule type="expression" dxfId="149" priority="37">
      <formula>AND($H152 &gt; 0, ISNUMBER($H152))</formula>
    </cfRule>
    <cfRule type="expression" dxfId="148" priority="38">
      <formula>AND($H152 &lt; 0, ISNUMBER($H152))</formula>
    </cfRule>
    <cfRule type="expression" dxfId="147" priority="39">
      <formula>AND($E152 &gt; 0, ISNUMBER($E152))</formula>
    </cfRule>
    <cfRule type="expression" dxfId="146" priority="40">
      <formula>AND($E152 &lt; 0, ISNUMBER($E152))</formula>
    </cfRule>
  </conditionalFormatting>
  <conditionalFormatting sqref="D150:F151 E172:F172">
    <cfRule type="expression" dxfId="145" priority="31">
      <formula>$E$64&gt;0</formula>
    </cfRule>
    <cfRule type="expression" dxfId="144" priority="32">
      <formula>$E$64&lt;0</formula>
    </cfRule>
  </conditionalFormatting>
  <conditionalFormatting sqref="G150:I151 H172:I172">
    <cfRule type="expression" dxfId="143" priority="29">
      <formula>$H$64&gt;0</formula>
    </cfRule>
    <cfRule type="expression" dxfId="142" priority="30">
      <formula>$H$64&lt;0</formula>
    </cfRule>
  </conditionalFormatting>
  <conditionalFormatting sqref="J150:L151 K172:L172">
    <cfRule type="expression" dxfId="141" priority="27">
      <formula>$K$64&gt;0</formula>
    </cfRule>
    <cfRule type="expression" dxfId="140" priority="28">
      <formula>$K$64&lt;0</formula>
    </cfRule>
  </conditionalFormatting>
  <conditionalFormatting sqref="M150:O151 N172:O172">
    <cfRule type="expression" dxfId="139" priority="25">
      <formula>$N$64&gt;0</formula>
    </cfRule>
    <cfRule type="expression" dxfId="138" priority="26">
      <formula>$N$64&lt;0</formula>
    </cfRule>
  </conditionalFormatting>
  <conditionalFormatting sqref="A179:O198">
    <cfRule type="expression" dxfId="137" priority="17">
      <formula>AND($N179 &gt; 0, ISNUMBER($N179))</formula>
    </cfRule>
    <cfRule type="expression" dxfId="136" priority="18">
      <formula>AND($N179 &lt; 0, ISNUMBER($N179))</formula>
    </cfRule>
    <cfRule type="expression" dxfId="135" priority="19">
      <formula>AND($K179 &gt; 0, ISNUMBER($K179))</formula>
    </cfRule>
    <cfRule type="expression" dxfId="134" priority="20">
      <formula>AND($K179 &lt; 0, ISNUMBER($K179))</formula>
    </cfRule>
    <cfRule type="expression" dxfId="133" priority="21">
      <formula>AND($H179 &gt; 0, ISNUMBER($H179))</formula>
    </cfRule>
    <cfRule type="expression" dxfId="132" priority="22">
      <formula>AND($H179 &lt; 0, ISNUMBER($H179))</formula>
    </cfRule>
    <cfRule type="expression" dxfId="131" priority="23">
      <formula>AND($E179 &gt; 0, ISNUMBER($E179))</formula>
    </cfRule>
    <cfRule type="expression" dxfId="130" priority="24">
      <formula>AND($E179 &lt; 0, ISNUMBER($E179))</formula>
    </cfRule>
  </conditionalFormatting>
  <conditionalFormatting sqref="D177:F178 E199:F199">
    <cfRule type="expression" dxfId="129" priority="15">
      <formula>$E$64&gt;0</formula>
    </cfRule>
    <cfRule type="expression" dxfId="128" priority="16">
      <formula>$E$64&lt;0</formula>
    </cfRule>
  </conditionalFormatting>
  <conditionalFormatting sqref="G177:I178 H199:I199">
    <cfRule type="expression" dxfId="127" priority="13">
      <formula>$H$64&gt;0</formula>
    </cfRule>
    <cfRule type="expression" dxfId="126" priority="14">
      <formula>$H$64&lt;0</formula>
    </cfRule>
  </conditionalFormatting>
  <conditionalFormatting sqref="J177:L178 K199:L199">
    <cfRule type="expression" dxfId="125" priority="11">
      <formula>$K$64&gt;0</formula>
    </cfRule>
    <cfRule type="expression" dxfId="124" priority="12">
      <formula>$K$64&lt;0</formula>
    </cfRule>
  </conditionalFormatting>
  <conditionalFormatting sqref="M177:O178 N199:O199">
    <cfRule type="expression" dxfId="123" priority="9">
      <formula>$N$64&gt;0</formula>
    </cfRule>
    <cfRule type="expression" dxfId="122" priority="10">
      <formula>$N$64&lt;0</formula>
    </cfRule>
  </conditionalFormatting>
  <conditionalFormatting sqref="A44:C63">
    <cfRule type="expression" dxfId="121" priority="1">
      <formula>AND($N44 &gt; 0, ISNUMBER($N44))</formula>
    </cfRule>
    <cfRule type="expression" dxfId="120" priority="2">
      <formula>AND($N44 &lt; 0, ISNUMBER($N44))</formula>
    </cfRule>
    <cfRule type="expression" dxfId="119" priority="3">
      <formula>AND($K44 &gt; 0, ISNUMBER($K44))</formula>
    </cfRule>
    <cfRule type="expression" dxfId="118" priority="4">
      <formula>AND($K44 &lt; 0, ISNUMBER($K44))</formula>
    </cfRule>
    <cfRule type="expression" dxfId="117" priority="5">
      <formula>AND($H44 &gt; 0, ISNUMBER($H44))</formula>
    </cfRule>
    <cfRule type="expression" dxfId="116" priority="6">
      <formula>AND($H44 &lt; 0, ISNUMBER($H44))</formula>
    </cfRule>
    <cfRule type="expression" dxfId="115" priority="7">
      <formula>AND($E44 &gt; 0, ISNUMBER($E44))</formula>
    </cfRule>
    <cfRule type="expression" dxfId="114" priority="8">
      <formula>AND($E44 &lt; 0, ISNUMBER($E44))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5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0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4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9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4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9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5D0A0-F19C-4823-BB37-7F107F991CEE}">
  <sheetPr codeName="Sheet7"/>
  <dimension ref="A1:S199"/>
  <sheetViews>
    <sheetView tabSelected="1" topLeftCell="A183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49" t="s">
        <v>0</v>
      </c>
      <c r="B1" s="150"/>
      <c r="C1" s="150"/>
      <c r="D1" s="150"/>
      <c r="E1" s="150"/>
      <c r="F1" s="151"/>
      <c r="G1" s="180">
        <v>44318</v>
      </c>
      <c r="H1" s="181"/>
      <c r="I1" s="182"/>
      <c r="J1" s="149" t="s">
        <v>1</v>
      </c>
      <c r="K1" s="150"/>
      <c r="L1" s="150"/>
      <c r="M1" s="150"/>
      <c r="N1" s="150"/>
      <c r="O1" s="151"/>
      <c r="Q1" s="149" t="s">
        <v>2</v>
      </c>
      <c r="R1" s="151"/>
    </row>
    <row r="2" spans="1:19" ht="17.25" customHeight="1">
      <c r="A2" s="1" t="s">
        <v>3</v>
      </c>
      <c r="B2" s="177" t="s">
        <v>4</v>
      </c>
      <c r="C2" s="178"/>
      <c r="D2" s="178"/>
      <c r="E2" s="178"/>
      <c r="F2" s="179"/>
      <c r="G2" s="174" t="s">
        <v>46</v>
      </c>
      <c r="H2" s="175"/>
      <c r="I2" s="176"/>
      <c r="J2" s="1" t="s">
        <v>3</v>
      </c>
      <c r="K2" s="177" t="s">
        <v>5</v>
      </c>
      <c r="L2" s="178"/>
      <c r="M2" s="178"/>
      <c r="N2" s="178"/>
      <c r="O2" s="179"/>
      <c r="Q2" s="2" t="s">
        <v>6</v>
      </c>
      <c r="R2" s="3">
        <v>0.375</v>
      </c>
    </row>
    <row r="3" spans="1:19" ht="17.25" customHeight="1" thickBot="1">
      <c r="A3" s="4" t="s">
        <v>7</v>
      </c>
      <c r="B3" s="171" t="s">
        <v>8</v>
      </c>
      <c r="C3" s="172"/>
      <c r="D3" s="172"/>
      <c r="E3" s="172"/>
      <c r="F3" s="173"/>
      <c r="G3" s="1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11,918 KRW (0.20%)</v>
      </c>
      <c r="H3" s="169"/>
      <c r="I3" s="170"/>
      <c r="J3" s="4" t="s">
        <v>7</v>
      </c>
      <c r="K3" s="171" t="s">
        <v>9</v>
      </c>
      <c r="L3" s="172"/>
      <c r="M3" s="172"/>
      <c r="N3" s="172"/>
      <c r="O3" s="17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1" t="s">
        <v>12</v>
      </c>
      <c r="C4" s="172"/>
      <c r="D4" s="172"/>
      <c r="E4" s="172"/>
      <c r="F4" s="173"/>
      <c r="G4" s="174" t="s">
        <v>44</v>
      </c>
      <c r="H4" s="175"/>
      <c r="I4" s="176"/>
      <c r="J4" s="4" t="s">
        <v>11</v>
      </c>
      <c r="K4" s="171" t="s">
        <v>13</v>
      </c>
      <c r="L4" s="172"/>
      <c r="M4" s="172"/>
      <c r="N4" s="172"/>
      <c r="O4" s="173"/>
      <c r="Q4" s="71" t="s">
        <v>14</v>
      </c>
      <c r="R4" s="5">
        <v>0.95833333333333337</v>
      </c>
    </row>
    <row r="5" spans="1:19" ht="17.25" customHeight="1" thickBot="1">
      <c r="A5" s="4" t="s">
        <v>15</v>
      </c>
      <c r="B5" s="171" t="s">
        <v>16</v>
      </c>
      <c r="C5" s="172"/>
      <c r="D5" s="172"/>
      <c r="E5" s="172"/>
      <c r="F5" s="173"/>
      <c r="G5" s="1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-9,089 KRW (-0.16%)</v>
      </c>
      <c r="H5" s="169"/>
      <c r="I5" s="170"/>
      <c r="J5" s="4" t="s">
        <v>15</v>
      </c>
      <c r="K5" s="171" t="s">
        <v>17</v>
      </c>
      <c r="L5" s="172"/>
      <c r="M5" s="172"/>
      <c r="N5" s="172"/>
      <c r="O5" s="173"/>
    </row>
    <row r="6" spans="1:19">
      <c r="A6" s="4" t="s">
        <v>18</v>
      </c>
      <c r="B6" s="171" t="s">
        <v>19</v>
      </c>
      <c r="C6" s="172"/>
      <c r="D6" s="172"/>
      <c r="E6" s="172"/>
      <c r="F6" s="173"/>
      <c r="G6" s="174" t="s">
        <v>45</v>
      </c>
      <c r="H6" s="175"/>
      <c r="I6" s="176"/>
      <c r="J6" s="4" t="s">
        <v>18</v>
      </c>
      <c r="K6" s="171" t="s">
        <v>20</v>
      </c>
      <c r="L6" s="172"/>
      <c r="M6" s="172"/>
      <c r="N6" s="172"/>
      <c r="O6" s="173"/>
    </row>
    <row r="7" spans="1:19" ht="17.25" thickBot="1">
      <c r="A7" s="4" t="s">
        <v>21</v>
      </c>
      <c r="B7" s="171" t="s">
        <v>22</v>
      </c>
      <c r="C7" s="172"/>
      <c r="D7" s="172"/>
      <c r="E7" s="172"/>
      <c r="F7" s="173"/>
      <c r="G7" s="1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-17,181 KRW (-0.29%)</v>
      </c>
      <c r="H7" s="169"/>
      <c r="I7" s="170"/>
      <c r="J7" s="4" t="s">
        <v>21</v>
      </c>
      <c r="K7" s="171" t="s">
        <v>23</v>
      </c>
      <c r="L7" s="172"/>
      <c r="M7" s="172"/>
      <c r="N7" s="172"/>
      <c r="O7" s="173"/>
    </row>
    <row r="8" spans="1:19" ht="17.25" thickBot="1">
      <c r="A8" s="4" t="s">
        <v>24</v>
      </c>
      <c r="B8" s="171" t="s">
        <v>25</v>
      </c>
      <c r="C8" s="172"/>
      <c r="D8" s="172"/>
      <c r="E8" s="172"/>
      <c r="F8" s="173"/>
      <c r="G8" s="174" t="s">
        <v>285</v>
      </c>
      <c r="H8" s="175"/>
      <c r="I8" s="176"/>
      <c r="J8" s="4" t="s">
        <v>24</v>
      </c>
      <c r="K8" s="171" t="s">
        <v>26</v>
      </c>
      <c r="L8" s="172"/>
      <c r="M8" s="172"/>
      <c r="N8" s="172"/>
      <c r="O8" s="173"/>
      <c r="Q8" s="149" t="s">
        <v>27</v>
      </c>
      <c r="R8" s="151"/>
    </row>
    <row r="9" spans="1:19" ht="17.25" thickBot="1">
      <c r="A9" s="4" t="s">
        <v>28</v>
      </c>
      <c r="B9" s="171"/>
      <c r="C9" s="172"/>
      <c r="D9" s="172"/>
      <c r="E9" s="172"/>
      <c r="F9" s="173"/>
      <c r="G9" s="1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-40,302 KRW (-0.67%)</v>
      </c>
      <c r="H9" s="169"/>
      <c r="I9" s="170"/>
      <c r="J9" s="4" t="s">
        <v>28</v>
      </c>
      <c r="K9" s="171" t="s">
        <v>293</v>
      </c>
      <c r="L9" s="172"/>
      <c r="M9" s="172"/>
      <c r="N9" s="172"/>
      <c r="O9" s="173"/>
      <c r="Q9" s="2" t="s">
        <v>29</v>
      </c>
      <c r="R9" s="6">
        <v>10</v>
      </c>
    </row>
    <row r="10" spans="1:19">
      <c r="A10" s="4" t="s">
        <v>30</v>
      </c>
      <c r="B10" s="171"/>
      <c r="C10" s="172"/>
      <c r="D10" s="172"/>
      <c r="E10" s="172"/>
      <c r="F10" s="173"/>
      <c r="G10" s="174" t="s">
        <v>47</v>
      </c>
      <c r="H10" s="175"/>
      <c r="I10" s="176"/>
      <c r="J10" s="4" t="s">
        <v>30</v>
      </c>
      <c r="K10" s="171"/>
      <c r="L10" s="172"/>
      <c r="M10" s="172"/>
      <c r="N10" s="172"/>
      <c r="O10" s="173"/>
      <c r="Q10" s="2" t="s">
        <v>31</v>
      </c>
      <c r="R10" s="6">
        <v>100</v>
      </c>
    </row>
    <row r="11" spans="1:19" ht="17.25" thickBot="1">
      <c r="A11" s="7" t="s">
        <v>32</v>
      </c>
      <c r="B11" s="165"/>
      <c r="C11" s="166"/>
      <c r="D11" s="166"/>
      <c r="E11" s="166"/>
      <c r="F11" s="167"/>
      <c r="G11" s="1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-22,131 KRW (-1.48%)</v>
      </c>
      <c r="H11" s="169"/>
      <c r="I11" s="170"/>
      <c r="J11" s="7" t="s">
        <v>32</v>
      </c>
      <c r="K11" s="165"/>
      <c r="L11" s="166"/>
      <c r="M11" s="166"/>
      <c r="N11" s="166"/>
      <c r="O11" s="167"/>
      <c r="Q11" s="71" t="s">
        <v>33</v>
      </c>
      <c r="R11" s="8">
        <v>1000</v>
      </c>
    </row>
    <row r="12" spans="1:19" ht="17.25" thickBot="1"/>
    <row r="13" spans="1:19" ht="17.25" customHeight="1" thickBot="1">
      <c r="A13" s="149" t="s">
        <v>34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1"/>
      <c r="Q13" s="148"/>
      <c r="R13" s="148"/>
      <c r="S13" s="148"/>
    </row>
    <row r="14" spans="1:19" ht="17.25" customHeight="1" thickBot="1">
      <c r="A14" s="122" t="s">
        <v>35</v>
      </c>
      <c r="B14" s="149" t="s">
        <v>36</v>
      </c>
      <c r="C14" s="151"/>
      <c r="D14" s="149" t="s">
        <v>37</v>
      </c>
      <c r="E14" s="150"/>
      <c r="F14" s="151"/>
      <c r="G14" s="152">
        <f>_xlfn.IFNA(VLOOKUP(B14, 현재가테이블!$B$2:$D$200, 2, FALSE), "-")</f>
        <v>68203000</v>
      </c>
      <c r="H14" s="153"/>
      <c r="I14" s="154"/>
      <c r="J14" s="149" t="s">
        <v>38</v>
      </c>
      <c r="K14" s="150"/>
      <c r="L14" s="151"/>
      <c r="M14" s="155">
        <f>_xlfn.IFNA(VLOOKUP(B14, 현재가테이블!$B$2:$D$200, 3, FALSE), "-")</f>
        <v>-1.22521687E-2</v>
      </c>
      <c r="N14" s="156"/>
      <c r="O14" s="157"/>
      <c r="Q14" s="148"/>
      <c r="R14" s="148"/>
      <c r="S14" s="148"/>
    </row>
    <row r="15" spans="1:19" ht="17.25" customHeight="1" thickBot="1">
      <c r="A15" s="158" t="s">
        <v>39</v>
      </c>
      <c r="B15" s="159" t="str">
        <f>TEXT($G$1, "[$-ko-KR]yyyy-mm-dd(ddd) ") &amp; "오전 00:00"</f>
        <v>2021-05-02(일) 오전 00:00</v>
      </c>
      <c r="C15" s="160"/>
      <c r="D15" s="161" t="str">
        <f>TEXT($G$1, "[$-ko-KR]yyyy-mm-dd(ddd) ") &amp; "오후 14:00"</f>
        <v>2021-05-02(일) 오후 14:00</v>
      </c>
      <c r="E15" s="162"/>
      <c r="F15" s="163"/>
      <c r="G15" s="161" t="str">
        <f>TEXT($G$1, "[$-ko-KR]yyyy-mm-dd(ddd) ") &amp; "오후 19:00"</f>
        <v>2021-05-02(일) 오후 19:00</v>
      </c>
      <c r="H15" s="162"/>
      <c r="I15" s="163"/>
      <c r="J15" s="161" t="str">
        <f>TEXT($G$1, "[$-ko-KR]yyyy-mm-dd(ddd) ") &amp; "오후 21:00"</f>
        <v>2021-05-02(일) 오후 21:00</v>
      </c>
      <c r="K15" s="162"/>
      <c r="L15" s="163"/>
      <c r="M15" s="161" t="str">
        <f>TEXT($G$1+1, "[$-ko-KR]yyyy-mm-dd(ddd) ") &amp; "오전 00:00"</f>
        <v>2021-05-03(월) 오전 00:00</v>
      </c>
      <c r="N15" s="162"/>
      <c r="O15" s="163"/>
      <c r="Q15" s="148"/>
      <c r="R15" s="148"/>
      <c r="S15" s="148"/>
    </row>
    <row r="16" spans="1:19" ht="17.25" customHeight="1" thickBot="1">
      <c r="A16" s="15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23" t="s">
        <v>37</v>
      </c>
      <c r="H16" s="124" t="s">
        <v>40</v>
      </c>
      <c r="I16" s="125" t="s">
        <v>41</v>
      </c>
      <c r="J16" s="10" t="s">
        <v>37</v>
      </c>
      <c r="K16" s="10" t="s">
        <v>40</v>
      </c>
      <c r="L16" s="126" t="s">
        <v>41</v>
      </c>
      <c r="M16" s="2" t="s">
        <v>37</v>
      </c>
      <c r="N16" s="10" t="s">
        <v>40</v>
      </c>
      <c r="O16" s="72" t="s">
        <v>41</v>
      </c>
      <c r="Q16" s="127"/>
      <c r="R16" s="127"/>
      <c r="S16" s="127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7">
        <f>IF(NOT(ISBLANK(_xlfn.IFNA(VLOOKUP($A17, $A$40:$O$199, 6, FALSE), ))), _xlfn.IFNA(VLOOKUP($A17, $A$40:$O$199, 6, FALSE), ), "")</f>
        <v>-3278.688524590164</v>
      </c>
      <c r="G17" s="31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11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7" t="str">
        <f>IF(NOT(ISBLANK(_xlfn.IFNA(VLOOKUP($A17, $A$40:$O$199, 12, FALSE), ))), _xlfn.IFNA(VLOOKUP($A17, $A$40:$O$199, 12, FALSE), ), "")</f>
        <v/>
      </c>
      <c r="M17" s="31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7" t="str">
        <f>IF(NOT(ISBLANK(_xlfn.IFNA(VLOOKUP($A17, $A$40:$O$199, 15, FALSE), ))), _xlfn.IFNA(VLOOKUP($A17, $A$40:$O$199, 15, FALSE), ), "")</f>
        <v/>
      </c>
      <c r="Q17" s="148"/>
      <c r="R17" s="148"/>
      <c r="S17" s="148"/>
    </row>
    <row r="18" spans="1:19" ht="17.25" customHeight="1" thickBot="1">
      <c r="A18" s="18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7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7">
        <f t="shared" ref="E18:E36" si="3">IF(NOT(ISBLANK(_xlfn.IFNA(VLOOKUP($A18, $A$40:$O$199, 5, FALSE), ))), _xlfn.IFNA(VLOOKUP($A18, $A$40:$O$199, 5, FALSE), ), "")</f>
        <v>-4.6728971962616819E-3</v>
      </c>
      <c r="F18" s="19">
        <f t="shared" ref="F18:F36" si="4">IF(NOT(ISBLANK(_xlfn.IFNA(VLOOKUP($A18, $A$40:$O$199, 6, FALSE), ))), _xlfn.IFNA(VLOOKUP($A18, $A$40:$O$199, 6, FALSE), ), "")</f>
        <v>-1401.8691588785045</v>
      </c>
      <c r="G18" s="36" t="str">
        <f t="shared" ref="G18:G36" si="5">IF(NOT(ISBLANK(_xlfn.IFNA(VLOOKUP($A18, $A$40:$O$199, 7, FALSE), ))), _xlfn.IFNA(VLOOKUP($A18, $A$40:$O$199, 7, FALSE), ), "")</f>
        <v/>
      </c>
      <c r="H18" s="37" t="str">
        <f t="shared" ref="H18:H36" si="6">IF(NOT(ISBLANK(_xlfn.IFNA(VLOOKUP($A18, $A$40:$O$199, 8, FALSE), ))), _xlfn.IFNA(VLOOKUP($A18, $A$40:$O$199, 8, FALSE), ), "")</f>
        <v/>
      </c>
      <c r="I18" s="112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7" t="str">
        <f t="shared" ref="K18:K36" si="9">IF(NOT(ISBLANK(_xlfn.IFNA(VLOOKUP($A18, $A$40:$O$199, 11, FALSE), ))), _xlfn.IFNA(VLOOKUP($A18, $A$40:$O$199, 11, FALSE), ), "")</f>
        <v/>
      </c>
      <c r="L18" s="19" t="str">
        <f t="shared" ref="L18:L36" si="10">IF(NOT(ISBLANK(_xlfn.IFNA(VLOOKUP($A18, $A$40:$O$199, 12, FALSE), ))), _xlfn.IFNA(VLOOKUP($A18, $A$40:$O$199, 12, FALSE), ), "")</f>
        <v/>
      </c>
      <c r="M18" s="36" t="str">
        <f t="shared" ref="M18:M36" si="11">IF(NOT(ISBLANK(_xlfn.IFNA(VLOOKUP($A18, $A$40:$O$199, 13, FALSE), ))), _xlfn.IFNA(VLOOKUP($A18, $A$40:$O$199, 13, FALSE), ), "")</f>
        <v/>
      </c>
      <c r="N18" s="37" t="str">
        <f t="shared" ref="N18:N36" si="12">IF(NOT(ISBLANK(_xlfn.IFNA(VLOOKUP($A18, $A$40:$O$199, 14, FALSE), ))), _xlfn.IFNA(VLOOKUP($A18, $A$40:$O$199, 14, FALSE), ), "")</f>
        <v/>
      </c>
      <c r="O18" s="19" t="str">
        <f t="shared" ref="O18:O36" si="13">IF(NOT(ISBLANK(_xlfn.IFNA(VLOOKUP($A18, $A$40:$O$199, 15, FALSE), ))), _xlfn.IFNA(VLOOKUP($A18, $A$40:$O$199, 15, FALSE), ), "")</f>
        <v/>
      </c>
      <c r="Q18" s="148"/>
      <c r="R18" s="148"/>
      <c r="S18" s="148"/>
    </row>
    <row r="19" spans="1:19" ht="17.25" customHeight="1" thickBot="1">
      <c r="A19" s="18" t="s">
        <v>88</v>
      </c>
      <c r="B19" s="15">
        <f t="shared" si="0"/>
        <v>653</v>
      </c>
      <c r="C19" s="37">
        <f t="shared" si="1"/>
        <v>-2.82738095E-2</v>
      </c>
      <c r="D19" s="15">
        <f t="shared" si="2"/>
        <v>635</v>
      </c>
      <c r="E19" s="37">
        <f t="shared" si="3"/>
        <v>-2.7565084226646247E-2</v>
      </c>
      <c r="F19" s="19">
        <f t="shared" si="4"/>
        <v>-8269.5252679938749</v>
      </c>
      <c r="G19" s="36" t="str">
        <f t="shared" si="5"/>
        <v/>
      </c>
      <c r="H19" s="37" t="str">
        <f t="shared" si="6"/>
        <v/>
      </c>
      <c r="I19" s="112" t="str">
        <f t="shared" si="7"/>
        <v/>
      </c>
      <c r="J19" s="15" t="str">
        <f t="shared" si="8"/>
        <v/>
      </c>
      <c r="K19" s="37" t="str">
        <f t="shared" si="9"/>
        <v/>
      </c>
      <c r="L19" s="19" t="str">
        <f t="shared" si="10"/>
        <v/>
      </c>
      <c r="M19" s="36" t="str">
        <f t="shared" si="11"/>
        <v/>
      </c>
      <c r="N19" s="37" t="str">
        <f t="shared" si="12"/>
        <v/>
      </c>
      <c r="O19" s="19" t="str">
        <f t="shared" si="13"/>
        <v/>
      </c>
      <c r="Q19" s="127"/>
      <c r="R19" s="127"/>
      <c r="S19" s="127"/>
    </row>
    <row r="20" spans="1:19" ht="17.25" customHeight="1" thickBot="1">
      <c r="A20" s="18" t="s">
        <v>252</v>
      </c>
      <c r="B20" s="15">
        <f t="shared" si="0"/>
        <v>589</v>
      </c>
      <c r="C20" s="37">
        <f t="shared" si="1"/>
        <v>-2.9654036200000001E-2</v>
      </c>
      <c r="D20" s="15">
        <f t="shared" si="2"/>
        <v>581</v>
      </c>
      <c r="E20" s="37">
        <f t="shared" si="3"/>
        <v>-1.3582342954159592E-2</v>
      </c>
      <c r="F20" s="19">
        <f t="shared" si="4"/>
        <v>-4074.7028862478778</v>
      </c>
      <c r="G20" s="36" t="str">
        <f t="shared" si="5"/>
        <v/>
      </c>
      <c r="H20" s="37" t="str">
        <f t="shared" si="6"/>
        <v/>
      </c>
      <c r="I20" s="112" t="str">
        <f t="shared" si="7"/>
        <v/>
      </c>
      <c r="J20" s="15" t="str">
        <f t="shared" si="8"/>
        <v/>
      </c>
      <c r="K20" s="37" t="str">
        <f t="shared" si="9"/>
        <v/>
      </c>
      <c r="L20" s="19" t="str">
        <f t="shared" si="10"/>
        <v/>
      </c>
      <c r="M20" s="36" t="str">
        <f t="shared" si="11"/>
        <v/>
      </c>
      <c r="N20" s="37" t="str">
        <f t="shared" si="12"/>
        <v/>
      </c>
      <c r="O20" s="19" t="str">
        <f t="shared" si="13"/>
        <v/>
      </c>
      <c r="Q20" s="127"/>
      <c r="R20" s="127"/>
      <c r="S20" s="127"/>
    </row>
    <row r="21" spans="1:19" ht="17.25" customHeight="1" thickBot="1">
      <c r="A21" s="20" t="s">
        <v>284</v>
      </c>
      <c r="B21" s="21">
        <f t="shared" si="0"/>
        <v>470</v>
      </c>
      <c r="C21" s="22">
        <f t="shared" si="1"/>
        <v>-3.2921810699999998E-2</v>
      </c>
      <c r="D21" s="21">
        <f t="shared" si="2"/>
        <v>462</v>
      </c>
      <c r="E21" s="22">
        <f t="shared" si="3"/>
        <v>-1.7021276595744681E-2</v>
      </c>
      <c r="F21" s="23">
        <f t="shared" si="4"/>
        <v>-5106.3829787234044</v>
      </c>
      <c r="G21" s="35" t="str">
        <f t="shared" si="5"/>
        <v/>
      </c>
      <c r="H21" s="22" t="str">
        <f t="shared" si="6"/>
        <v/>
      </c>
      <c r="I21" s="116" t="str">
        <f t="shared" si="7"/>
        <v/>
      </c>
      <c r="J21" s="21" t="str">
        <f t="shared" si="8"/>
        <v/>
      </c>
      <c r="K21" s="22" t="str">
        <f t="shared" si="9"/>
        <v/>
      </c>
      <c r="L21" s="23" t="str">
        <f t="shared" si="10"/>
        <v/>
      </c>
      <c r="M21" s="35" t="str">
        <f t="shared" si="11"/>
        <v/>
      </c>
      <c r="N21" s="22" t="str">
        <f t="shared" si="12"/>
        <v/>
      </c>
      <c r="O21" s="23" t="str">
        <f t="shared" si="13"/>
        <v/>
      </c>
      <c r="Q21" s="127"/>
      <c r="R21" s="127"/>
      <c r="S21" s="127"/>
    </row>
    <row r="22" spans="1:19" ht="17.25" customHeight="1" thickBot="1">
      <c r="A22" s="18"/>
      <c r="B22" s="117" t="str">
        <f t="shared" si="0"/>
        <v/>
      </c>
      <c r="C22" s="118" t="str">
        <f t="shared" si="1"/>
        <v/>
      </c>
      <c r="D22" s="117" t="str">
        <f t="shared" si="2"/>
        <v/>
      </c>
      <c r="E22" s="118" t="str">
        <f t="shared" si="3"/>
        <v/>
      </c>
      <c r="F22" s="119" t="str">
        <f t="shared" si="4"/>
        <v/>
      </c>
      <c r="G22" s="120" t="str">
        <f t="shared" si="5"/>
        <v/>
      </c>
      <c r="H22" s="118" t="str">
        <f t="shared" si="6"/>
        <v/>
      </c>
      <c r="I22" s="121" t="str">
        <f t="shared" si="7"/>
        <v/>
      </c>
      <c r="J22" s="117" t="str">
        <f t="shared" si="8"/>
        <v/>
      </c>
      <c r="K22" s="118" t="str">
        <f t="shared" si="9"/>
        <v/>
      </c>
      <c r="L22" s="119" t="str">
        <f t="shared" si="10"/>
        <v/>
      </c>
      <c r="M22" s="120" t="str">
        <f t="shared" si="11"/>
        <v/>
      </c>
      <c r="N22" s="118" t="str">
        <f t="shared" si="12"/>
        <v/>
      </c>
      <c r="O22" s="119" t="str">
        <f t="shared" si="13"/>
        <v/>
      </c>
      <c r="Q22" s="127"/>
      <c r="R22" s="127"/>
      <c r="S22" s="127"/>
    </row>
    <row r="23" spans="1:19" ht="17.25" customHeight="1" thickBot="1">
      <c r="A23" s="18"/>
      <c r="B23" s="15" t="str">
        <f t="shared" si="0"/>
        <v/>
      </c>
      <c r="C23" s="37" t="str">
        <f t="shared" si="1"/>
        <v/>
      </c>
      <c r="D23" s="15" t="str">
        <f t="shared" si="2"/>
        <v/>
      </c>
      <c r="E23" s="37" t="str">
        <f t="shared" si="3"/>
        <v/>
      </c>
      <c r="F23" s="19" t="str">
        <f t="shared" si="4"/>
        <v/>
      </c>
      <c r="G23" s="36" t="str">
        <f t="shared" si="5"/>
        <v/>
      </c>
      <c r="H23" s="37" t="str">
        <f t="shared" si="6"/>
        <v/>
      </c>
      <c r="I23" s="112" t="str">
        <f t="shared" si="7"/>
        <v/>
      </c>
      <c r="J23" s="15" t="str">
        <f t="shared" si="8"/>
        <v/>
      </c>
      <c r="K23" s="37" t="str">
        <f t="shared" si="9"/>
        <v/>
      </c>
      <c r="L23" s="19" t="str">
        <f t="shared" si="10"/>
        <v/>
      </c>
      <c r="M23" s="36" t="str">
        <f t="shared" si="11"/>
        <v/>
      </c>
      <c r="N23" s="37" t="str">
        <f t="shared" si="12"/>
        <v/>
      </c>
      <c r="O23" s="19" t="str">
        <f t="shared" si="13"/>
        <v/>
      </c>
      <c r="Q23" s="127"/>
      <c r="R23" s="127"/>
      <c r="S23" s="127"/>
    </row>
    <row r="24" spans="1:19" ht="17.25" customHeight="1" thickBot="1">
      <c r="A24" s="18"/>
      <c r="B24" s="15" t="str">
        <f t="shared" si="0"/>
        <v/>
      </c>
      <c r="C24" s="37" t="str">
        <f t="shared" si="1"/>
        <v/>
      </c>
      <c r="D24" s="15" t="str">
        <f t="shared" si="2"/>
        <v/>
      </c>
      <c r="E24" s="37" t="str">
        <f t="shared" si="3"/>
        <v/>
      </c>
      <c r="F24" s="19" t="str">
        <f t="shared" si="4"/>
        <v/>
      </c>
      <c r="G24" s="36" t="str">
        <f t="shared" si="5"/>
        <v/>
      </c>
      <c r="H24" s="37" t="str">
        <f t="shared" si="6"/>
        <v/>
      </c>
      <c r="I24" s="112" t="str">
        <f t="shared" si="7"/>
        <v/>
      </c>
      <c r="J24" s="15" t="str">
        <f t="shared" si="8"/>
        <v/>
      </c>
      <c r="K24" s="37" t="str">
        <f t="shared" si="9"/>
        <v/>
      </c>
      <c r="L24" s="19" t="str">
        <f t="shared" si="10"/>
        <v/>
      </c>
      <c r="M24" s="36" t="str">
        <f t="shared" si="11"/>
        <v/>
      </c>
      <c r="N24" s="37" t="str">
        <f t="shared" si="12"/>
        <v/>
      </c>
      <c r="O24" s="19" t="str">
        <f t="shared" si="13"/>
        <v/>
      </c>
      <c r="Q24" s="127"/>
      <c r="R24" s="127"/>
      <c r="S24" s="127"/>
    </row>
    <row r="25" spans="1:19" ht="17.25" customHeight="1" thickBot="1">
      <c r="A25" s="18"/>
      <c r="B25" s="15" t="str">
        <f t="shared" si="0"/>
        <v/>
      </c>
      <c r="C25" s="37" t="str">
        <f t="shared" si="1"/>
        <v/>
      </c>
      <c r="D25" s="15" t="str">
        <f t="shared" si="2"/>
        <v/>
      </c>
      <c r="E25" s="37" t="str">
        <f t="shared" si="3"/>
        <v/>
      </c>
      <c r="F25" s="19" t="str">
        <f t="shared" si="4"/>
        <v/>
      </c>
      <c r="G25" s="36" t="str">
        <f t="shared" si="5"/>
        <v/>
      </c>
      <c r="H25" s="37" t="str">
        <f t="shared" si="6"/>
        <v/>
      </c>
      <c r="I25" s="112" t="str">
        <f t="shared" si="7"/>
        <v/>
      </c>
      <c r="J25" s="15" t="str">
        <f t="shared" si="8"/>
        <v/>
      </c>
      <c r="K25" s="37" t="str">
        <f t="shared" si="9"/>
        <v/>
      </c>
      <c r="L25" s="19" t="str">
        <f t="shared" si="10"/>
        <v/>
      </c>
      <c r="M25" s="36" t="str">
        <f t="shared" si="11"/>
        <v/>
      </c>
      <c r="N25" s="37" t="str">
        <f t="shared" si="12"/>
        <v/>
      </c>
      <c r="O25" s="19" t="str">
        <f t="shared" si="13"/>
        <v/>
      </c>
      <c r="Q25" s="38"/>
      <c r="R25" s="38"/>
    </row>
    <row r="26" spans="1:19" ht="17.25" customHeight="1" thickBot="1">
      <c r="A26" s="24"/>
      <c r="B26" s="25" t="str">
        <f t="shared" si="0"/>
        <v/>
      </c>
      <c r="C26" s="26" t="str">
        <f t="shared" si="1"/>
        <v/>
      </c>
      <c r="D26" s="25" t="str">
        <f t="shared" si="2"/>
        <v/>
      </c>
      <c r="E26" s="26" t="str">
        <f t="shared" si="3"/>
        <v/>
      </c>
      <c r="F26" s="115" t="str">
        <f t="shared" si="4"/>
        <v/>
      </c>
      <c r="G26" s="113" t="str">
        <f t="shared" si="5"/>
        <v/>
      </c>
      <c r="H26" s="26" t="str">
        <f t="shared" si="6"/>
        <v/>
      </c>
      <c r="I26" s="114" t="str">
        <f t="shared" si="7"/>
        <v/>
      </c>
      <c r="J26" s="25" t="str">
        <f t="shared" si="8"/>
        <v/>
      </c>
      <c r="K26" s="26" t="str">
        <f t="shared" si="9"/>
        <v/>
      </c>
      <c r="L26" s="115" t="str">
        <f t="shared" si="10"/>
        <v/>
      </c>
      <c r="M26" s="113" t="str">
        <f t="shared" si="11"/>
        <v/>
      </c>
      <c r="N26" s="26" t="str">
        <f t="shared" si="12"/>
        <v/>
      </c>
      <c r="O26" s="115" t="str">
        <f t="shared" si="13"/>
        <v/>
      </c>
      <c r="Q26" s="139"/>
      <c r="R26" s="140"/>
      <c r="S26" s="14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7" t="str">
        <f t="shared" si="4"/>
        <v/>
      </c>
      <c r="G27" s="31" t="str">
        <f t="shared" si="5"/>
        <v/>
      </c>
      <c r="H27" s="14" t="str">
        <f t="shared" si="6"/>
        <v/>
      </c>
      <c r="I27" s="111" t="str">
        <f t="shared" si="7"/>
        <v/>
      </c>
      <c r="J27" s="13" t="str">
        <f t="shared" si="8"/>
        <v/>
      </c>
      <c r="K27" s="14" t="str">
        <f t="shared" si="9"/>
        <v/>
      </c>
      <c r="L27" s="17" t="str">
        <f t="shared" si="10"/>
        <v/>
      </c>
      <c r="M27" s="31" t="str">
        <f t="shared" si="11"/>
        <v/>
      </c>
      <c r="N27" s="14" t="str">
        <f t="shared" si="12"/>
        <v/>
      </c>
      <c r="O27" s="17" t="str">
        <f t="shared" si="13"/>
        <v/>
      </c>
      <c r="Q27" s="142"/>
      <c r="R27" s="143"/>
      <c r="S27" s="144"/>
    </row>
    <row r="28" spans="1:19" ht="17.25" customHeight="1" thickBot="1">
      <c r="A28" s="18"/>
      <c r="B28" s="15" t="str">
        <f t="shared" si="0"/>
        <v/>
      </c>
      <c r="C28" s="37" t="str">
        <f t="shared" si="1"/>
        <v/>
      </c>
      <c r="D28" s="15" t="str">
        <f t="shared" si="2"/>
        <v/>
      </c>
      <c r="E28" s="37" t="str">
        <f t="shared" si="3"/>
        <v/>
      </c>
      <c r="F28" s="19" t="str">
        <f t="shared" si="4"/>
        <v/>
      </c>
      <c r="G28" s="36" t="str">
        <f t="shared" si="5"/>
        <v/>
      </c>
      <c r="H28" s="37" t="str">
        <f t="shared" si="6"/>
        <v/>
      </c>
      <c r="I28" s="112" t="str">
        <f t="shared" si="7"/>
        <v/>
      </c>
      <c r="J28" s="15" t="str">
        <f t="shared" si="8"/>
        <v/>
      </c>
      <c r="K28" s="37" t="str">
        <f t="shared" si="9"/>
        <v/>
      </c>
      <c r="L28" s="19" t="str">
        <f t="shared" si="10"/>
        <v/>
      </c>
      <c r="M28" s="36" t="str">
        <f t="shared" si="11"/>
        <v/>
      </c>
      <c r="N28" s="37" t="str">
        <f t="shared" si="12"/>
        <v/>
      </c>
      <c r="O28" s="19" t="str">
        <f t="shared" si="13"/>
        <v/>
      </c>
      <c r="Q28" s="145"/>
      <c r="R28" s="146"/>
      <c r="S28" s="147"/>
    </row>
    <row r="29" spans="1:19" ht="17.25" customHeight="1" thickBot="1">
      <c r="A29" s="18"/>
      <c r="B29" s="15" t="str">
        <f t="shared" si="0"/>
        <v/>
      </c>
      <c r="C29" s="37" t="str">
        <f t="shared" si="1"/>
        <v/>
      </c>
      <c r="D29" s="15" t="str">
        <f t="shared" si="2"/>
        <v/>
      </c>
      <c r="E29" s="37" t="str">
        <f t="shared" si="3"/>
        <v/>
      </c>
      <c r="F29" s="19" t="str">
        <f t="shared" si="4"/>
        <v/>
      </c>
      <c r="G29" s="36" t="str">
        <f t="shared" si="5"/>
        <v/>
      </c>
      <c r="H29" s="37" t="str">
        <f t="shared" si="6"/>
        <v/>
      </c>
      <c r="I29" s="112" t="str">
        <f t="shared" si="7"/>
        <v/>
      </c>
      <c r="J29" s="15" t="str">
        <f t="shared" si="8"/>
        <v/>
      </c>
      <c r="K29" s="37" t="str">
        <f t="shared" si="9"/>
        <v/>
      </c>
      <c r="L29" s="19" t="str">
        <f t="shared" si="10"/>
        <v/>
      </c>
      <c r="M29" s="36" t="str">
        <f t="shared" si="11"/>
        <v/>
      </c>
      <c r="N29" s="37" t="str">
        <f t="shared" si="12"/>
        <v/>
      </c>
      <c r="O29" s="19" t="str">
        <f t="shared" si="13"/>
        <v/>
      </c>
      <c r="Q29" s="127"/>
      <c r="R29" s="127"/>
      <c r="S29" s="127"/>
    </row>
    <row r="30" spans="1:19" ht="17.25" customHeight="1" thickBot="1">
      <c r="A30" s="18"/>
      <c r="B30" s="15" t="str">
        <f t="shared" si="0"/>
        <v/>
      </c>
      <c r="C30" s="37" t="str">
        <f t="shared" si="1"/>
        <v/>
      </c>
      <c r="D30" s="15" t="str">
        <f t="shared" si="2"/>
        <v/>
      </c>
      <c r="E30" s="37" t="str">
        <f t="shared" si="3"/>
        <v/>
      </c>
      <c r="F30" s="19" t="str">
        <f t="shared" si="4"/>
        <v/>
      </c>
      <c r="G30" s="36" t="str">
        <f t="shared" si="5"/>
        <v/>
      </c>
      <c r="H30" s="37" t="str">
        <f t="shared" si="6"/>
        <v/>
      </c>
      <c r="I30" s="112" t="str">
        <f t="shared" si="7"/>
        <v/>
      </c>
      <c r="J30" s="15" t="str">
        <f t="shared" si="8"/>
        <v/>
      </c>
      <c r="K30" s="37" t="str">
        <f t="shared" si="9"/>
        <v/>
      </c>
      <c r="L30" s="19" t="str">
        <f t="shared" si="10"/>
        <v/>
      </c>
      <c r="M30" s="36" t="str">
        <f t="shared" si="11"/>
        <v/>
      </c>
      <c r="N30" s="37" t="str">
        <f t="shared" si="12"/>
        <v/>
      </c>
      <c r="O30" s="19" t="str">
        <f t="shared" si="13"/>
        <v/>
      </c>
      <c r="Q30" s="148"/>
      <c r="R30" s="148"/>
      <c r="S30" s="148"/>
    </row>
    <row r="31" spans="1:19" ht="17.25" customHeight="1" thickBot="1">
      <c r="A31" s="20"/>
      <c r="B31" s="21" t="str">
        <f t="shared" si="0"/>
        <v/>
      </c>
      <c r="C31" s="22" t="str">
        <f t="shared" si="1"/>
        <v/>
      </c>
      <c r="D31" s="21" t="str">
        <f t="shared" si="2"/>
        <v/>
      </c>
      <c r="E31" s="22" t="str">
        <f t="shared" si="3"/>
        <v/>
      </c>
      <c r="F31" s="23" t="str">
        <f t="shared" si="4"/>
        <v/>
      </c>
      <c r="G31" s="35" t="str">
        <f t="shared" si="5"/>
        <v/>
      </c>
      <c r="H31" s="22" t="str">
        <f t="shared" si="6"/>
        <v/>
      </c>
      <c r="I31" s="116" t="str">
        <f t="shared" si="7"/>
        <v/>
      </c>
      <c r="J31" s="21" t="str">
        <f t="shared" si="8"/>
        <v/>
      </c>
      <c r="K31" s="22" t="str">
        <f t="shared" si="9"/>
        <v/>
      </c>
      <c r="L31" s="23" t="str">
        <f t="shared" si="10"/>
        <v/>
      </c>
      <c r="M31" s="35" t="str">
        <f t="shared" si="11"/>
        <v/>
      </c>
      <c r="N31" s="22" t="str">
        <f t="shared" si="12"/>
        <v/>
      </c>
      <c r="O31" s="23" t="str">
        <f t="shared" si="13"/>
        <v/>
      </c>
      <c r="Q31" s="148"/>
      <c r="R31" s="148"/>
      <c r="S31" s="148"/>
    </row>
    <row r="32" spans="1:19" ht="17.25" customHeight="1" thickBot="1">
      <c r="A32" s="18"/>
      <c r="B32" s="117" t="str">
        <f t="shared" si="0"/>
        <v/>
      </c>
      <c r="C32" s="118" t="str">
        <f t="shared" si="1"/>
        <v/>
      </c>
      <c r="D32" s="117" t="str">
        <f t="shared" si="2"/>
        <v/>
      </c>
      <c r="E32" s="118" t="str">
        <f t="shared" si="3"/>
        <v/>
      </c>
      <c r="F32" s="119" t="str">
        <f t="shared" si="4"/>
        <v/>
      </c>
      <c r="G32" s="120" t="str">
        <f t="shared" si="5"/>
        <v/>
      </c>
      <c r="H32" s="118" t="str">
        <f t="shared" si="6"/>
        <v/>
      </c>
      <c r="I32" s="121" t="str">
        <f t="shared" si="7"/>
        <v/>
      </c>
      <c r="J32" s="117" t="str">
        <f t="shared" si="8"/>
        <v/>
      </c>
      <c r="K32" s="118" t="str">
        <f t="shared" si="9"/>
        <v/>
      </c>
      <c r="L32" s="119" t="str">
        <f t="shared" si="10"/>
        <v/>
      </c>
      <c r="M32" s="120" t="str">
        <f t="shared" si="11"/>
        <v/>
      </c>
      <c r="N32" s="118" t="str">
        <f t="shared" si="12"/>
        <v/>
      </c>
      <c r="O32" s="119" t="str">
        <f t="shared" si="13"/>
        <v/>
      </c>
      <c r="Q32" s="127"/>
      <c r="R32" s="127"/>
      <c r="S32" s="127"/>
    </row>
    <row r="33" spans="1:19" ht="17.25" customHeight="1" thickBot="1">
      <c r="A33" s="18"/>
      <c r="B33" s="15" t="str">
        <f t="shared" si="0"/>
        <v/>
      </c>
      <c r="C33" s="37" t="str">
        <f t="shared" si="1"/>
        <v/>
      </c>
      <c r="D33" s="15" t="str">
        <f t="shared" si="2"/>
        <v/>
      </c>
      <c r="E33" s="37" t="str">
        <f t="shared" si="3"/>
        <v/>
      </c>
      <c r="F33" s="19" t="str">
        <f t="shared" si="4"/>
        <v/>
      </c>
      <c r="G33" s="36" t="str">
        <f t="shared" si="5"/>
        <v/>
      </c>
      <c r="H33" s="37" t="str">
        <f t="shared" si="6"/>
        <v/>
      </c>
      <c r="I33" s="112" t="str">
        <f t="shared" si="7"/>
        <v/>
      </c>
      <c r="J33" s="15" t="str">
        <f t="shared" si="8"/>
        <v/>
      </c>
      <c r="K33" s="37" t="str">
        <f t="shared" si="9"/>
        <v/>
      </c>
      <c r="L33" s="19" t="str">
        <f t="shared" si="10"/>
        <v/>
      </c>
      <c r="M33" s="36" t="str">
        <f t="shared" si="11"/>
        <v/>
      </c>
      <c r="N33" s="37" t="str">
        <f t="shared" si="12"/>
        <v/>
      </c>
      <c r="O33" s="19" t="str">
        <f t="shared" si="13"/>
        <v/>
      </c>
      <c r="Q33" s="127"/>
      <c r="R33" s="127"/>
      <c r="S33" s="127"/>
    </row>
    <row r="34" spans="1:19" ht="17.25" customHeight="1" thickBot="1">
      <c r="A34" s="18"/>
      <c r="B34" s="15" t="str">
        <f t="shared" si="0"/>
        <v/>
      </c>
      <c r="C34" s="37" t="str">
        <f t="shared" si="1"/>
        <v/>
      </c>
      <c r="D34" s="15" t="str">
        <f t="shared" si="2"/>
        <v/>
      </c>
      <c r="E34" s="37" t="str">
        <f t="shared" si="3"/>
        <v/>
      </c>
      <c r="F34" s="19" t="str">
        <f t="shared" si="4"/>
        <v/>
      </c>
      <c r="G34" s="36" t="str">
        <f t="shared" si="5"/>
        <v/>
      </c>
      <c r="H34" s="37" t="str">
        <f t="shared" si="6"/>
        <v/>
      </c>
      <c r="I34" s="112" t="str">
        <f t="shared" si="7"/>
        <v/>
      </c>
      <c r="J34" s="15" t="str">
        <f t="shared" si="8"/>
        <v/>
      </c>
      <c r="K34" s="37" t="str">
        <f t="shared" si="9"/>
        <v/>
      </c>
      <c r="L34" s="19" t="str">
        <f t="shared" si="10"/>
        <v/>
      </c>
      <c r="M34" s="36" t="str">
        <f t="shared" si="11"/>
        <v/>
      </c>
      <c r="N34" s="37" t="str">
        <f t="shared" si="12"/>
        <v/>
      </c>
      <c r="O34" s="19" t="str">
        <f t="shared" si="13"/>
        <v/>
      </c>
      <c r="Q34" s="127"/>
      <c r="R34" s="127"/>
      <c r="S34" s="127"/>
    </row>
    <row r="35" spans="1:19" ht="17.25" customHeight="1">
      <c r="A35" s="18"/>
      <c r="B35" s="15" t="str">
        <f t="shared" si="0"/>
        <v/>
      </c>
      <c r="C35" s="37" t="str">
        <f t="shared" si="1"/>
        <v/>
      </c>
      <c r="D35" s="15" t="str">
        <f t="shared" si="2"/>
        <v/>
      </c>
      <c r="E35" s="37" t="str">
        <f t="shared" si="3"/>
        <v/>
      </c>
      <c r="F35" s="19" t="str">
        <f t="shared" si="4"/>
        <v/>
      </c>
      <c r="G35" s="36" t="str">
        <f t="shared" si="5"/>
        <v/>
      </c>
      <c r="H35" s="37" t="str">
        <f t="shared" si="6"/>
        <v/>
      </c>
      <c r="I35" s="112" t="str">
        <f t="shared" si="7"/>
        <v/>
      </c>
      <c r="J35" s="15" t="str">
        <f t="shared" si="8"/>
        <v/>
      </c>
      <c r="K35" s="37" t="str">
        <f t="shared" si="9"/>
        <v/>
      </c>
      <c r="L35" s="19" t="str">
        <f t="shared" si="10"/>
        <v/>
      </c>
      <c r="M35" s="36" t="str">
        <f t="shared" si="11"/>
        <v/>
      </c>
      <c r="N35" s="37" t="str">
        <f t="shared" si="12"/>
        <v/>
      </c>
      <c r="O35" s="19" t="str">
        <f t="shared" si="13"/>
        <v/>
      </c>
      <c r="Q35" s="128"/>
      <c r="R35" s="129"/>
      <c r="S35" s="130"/>
    </row>
    <row r="36" spans="1:19" ht="17.25" customHeight="1" thickBot="1">
      <c r="A36" s="24"/>
      <c r="B36" s="25" t="str">
        <f t="shared" si="0"/>
        <v/>
      </c>
      <c r="C36" s="26" t="str">
        <f t="shared" si="1"/>
        <v/>
      </c>
      <c r="D36" s="25" t="str">
        <f t="shared" si="2"/>
        <v/>
      </c>
      <c r="E36" s="26" t="str">
        <f t="shared" si="3"/>
        <v/>
      </c>
      <c r="F36" s="115" t="str">
        <f t="shared" si="4"/>
        <v/>
      </c>
      <c r="G36" s="113" t="str">
        <f t="shared" si="5"/>
        <v/>
      </c>
      <c r="H36" s="26" t="str">
        <f t="shared" si="6"/>
        <v/>
      </c>
      <c r="I36" s="114" t="str">
        <f t="shared" si="7"/>
        <v/>
      </c>
      <c r="J36" s="25" t="str">
        <f t="shared" si="8"/>
        <v/>
      </c>
      <c r="K36" s="26" t="str">
        <f t="shared" si="9"/>
        <v/>
      </c>
      <c r="L36" s="115" t="str">
        <f t="shared" si="10"/>
        <v/>
      </c>
      <c r="M36" s="113" t="str">
        <f t="shared" si="11"/>
        <v/>
      </c>
      <c r="N36" s="26" t="str">
        <f t="shared" si="12"/>
        <v/>
      </c>
      <c r="O36" s="115" t="str">
        <f t="shared" si="13"/>
        <v/>
      </c>
      <c r="Q36" s="131"/>
      <c r="R36" s="132"/>
      <c r="S36" s="133"/>
    </row>
    <row r="37" spans="1:19" ht="17.25" customHeight="1" thickBot="1">
      <c r="A37" s="27" t="s">
        <v>42</v>
      </c>
      <c r="B37" s="137">
        <v>300000</v>
      </c>
      <c r="C37" s="138"/>
      <c r="D37" s="27" t="s">
        <v>43</v>
      </c>
      <c r="E37" s="28">
        <f>IF(COUNT(E17:E26), SUM(E17:E26) / COUNT(E17:E26), 0)</f>
        <v>-1.4754112544289216E-2</v>
      </c>
      <c r="F37" s="29">
        <f>SUM(F17:F26)</f>
        <v>-22131.168816433827</v>
      </c>
      <c r="G37" s="27" t="s">
        <v>43</v>
      </c>
      <c r="H37" s="28">
        <f>IF(COUNT(H17:H26), SUM(H17:H26) / COUNT(H17:H26), 0)</f>
        <v>0</v>
      </c>
      <c r="I37" s="29">
        <f>SUM(I17:I26)</f>
        <v>0</v>
      </c>
      <c r="J37" s="27" t="s">
        <v>43</v>
      </c>
      <c r="K37" s="28">
        <f>IF(COUNT(K17:K26), SUM(K17:K26) / COUNT(K17:K26), 0)</f>
        <v>0</v>
      </c>
      <c r="L37" s="29">
        <f>SUM(L17:L26)</f>
        <v>0</v>
      </c>
      <c r="M37" s="27" t="s">
        <v>43</v>
      </c>
      <c r="N37" s="28">
        <f>IF(COUNT(N17:N26), SUM(N17:N26) / COUNT(N17:N26), 0)</f>
        <v>0</v>
      </c>
      <c r="O37" s="29">
        <f>SUM(O17:O26)</f>
        <v>0</v>
      </c>
      <c r="Q37" s="134"/>
      <c r="R37" s="135"/>
      <c r="S37" s="136"/>
    </row>
    <row r="38" spans="1:19" ht="17.25" customHeight="1"/>
    <row r="39" spans="1:19" ht="17.25" customHeight="1" thickBot="1"/>
    <row r="40" spans="1:19" ht="17.25" customHeight="1" thickBot="1">
      <c r="A40" s="149" t="s">
        <v>44</v>
      </c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1"/>
      <c r="Q40" s="148"/>
      <c r="R40" s="148"/>
      <c r="S40" s="148"/>
    </row>
    <row r="41" spans="1:19" ht="17.25" customHeight="1" thickBot="1">
      <c r="A41" s="122" t="s">
        <v>35</v>
      </c>
      <c r="B41" s="149" t="s">
        <v>36</v>
      </c>
      <c r="C41" s="151"/>
      <c r="D41" s="149" t="s">
        <v>37</v>
      </c>
      <c r="E41" s="150"/>
      <c r="F41" s="151"/>
      <c r="G41" s="152">
        <f>_xlfn.IFNA(VLOOKUP(B41, 현재가테이블!$B$2:$D$200, 2, FALSE), "-")</f>
        <v>68203000</v>
      </c>
      <c r="H41" s="153"/>
      <c r="I41" s="154"/>
      <c r="J41" s="149" t="s">
        <v>38</v>
      </c>
      <c r="K41" s="150"/>
      <c r="L41" s="151"/>
      <c r="M41" s="155">
        <f>_xlfn.IFNA(VLOOKUP(B41, 현재가테이블!$B$2:$D$200, 3, FALSE), "-")</f>
        <v>-1.22521687E-2</v>
      </c>
      <c r="N41" s="156"/>
      <c r="O41" s="157"/>
      <c r="Q41" s="148"/>
      <c r="R41" s="148"/>
      <c r="S41" s="148"/>
    </row>
    <row r="42" spans="1:19" ht="17.25" customHeight="1" thickBot="1">
      <c r="A42" s="158" t="s">
        <v>39</v>
      </c>
      <c r="B42" s="159" t="str">
        <f>TEXT($G$1, "[$-ko-KR]yyyy-mm-dd(ddd) ") &amp; "오전 00:00"</f>
        <v>2021-05-02(일) 오전 00:00</v>
      </c>
      <c r="C42" s="160"/>
      <c r="D42" s="161" t="str">
        <f>TEXT($G$1, "[$-ko-KR]yyyy-mm-dd(ddd) ") &amp; "오후 14:00"</f>
        <v>2021-05-02(일) 오후 14:00</v>
      </c>
      <c r="E42" s="162"/>
      <c r="F42" s="163"/>
      <c r="G42" s="161" t="str">
        <f>TEXT($G$1, "[$-ko-KR]yyyy-mm-dd(ddd) ") &amp; "오후 19:00"</f>
        <v>2021-05-02(일) 오후 19:00</v>
      </c>
      <c r="H42" s="162"/>
      <c r="I42" s="163"/>
      <c r="J42" s="164" t="str">
        <f>TEXT($G$1, "[$-ko-KR]yyyy-mm-dd(ddd) ") &amp; "오후 21:00"</f>
        <v>2021-05-02(일) 오후 21:00</v>
      </c>
      <c r="K42" s="164"/>
      <c r="L42" s="164"/>
      <c r="M42" s="161" t="str">
        <f>TEXT($G$1+1, "[$-ko-KR]yyyy-mm-dd(ddd) ") &amp; "오전 00:00"</f>
        <v>2021-05-03(월) 오전 00:00</v>
      </c>
      <c r="N42" s="162"/>
      <c r="O42" s="163"/>
      <c r="Q42" s="148"/>
      <c r="R42" s="148"/>
      <c r="S42" s="148"/>
    </row>
    <row r="43" spans="1:19" ht="17.25" customHeight="1" thickBot="1">
      <c r="A43" s="158"/>
      <c r="B43" s="2" t="s">
        <v>37</v>
      </c>
      <c r="C43" s="10" t="s">
        <v>38</v>
      </c>
      <c r="D43" s="2" t="s">
        <v>37</v>
      </c>
      <c r="E43" s="10" t="s">
        <v>40</v>
      </c>
      <c r="F43" s="11" t="s">
        <v>41</v>
      </c>
      <c r="G43" s="2" t="s">
        <v>37</v>
      </c>
      <c r="H43" s="10" t="s">
        <v>40</v>
      </c>
      <c r="I43" s="11" t="s">
        <v>41</v>
      </c>
      <c r="J43" s="10" t="s">
        <v>37</v>
      </c>
      <c r="K43" s="10" t="s">
        <v>40</v>
      </c>
      <c r="L43" s="126" t="s">
        <v>41</v>
      </c>
      <c r="M43" s="2" t="s">
        <v>37</v>
      </c>
      <c r="N43" s="10" t="s">
        <v>40</v>
      </c>
      <c r="O43" s="72" t="s">
        <v>41</v>
      </c>
      <c r="Q43" s="127"/>
      <c r="R43" s="127"/>
      <c r="S43" s="127"/>
    </row>
    <row r="44" spans="1:19" ht="17.25" customHeight="1" thickBot="1">
      <c r="A44" s="30" t="s">
        <v>72</v>
      </c>
      <c r="B44" s="31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7">
        <f>IF(ISNUMBER(D44), $B64 * E44, "")</f>
        <v>-7219.2513368983846</v>
      </c>
      <c r="G44" s="13"/>
      <c r="H44" s="14" t="str">
        <f>IF(ISNUMBER(G44), (G44 - $B44) / $B44, "")</f>
        <v/>
      </c>
      <c r="I44" s="17" t="str">
        <f>IF(ISNUMBER(G44), $B64 * H44, "")</f>
        <v/>
      </c>
      <c r="J44" s="13"/>
      <c r="K44" s="14" t="str">
        <f>IF(ISNUMBER(J44), (J44 - $B44) / $B44, "")</f>
        <v/>
      </c>
      <c r="L44" s="17" t="str">
        <f>IF(ISNUMBER(J44), $B64 * K44, "")</f>
        <v/>
      </c>
      <c r="M44" s="13"/>
      <c r="N44" s="14" t="str">
        <f>IF(ISNUMBER(M44), (M44 - $B44) / $B44, "")</f>
        <v/>
      </c>
      <c r="O44" s="17" t="str">
        <f>IF(ISNUMBER(M44), $B64 * N44, "")</f>
        <v/>
      </c>
      <c r="Q44" s="148"/>
      <c r="R44" s="148"/>
      <c r="S44" s="148"/>
    </row>
    <row r="45" spans="1:19" ht="17.25" customHeight="1" thickBot="1">
      <c r="A45" s="32" t="s">
        <v>100</v>
      </c>
      <c r="B45" s="33">
        <v>8.5500000000000007</v>
      </c>
      <c r="C45" s="16">
        <v>2.3446659E-3</v>
      </c>
      <c r="D45" s="15">
        <v>8.4499999999999993</v>
      </c>
      <c r="E45" s="16">
        <f t="shared" ref="E45:E48" si="14">IF(ISNUMBER(D45), (D45 - $B45) / $B45, "")</f>
        <v>-1.1695906432748704E-2</v>
      </c>
      <c r="F45" s="19">
        <f>IF(ISNUMBER(D45), $B64 * E45, "")</f>
        <v>-3508.7719298246111</v>
      </c>
      <c r="G45" s="15"/>
      <c r="H45" s="16" t="str">
        <f t="shared" ref="H45:H48" si="15">IF(ISNUMBER(G45), (G45 - $B45) / $B45, "")</f>
        <v/>
      </c>
      <c r="I45" s="19" t="str">
        <f>IF(ISNUMBER(G45), $B64 * H45, "")</f>
        <v/>
      </c>
      <c r="J45" s="15"/>
      <c r="K45" s="16" t="str">
        <f t="shared" ref="K45:K48" si="16">IF(ISNUMBER(J45), (J45 - $B45) / $B45, "")</f>
        <v/>
      </c>
      <c r="L45" s="19" t="str">
        <f>IF(ISNUMBER(J45), $B64 * K45, "")</f>
        <v/>
      </c>
      <c r="M45" s="15"/>
      <c r="N45" s="16" t="str">
        <f t="shared" ref="N45:N48" si="17">IF(ISNUMBER(M45), (M45 - $B45) / $B45, "")</f>
        <v/>
      </c>
      <c r="O45" s="19" t="str">
        <f>IF(ISNUMBER(M45), $B64 * N45, "")</f>
        <v/>
      </c>
      <c r="Q45" s="148"/>
      <c r="R45" s="148"/>
      <c r="S45" s="148"/>
    </row>
    <row r="46" spans="1:19" ht="17.25" customHeight="1" thickBot="1">
      <c r="A46" s="32" t="s">
        <v>228</v>
      </c>
      <c r="B46" s="33">
        <v>19.899999999999999</v>
      </c>
      <c r="C46" s="16">
        <v>-9.9502488000000004E-3</v>
      </c>
      <c r="D46" s="15">
        <v>20.100000000000001</v>
      </c>
      <c r="E46" s="16">
        <f t="shared" si="14"/>
        <v>1.0050251256281551E-2</v>
      </c>
      <c r="F46" s="19">
        <f>IF(ISNUMBER(D46), $B64 * E46, "")</f>
        <v>3015.0753768844652</v>
      </c>
      <c r="G46" s="15"/>
      <c r="H46" s="16" t="str">
        <f t="shared" si="15"/>
        <v/>
      </c>
      <c r="I46" s="19" t="str">
        <f>IF(ISNUMBER(G46), $B64 * H46, "")</f>
        <v/>
      </c>
      <c r="J46" s="15"/>
      <c r="K46" s="16" t="str">
        <f t="shared" si="16"/>
        <v/>
      </c>
      <c r="L46" s="19" t="str">
        <f>IF(ISNUMBER(J46), $B64 * K46, "")</f>
        <v/>
      </c>
      <c r="M46" s="15"/>
      <c r="N46" s="16" t="str">
        <f t="shared" si="17"/>
        <v/>
      </c>
      <c r="O46" s="19" t="str">
        <f>IF(ISNUMBER(M46), $B64 * N46, "")</f>
        <v/>
      </c>
      <c r="Q46" s="127"/>
      <c r="R46" s="127"/>
      <c r="S46" s="127"/>
    </row>
    <row r="47" spans="1:19" ht="17.25" customHeight="1" thickBot="1">
      <c r="A47" s="32" t="s">
        <v>220</v>
      </c>
      <c r="B47" s="33">
        <v>20.2</v>
      </c>
      <c r="C47" s="16">
        <v>-1.9417475699999999E-2</v>
      </c>
      <c r="D47" s="15">
        <v>20.100000000000001</v>
      </c>
      <c r="E47" s="16">
        <f t="shared" si="14"/>
        <v>-4.9504950495048447E-3</v>
      </c>
      <c r="F47" s="19">
        <f>IF(ISNUMBER(D47), $B64 * E47, "")</f>
        <v>-1485.1485148514535</v>
      </c>
      <c r="G47" s="15"/>
      <c r="H47" s="16" t="str">
        <f t="shared" si="15"/>
        <v/>
      </c>
      <c r="I47" s="19" t="str">
        <f>IF(ISNUMBER(G47), $B64 * H47, "")</f>
        <v/>
      </c>
      <c r="J47" s="15"/>
      <c r="K47" s="16" t="str">
        <f t="shared" si="16"/>
        <v/>
      </c>
      <c r="L47" s="19" t="str">
        <f>IF(ISNUMBER(J47), $B64 * K47, "")</f>
        <v/>
      </c>
      <c r="M47" s="15"/>
      <c r="N47" s="16" t="str">
        <f t="shared" si="17"/>
        <v/>
      </c>
      <c r="O47" s="19" t="str">
        <f>IF(ISNUMBER(M47), $B64 * N47, "")</f>
        <v/>
      </c>
      <c r="Q47" s="127"/>
      <c r="R47" s="127"/>
      <c r="S47" s="127"/>
    </row>
    <row r="48" spans="1:19" ht="17.25" customHeight="1" thickBot="1">
      <c r="A48" s="34" t="s">
        <v>222</v>
      </c>
      <c r="B48" s="35">
        <v>20.100000000000001</v>
      </c>
      <c r="C48" s="22">
        <v>-1.9512195100000001E-2</v>
      </c>
      <c r="D48" s="21">
        <v>20</v>
      </c>
      <c r="E48" s="22">
        <f t="shared" si="14"/>
        <v>-4.9751243781095229E-3</v>
      </c>
      <c r="F48" s="23">
        <f>IF(ISNUMBER(D48), $B64 * E48, "")</f>
        <v>-1492.5373134328568</v>
      </c>
      <c r="G48" s="21"/>
      <c r="H48" s="22" t="str">
        <f t="shared" si="15"/>
        <v/>
      </c>
      <c r="I48" s="23" t="str">
        <f>IF(ISNUMBER(G48), $B64 * H48, "")</f>
        <v/>
      </c>
      <c r="J48" s="21"/>
      <c r="K48" s="22" t="str">
        <f t="shared" si="16"/>
        <v/>
      </c>
      <c r="L48" s="23" t="str">
        <f>IF(ISNUMBER(J48), $B64 * K48, "")</f>
        <v/>
      </c>
      <c r="M48" s="21"/>
      <c r="N48" s="22" t="str">
        <f t="shared" si="17"/>
        <v/>
      </c>
      <c r="O48" s="23" t="str">
        <f>IF(ISNUMBER(M48), $B64 * N48, "")</f>
        <v/>
      </c>
      <c r="Q48" s="127"/>
      <c r="R48" s="127"/>
      <c r="S48" s="127"/>
    </row>
    <row r="49" spans="1:19" ht="17.25" customHeight="1" thickBot="1">
      <c r="A49" s="32" t="s">
        <v>198</v>
      </c>
      <c r="B49" s="36">
        <v>31.7</v>
      </c>
      <c r="C49" s="37">
        <v>-2.1604938300000001E-2</v>
      </c>
      <c r="D49" s="15">
        <v>31.5</v>
      </c>
      <c r="E49" s="37">
        <f>IF(ISNUMBER(D49), (D49 - $B49) / $B49, "")</f>
        <v>-6.3091482649842053E-3</v>
      </c>
      <c r="F49" s="19">
        <f>IF(ISNUMBER(D49), $B64 * E49, "")</f>
        <v>-1892.7444794952617</v>
      </c>
      <c r="G49" s="15"/>
      <c r="H49" s="37" t="str">
        <f>IF(ISNUMBER(G49), (G49 - $B49) / $B49, "")</f>
        <v/>
      </c>
      <c r="I49" s="19" t="str">
        <f>IF(ISNUMBER(G49), $B64 * H49, "")</f>
        <v/>
      </c>
      <c r="J49" s="15"/>
      <c r="K49" s="37" t="str">
        <f>IF(ISNUMBER(J49), (J49 - $B49) / $B49, "")</f>
        <v/>
      </c>
      <c r="L49" s="19" t="str">
        <f>IF(ISNUMBER(J49), $B64 * K49, "")</f>
        <v/>
      </c>
      <c r="M49" s="15"/>
      <c r="N49" s="37" t="str">
        <f>IF(ISNUMBER(M49), (M49 - $B49) / $B49, "")</f>
        <v/>
      </c>
      <c r="O49" s="19" t="str">
        <f>IF(ISNUMBER(M49), $B64 * N49, "")</f>
        <v/>
      </c>
      <c r="Q49" s="127"/>
      <c r="R49" s="127"/>
      <c r="S49" s="127"/>
    </row>
    <row r="50" spans="1:19" ht="17.25" customHeight="1" thickBot="1">
      <c r="A50" s="32" t="s">
        <v>266</v>
      </c>
      <c r="B50" s="33">
        <v>93.6</v>
      </c>
      <c r="C50" s="16">
        <v>-2.19435737E-2</v>
      </c>
      <c r="D50" s="15">
        <v>93.3</v>
      </c>
      <c r="E50" s="16">
        <f t="shared" ref="E50:E53" si="18">IF(ISNUMBER(D50), (D50 - $B50) / $B50, "")</f>
        <v>-3.2051282051281751E-3</v>
      </c>
      <c r="F50" s="19">
        <f>IF(ISNUMBER(D50), $B64 * E50, "")</f>
        <v>-961.53846153845257</v>
      </c>
      <c r="G50" s="15"/>
      <c r="H50" s="16" t="str">
        <f t="shared" ref="H50:H53" si="19">IF(ISNUMBER(G50), (G50 - $B50) / $B50, "")</f>
        <v/>
      </c>
      <c r="I50" s="19" t="str">
        <f>IF(ISNUMBER(G50), $B64 * H50, "")</f>
        <v/>
      </c>
      <c r="J50" s="15"/>
      <c r="K50" s="16" t="str">
        <f t="shared" ref="K50:K53" si="20">IF(ISNUMBER(J50), (J50 - $B50) / $B50, "")</f>
        <v/>
      </c>
      <c r="L50" s="19" t="str">
        <f>IF(ISNUMBER(J50), $B64 * K50, "")</f>
        <v/>
      </c>
      <c r="M50" s="15"/>
      <c r="N50" s="16" t="str">
        <f t="shared" ref="N50:N53" si="21">IF(ISNUMBER(M50), (M50 - $B50) / $B50, "")</f>
        <v/>
      </c>
      <c r="O50" s="19" t="str">
        <f>IF(ISNUMBER(M50), $B64 * N50, "")</f>
        <v/>
      </c>
      <c r="Q50" s="127"/>
      <c r="R50" s="127"/>
      <c r="S50" s="127"/>
    </row>
    <row r="51" spans="1:19" ht="17.25" customHeight="1" thickBot="1">
      <c r="A51" s="32" t="s">
        <v>154</v>
      </c>
      <c r="B51" s="33">
        <v>22.2</v>
      </c>
      <c r="C51" s="16">
        <v>-2.2026431700000002E-2</v>
      </c>
      <c r="D51" s="15">
        <v>21.9</v>
      </c>
      <c r="E51" s="16">
        <f t="shared" si="18"/>
        <v>-1.3513513513513545E-2</v>
      </c>
      <c r="F51" s="19">
        <f>IF(ISNUMBER(D51), $B64 * E51, "")</f>
        <v>-4054.0540540540637</v>
      </c>
      <c r="G51" s="15"/>
      <c r="H51" s="16" t="str">
        <f t="shared" si="19"/>
        <v/>
      </c>
      <c r="I51" s="19" t="str">
        <f>IF(ISNUMBER(G51), $B64 * H51, "")</f>
        <v/>
      </c>
      <c r="J51" s="15"/>
      <c r="K51" s="16" t="str">
        <f t="shared" si="20"/>
        <v/>
      </c>
      <c r="L51" s="19" t="str">
        <f>IF(ISNUMBER(J51), $B64 * K51, "")</f>
        <v/>
      </c>
      <c r="M51" s="15"/>
      <c r="N51" s="16" t="str">
        <f t="shared" si="21"/>
        <v/>
      </c>
      <c r="O51" s="19" t="str">
        <f>IF(ISNUMBER(M51), $B64 * N51, "")</f>
        <v/>
      </c>
      <c r="Q51" s="127"/>
      <c r="R51" s="127"/>
      <c r="S51" s="127"/>
    </row>
    <row r="52" spans="1:19" ht="17.25" customHeight="1" thickBot="1">
      <c r="A52" s="32" t="s">
        <v>236</v>
      </c>
      <c r="B52" s="33">
        <v>77.3</v>
      </c>
      <c r="C52" s="16">
        <v>-2.3989898999999999E-2</v>
      </c>
      <c r="D52" s="15">
        <v>76.099999999999994</v>
      </c>
      <c r="E52" s="16">
        <f t="shared" si="18"/>
        <v>-1.5523932729624875E-2</v>
      </c>
      <c r="F52" s="19">
        <f>IF(ISNUMBER(D52), $B64 * E52, "")</f>
        <v>-4657.1798188874627</v>
      </c>
      <c r="G52" s="15"/>
      <c r="H52" s="16" t="str">
        <f t="shared" si="19"/>
        <v/>
      </c>
      <c r="I52" s="19" t="str">
        <f>IF(ISNUMBER(G52), $B64 * H52, "")</f>
        <v/>
      </c>
      <c r="J52" s="15"/>
      <c r="K52" s="16" t="str">
        <f t="shared" si="20"/>
        <v/>
      </c>
      <c r="L52" s="19" t="str">
        <f>IF(ISNUMBER(J52), $B64 * K52, "")</f>
        <v/>
      </c>
      <c r="M52" s="15"/>
      <c r="N52" s="16" t="str">
        <f t="shared" si="21"/>
        <v/>
      </c>
      <c r="O52" s="19" t="str">
        <f>IF(ISNUMBER(M52), $B64 * N52, "")</f>
        <v/>
      </c>
      <c r="Q52" s="38"/>
      <c r="R52" s="38"/>
    </row>
    <row r="53" spans="1:19" ht="17.25" customHeight="1" thickBot="1">
      <c r="A53" s="34" t="s">
        <v>214</v>
      </c>
      <c r="B53" s="35">
        <v>24.2</v>
      </c>
      <c r="C53" s="22">
        <v>-2.4193548400000001E-2</v>
      </c>
      <c r="D53" s="21">
        <v>24.1</v>
      </c>
      <c r="E53" s="22">
        <f t="shared" si="18"/>
        <v>-4.1322314049585893E-3</v>
      </c>
      <c r="F53" s="19">
        <f>IF(ISNUMBER(D53), $B64 * E53, "")</f>
        <v>-1239.6694214875768</v>
      </c>
      <c r="G53" s="21"/>
      <c r="H53" s="22" t="str">
        <f t="shared" si="19"/>
        <v/>
      </c>
      <c r="I53" s="19" t="str">
        <f>IF(ISNUMBER(G53), $B64 * H53, "")</f>
        <v/>
      </c>
      <c r="J53" s="21"/>
      <c r="K53" s="22" t="str">
        <f t="shared" si="20"/>
        <v/>
      </c>
      <c r="L53" s="19" t="str">
        <f>IF(ISNUMBER(J53), $B64 * K53, "")</f>
        <v/>
      </c>
      <c r="M53" s="21"/>
      <c r="N53" s="22" t="str">
        <f t="shared" si="21"/>
        <v/>
      </c>
      <c r="O53" s="19" t="str">
        <f>IF(ISNUMBER(M53), $B64 * N53, "")</f>
        <v/>
      </c>
      <c r="Q53" s="139"/>
      <c r="R53" s="140"/>
      <c r="S53" s="141"/>
    </row>
    <row r="54" spans="1:19" ht="17.25" customHeight="1">
      <c r="A54" s="30" t="s">
        <v>152</v>
      </c>
      <c r="B54" s="31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7">
        <f>IF(ISNUMBER(D54), $B64 * E54, "")</f>
        <v>11513.859275053333</v>
      </c>
      <c r="G54" s="13"/>
      <c r="H54" s="14" t="str">
        <f>IF(ISNUMBER(G54), (G54 - $B54) / $B54, "")</f>
        <v/>
      </c>
      <c r="I54" s="17" t="str">
        <f>IF(ISNUMBER(G54), $B64 * H54, "")</f>
        <v/>
      </c>
      <c r="J54" s="13"/>
      <c r="K54" s="14" t="str">
        <f>IF(ISNUMBER(J54), (J54 - $B54) / $B54, "")</f>
        <v/>
      </c>
      <c r="L54" s="17" t="str">
        <f>IF(ISNUMBER(J54), $B64 * K54, "")</f>
        <v/>
      </c>
      <c r="M54" s="13"/>
      <c r="N54" s="14" t="str">
        <f>IF(ISNUMBER(M54), (M54 - $B54) / $B54, "")</f>
        <v/>
      </c>
      <c r="O54" s="17" t="str">
        <f>IF(ISNUMBER(M54), $B64 * N54, "")</f>
        <v/>
      </c>
      <c r="Q54" s="142"/>
      <c r="R54" s="143"/>
      <c r="S54" s="144"/>
    </row>
    <row r="55" spans="1:19" ht="17.25" customHeight="1" thickBot="1">
      <c r="A55" s="32" t="s">
        <v>268</v>
      </c>
      <c r="B55" s="33">
        <v>97</v>
      </c>
      <c r="C55" s="16">
        <v>-2.5125628099999998E-2</v>
      </c>
      <c r="D55" s="15">
        <v>101</v>
      </c>
      <c r="E55" s="16">
        <f t="shared" ref="E55:E58" si="22">IF(ISNUMBER(D55), (D55 - $B55) / $B55, "")</f>
        <v>4.1237113402061855E-2</v>
      </c>
      <c r="F55" s="19">
        <f>IF(ISNUMBER(D55), $B64 * E55, "")</f>
        <v>12371.134020618556</v>
      </c>
      <c r="G55" s="15"/>
      <c r="H55" s="16" t="str">
        <f t="shared" ref="H55:H58" si="23">IF(ISNUMBER(G55), (G55 - $B55) / $B55, "")</f>
        <v/>
      </c>
      <c r="I55" s="19" t="str">
        <f>IF(ISNUMBER(G55), $B64 * H55, "")</f>
        <v/>
      </c>
      <c r="J55" s="15"/>
      <c r="K55" s="16" t="str">
        <f t="shared" ref="K55:K58" si="24">IF(ISNUMBER(J55), (J55 - $B55) / $B55, "")</f>
        <v/>
      </c>
      <c r="L55" s="19" t="str">
        <f>IF(ISNUMBER(J55), $B64 * K55, "")</f>
        <v/>
      </c>
      <c r="M55" s="15"/>
      <c r="N55" s="16" t="str">
        <f t="shared" ref="N55:N58" si="25">IF(ISNUMBER(M55), (M55 - $B55) / $B55, "")</f>
        <v/>
      </c>
      <c r="O55" s="19" t="str">
        <f>IF(ISNUMBER(M55), $B64 * N55, "")</f>
        <v/>
      </c>
      <c r="Q55" s="145"/>
      <c r="R55" s="146"/>
      <c r="S55" s="147"/>
    </row>
    <row r="56" spans="1:19" ht="17.25" customHeight="1" thickBot="1">
      <c r="A56" s="32" t="s">
        <v>196</v>
      </c>
      <c r="B56" s="33">
        <v>21.9</v>
      </c>
      <c r="C56" s="16">
        <v>-2.6666666700000001E-2</v>
      </c>
      <c r="D56" s="15">
        <v>21.7</v>
      </c>
      <c r="E56" s="16">
        <f t="shared" si="22"/>
        <v>-9.1324200913241692E-3</v>
      </c>
      <c r="F56" s="19">
        <f>IF(ISNUMBER(D56), $B64 * E56, "")</f>
        <v>-2739.7260273972506</v>
      </c>
      <c r="G56" s="15"/>
      <c r="H56" s="16" t="str">
        <f t="shared" si="23"/>
        <v/>
      </c>
      <c r="I56" s="19" t="str">
        <f>IF(ISNUMBER(G56), $B64 * H56, "")</f>
        <v/>
      </c>
      <c r="J56" s="15"/>
      <c r="K56" s="16" t="str">
        <f t="shared" si="24"/>
        <v/>
      </c>
      <c r="L56" s="19" t="str">
        <f>IF(ISNUMBER(J56), $B64 * K56, "")</f>
        <v/>
      </c>
      <c r="M56" s="15"/>
      <c r="N56" s="16" t="str">
        <f t="shared" si="25"/>
        <v/>
      </c>
      <c r="O56" s="19" t="str">
        <f>IF(ISNUMBER(M56), $B64 * N56, "")</f>
        <v/>
      </c>
      <c r="Q56" s="127"/>
      <c r="R56" s="127"/>
      <c r="S56" s="127"/>
    </row>
    <row r="57" spans="1:19" ht="17.25" customHeight="1" thickBot="1">
      <c r="A57" s="32" t="s">
        <v>186</v>
      </c>
      <c r="B57" s="33">
        <v>26.3</v>
      </c>
      <c r="C57" s="16">
        <v>-2.9520295200000001E-2</v>
      </c>
      <c r="D57" s="15">
        <v>27.2</v>
      </c>
      <c r="E57" s="16">
        <f t="shared" si="22"/>
        <v>3.4220532319391581E-2</v>
      </c>
      <c r="F57" s="19">
        <f>IF(ISNUMBER(D57), $B64 * E57, "")</f>
        <v>10266.159695817474</v>
      </c>
      <c r="G57" s="15"/>
      <c r="H57" s="16" t="str">
        <f t="shared" si="23"/>
        <v/>
      </c>
      <c r="I57" s="19" t="str">
        <f>IF(ISNUMBER(G57), $B64 * H57, "")</f>
        <v/>
      </c>
      <c r="J57" s="15"/>
      <c r="K57" s="16" t="str">
        <f t="shared" si="24"/>
        <v/>
      </c>
      <c r="L57" s="19" t="str">
        <f>IF(ISNUMBER(J57), $B64 * K57, "")</f>
        <v/>
      </c>
      <c r="M57" s="15"/>
      <c r="N57" s="16" t="str">
        <f t="shared" si="25"/>
        <v/>
      </c>
      <c r="O57" s="19" t="str">
        <f>IF(ISNUMBER(M57), $B64 * N57, "")</f>
        <v/>
      </c>
      <c r="Q57" s="148"/>
      <c r="R57" s="148"/>
      <c r="S57" s="148"/>
    </row>
    <row r="58" spans="1:19" ht="17.25" customHeight="1" thickBot="1">
      <c r="A58" s="34" t="s">
        <v>172</v>
      </c>
      <c r="B58" s="35">
        <v>28.2</v>
      </c>
      <c r="C58" s="22">
        <v>-3.0927835099999999E-2</v>
      </c>
      <c r="D58" s="21">
        <v>28.1</v>
      </c>
      <c r="E58" s="22">
        <f t="shared" si="22"/>
        <v>-3.5460992907800663E-3</v>
      </c>
      <c r="F58" s="23">
        <f>IF(ISNUMBER(D58), $B64 * E58, "")</f>
        <v>-1063.8297872340199</v>
      </c>
      <c r="G58" s="21"/>
      <c r="H58" s="22" t="str">
        <f t="shared" si="23"/>
        <v/>
      </c>
      <c r="I58" s="23" t="str">
        <f>IF(ISNUMBER(G58), $B64 * H58, "")</f>
        <v/>
      </c>
      <c r="J58" s="21"/>
      <c r="K58" s="22" t="str">
        <f t="shared" si="24"/>
        <v/>
      </c>
      <c r="L58" s="23" t="str">
        <f>IF(ISNUMBER(J58), $B64 * K58, "")</f>
        <v/>
      </c>
      <c r="M58" s="21"/>
      <c r="N58" s="22" t="str">
        <f t="shared" si="25"/>
        <v/>
      </c>
      <c r="O58" s="23" t="str">
        <f>IF(ISNUMBER(M58), $B64 * N58, "")</f>
        <v/>
      </c>
      <c r="Q58" s="148"/>
      <c r="R58" s="148"/>
      <c r="S58" s="148"/>
    </row>
    <row r="59" spans="1:19" ht="17.25" customHeight="1" thickBot="1">
      <c r="A59" s="32" t="s">
        <v>218</v>
      </c>
      <c r="B59" s="36">
        <v>32.1</v>
      </c>
      <c r="C59" s="37">
        <v>-3.3132530100000002E-2</v>
      </c>
      <c r="D59" s="15">
        <v>31.5</v>
      </c>
      <c r="E59" s="37">
        <f>IF(ISNUMBER(D59), (D59 - $B59) / $B59, "")</f>
        <v>-1.8691588785046773E-2</v>
      </c>
      <c r="F59" s="19">
        <f>IF(ISNUMBER(D59), $B64 * E59, "")</f>
        <v>-5607.4766355140318</v>
      </c>
      <c r="G59" s="15"/>
      <c r="H59" s="37" t="str">
        <f>IF(ISNUMBER(G59), (G59 - $B59) / $B59, "")</f>
        <v/>
      </c>
      <c r="I59" s="19" t="str">
        <f>IF(ISNUMBER(G59), $B64 * H59, "")</f>
        <v/>
      </c>
      <c r="J59" s="15"/>
      <c r="K59" s="37" t="str">
        <f>IF(ISNUMBER(J59), (J59 - $B59) / $B59, "")</f>
        <v/>
      </c>
      <c r="L59" s="19" t="str">
        <f>IF(ISNUMBER(J59), $B64 * K59, "")</f>
        <v/>
      </c>
      <c r="M59" s="15"/>
      <c r="N59" s="37" t="str">
        <f>IF(ISNUMBER(M59), (M59 - $B59) / $B59, "")</f>
        <v/>
      </c>
      <c r="O59" s="19" t="str">
        <f>IF(ISNUMBER(M59), $B64 * N59, "")</f>
        <v/>
      </c>
      <c r="Q59" s="127"/>
      <c r="R59" s="127"/>
      <c r="S59" s="127"/>
    </row>
    <row r="60" spans="1:19" ht="17.25" customHeight="1" thickBot="1">
      <c r="A60" s="32" t="s">
        <v>254</v>
      </c>
      <c r="B60" s="33">
        <v>92.4</v>
      </c>
      <c r="C60" s="16">
        <v>-3.54906054E-2</v>
      </c>
      <c r="D60" s="15">
        <v>93.7</v>
      </c>
      <c r="E60" s="16">
        <f t="shared" ref="E60:E63" si="26">IF(ISNUMBER(D60), (D60 - $B60) / $B60, "")</f>
        <v>1.4069264069264037E-2</v>
      </c>
      <c r="F60" s="19">
        <f>IF(ISNUMBER(D60), $B64 * E60, "")</f>
        <v>4220.7792207792108</v>
      </c>
      <c r="G60" s="15"/>
      <c r="H60" s="16" t="str">
        <f t="shared" ref="H60:H63" si="27">IF(ISNUMBER(G60), (G60 - $B60) / $B60, "")</f>
        <v/>
      </c>
      <c r="I60" s="19" t="str">
        <f>IF(ISNUMBER(G60), $B64 * H60, "")</f>
        <v/>
      </c>
      <c r="J60" s="15"/>
      <c r="K60" s="16" t="str">
        <f t="shared" ref="K60:K63" si="28">IF(ISNUMBER(J60), (J60 - $B60) / $B60, "")</f>
        <v/>
      </c>
      <c r="L60" s="19" t="str">
        <f>IF(ISNUMBER(J60), $B64 * K60, "")</f>
        <v/>
      </c>
      <c r="M60" s="15"/>
      <c r="N60" s="16" t="str">
        <f t="shared" ref="N60:N63" si="29">IF(ISNUMBER(M60), (M60 - $B60) / $B60, "")</f>
        <v/>
      </c>
      <c r="O60" s="19" t="str">
        <f>IF(ISNUMBER(M60), $B64 * N60, "")</f>
        <v/>
      </c>
      <c r="Q60" s="127"/>
      <c r="R60" s="127"/>
      <c r="S60" s="127"/>
    </row>
    <row r="61" spans="1:19" ht="17.25" customHeight="1" thickBot="1">
      <c r="A61" s="32" t="s">
        <v>65</v>
      </c>
      <c r="B61" s="33">
        <v>77.5</v>
      </c>
      <c r="C61" s="16">
        <v>-4.6740467399999999E-2</v>
      </c>
      <c r="D61" s="15">
        <v>76.7</v>
      </c>
      <c r="E61" s="16">
        <f t="shared" si="26"/>
        <v>-1.0322580645161254E-2</v>
      </c>
      <c r="F61" s="19">
        <f>IF(ISNUMBER(D61), $B64 * E61, "")</f>
        <v>-3096.7741935483764</v>
      </c>
      <c r="G61" s="15"/>
      <c r="H61" s="16" t="str">
        <f t="shared" si="27"/>
        <v/>
      </c>
      <c r="I61" s="19" t="str">
        <f>IF(ISNUMBER(G61), $B64 * H61, "")</f>
        <v/>
      </c>
      <c r="J61" s="15"/>
      <c r="K61" s="16" t="str">
        <f t="shared" si="28"/>
        <v/>
      </c>
      <c r="L61" s="19" t="str">
        <f>IF(ISNUMBER(J61), $B64 * K61, "")</f>
        <v/>
      </c>
      <c r="M61" s="15"/>
      <c r="N61" s="16" t="str">
        <f t="shared" si="29"/>
        <v/>
      </c>
      <c r="O61" s="19" t="str">
        <f>IF(ISNUMBER(M61), $B64 * N61, "")</f>
        <v/>
      </c>
      <c r="Q61" s="127"/>
      <c r="R61" s="127"/>
      <c r="S61" s="127"/>
    </row>
    <row r="62" spans="1:19" ht="17.25" customHeight="1">
      <c r="A62" s="32" t="s">
        <v>126</v>
      </c>
      <c r="B62" s="33">
        <v>70.7</v>
      </c>
      <c r="C62" s="16">
        <v>-4.9731182800000003E-2</v>
      </c>
      <c r="D62" s="15">
        <v>68</v>
      </c>
      <c r="E62" s="16">
        <f t="shared" si="26"/>
        <v>-3.8189533239038231E-2</v>
      </c>
      <c r="F62" s="19">
        <f>IF(ISNUMBER(D62), $B64 * E62, "")</f>
        <v>-11456.85997171147</v>
      </c>
      <c r="G62" s="15"/>
      <c r="H62" s="16" t="str">
        <f t="shared" si="27"/>
        <v/>
      </c>
      <c r="I62" s="19" t="str">
        <f>IF(ISNUMBER(G62), $B64 * H62, "")</f>
        <v/>
      </c>
      <c r="J62" s="15"/>
      <c r="K62" s="16" t="str">
        <f t="shared" si="28"/>
        <v/>
      </c>
      <c r="L62" s="19" t="str">
        <f>IF(ISNUMBER(J62), $B64 * K62, "")</f>
        <v/>
      </c>
      <c r="M62" s="15"/>
      <c r="N62" s="16" t="str">
        <f t="shared" si="29"/>
        <v/>
      </c>
      <c r="O62" s="19" t="str">
        <f>IF(ISNUMBER(M62), $B64 * N62, "")</f>
        <v/>
      </c>
      <c r="Q62" s="128"/>
      <c r="R62" s="129"/>
      <c r="S62" s="130"/>
    </row>
    <row r="63" spans="1:19" ht="17.25" customHeight="1" thickBot="1">
      <c r="A63" s="34"/>
      <c r="B63" s="35"/>
      <c r="C63" s="22"/>
      <c r="D63" s="21" t="s">
        <v>297</v>
      </c>
      <c r="E63" s="22" t="str">
        <f t="shared" si="26"/>
        <v/>
      </c>
      <c r="F63" s="19" t="str">
        <f>IF(ISNUMBER(D63), $B64 * E63, "")</f>
        <v/>
      </c>
      <c r="G63" s="21"/>
      <c r="H63" s="22" t="str">
        <f t="shared" si="27"/>
        <v/>
      </c>
      <c r="I63" s="19" t="str">
        <f>IF(ISNUMBER(G63), $B64 * H63, "")</f>
        <v/>
      </c>
      <c r="J63" s="21"/>
      <c r="K63" s="22" t="str">
        <f t="shared" si="28"/>
        <v/>
      </c>
      <c r="L63" s="19" t="str">
        <f>IF(ISNUMBER(J63), $B64 * K63, "")</f>
        <v/>
      </c>
      <c r="M63" s="21"/>
      <c r="N63" s="22" t="str">
        <f t="shared" si="29"/>
        <v/>
      </c>
      <c r="O63" s="19" t="str">
        <f>IF(ISNUMBER(M63), $B64 * N63, "")</f>
        <v/>
      </c>
      <c r="Q63" s="131"/>
      <c r="R63" s="132"/>
      <c r="S63" s="133"/>
    </row>
    <row r="64" spans="1:19" ht="17.25" customHeight="1" thickBot="1">
      <c r="A64" s="27" t="s">
        <v>42</v>
      </c>
      <c r="B64" s="137">
        <f>$B$37</f>
        <v>300000</v>
      </c>
      <c r="C64" s="138"/>
      <c r="D64" s="27" t="s">
        <v>43</v>
      </c>
      <c r="E64" s="28">
        <f>IF(COUNT(E44:E63), SUM(E44:E63) / COUNT(E44:E63), 0)</f>
        <v>-1.594483220477585E-3</v>
      </c>
      <c r="F64" s="29">
        <f>SUM(F44:F63)</f>
        <v>-9088.5543567222303</v>
      </c>
      <c r="G64" s="27" t="s">
        <v>43</v>
      </c>
      <c r="H64" s="28">
        <f>IF(COUNT(H44:H63), SUM(H44:H63) / COUNT(H44:H63), 0)</f>
        <v>0</v>
      </c>
      <c r="I64" s="29">
        <f>SUM(I44:I63)</f>
        <v>0</v>
      </c>
      <c r="J64" s="27" t="s">
        <v>43</v>
      </c>
      <c r="K64" s="28">
        <f>IF(COUNT(K44:K63), SUM(K44:K63) / COUNT(K44:K63), 0)</f>
        <v>0</v>
      </c>
      <c r="L64" s="29">
        <f>SUM(L44:L63)</f>
        <v>0</v>
      </c>
      <c r="M64" s="27" t="s">
        <v>43</v>
      </c>
      <c r="N64" s="28">
        <f>IF(COUNT(N44:N63), SUM(N44:N63) / COUNT(N44:N63), 0)</f>
        <v>0</v>
      </c>
      <c r="O64" s="29">
        <f>SUM(O44:O63)</f>
        <v>0</v>
      </c>
      <c r="Q64" s="134"/>
      <c r="R64" s="135"/>
      <c r="S64" s="136"/>
    </row>
    <row r="65" spans="1:19" ht="17.25" customHeight="1"/>
    <row r="66" spans="1:19" ht="17.25" customHeight="1" thickBot="1"/>
    <row r="67" spans="1:19" ht="17.25" thickBot="1">
      <c r="A67" s="149" t="s">
        <v>45</v>
      </c>
      <c r="B67" s="150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1"/>
      <c r="Q67" s="148"/>
      <c r="R67" s="148"/>
      <c r="S67" s="148"/>
    </row>
    <row r="68" spans="1:19" ht="17.25" thickBot="1">
      <c r="A68" s="122" t="s">
        <v>35</v>
      </c>
      <c r="B68" s="149" t="s">
        <v>36</v>
      </c>
      <c r="C68" s="151"/>
      <c r="D68" s="149" t="s">
        <v>37</v>
      </c>
      <c r="E68" s="150"/>
      <c r="F68" s="151"/>
      <c r="G68" s="152">
        <f>_xlfn.IFNA(VLOOKUP(B68, 현재가테이블!$B$2:$D$200, 2, FALSE), "-")</f>
        <v>68203000</v>
      </c>
      <c r="H68" s="153"/>
      <c r="I68" s="154"/>
      <c r="J68" s="149" t="s">
        <v>38</v>
      </c>
      <c r="K68" s="150"/>
      <c r="L68" s="151"/>
      <c r="M68" s="155">
        <f>_xlfn.IFNA(VLOOKUP(B68, 현재가테이블!$B$2:$D$200, 3, FALSE), "-")</f>
        <v>-1.22521687E-2</v>
      </c>
      <c r="N68" s="156"/>
      <c r="O68" s="157"/>
      <c r="Q68" s="148"/>
      <c r="R68" s="148"/>
      <c r="S68" s="148"/>
    </row>
    <row r="69" spans="1:19" ht="17.25" thickBot="1">
      <c r="A69" s="158" t="s">
        <v>39</v>
      </c>
      <c r="B69" s="159" t="str">
        <f>TEXT($G$1, "[$-ko-KR]yyyy-mm-dd(ddd) ") &amp; "오전 00:00"</f>
        <v>2021-05-02(일) 오전 00:00</v>
      </c>
      <c r="C69" s="160"/>
      <c r="D69" s="161" t="str">
        <f>TEXT($G$1, "[$-ko-KR]yyyy-mm-dd(ddd) ") &amp; "오후 14:00"</f>
        <v>2021-05-02(일) 오후 14:00</v>
      </c>
      <c r="E69" s="162"/>
      <c r="F69" s="163"/>
      <c r="G69" s="161" t="str">
        <f>TEXT($G$1, "[$-ko-KR]yyyy-mm-dd(ddd) ") &amp; "오후 19:00"</f>
        <v>2021-05-02(일) 오후 19:00</v>
      </c>
      <c r="H69" s="162"/>
      <c r="I69" s="163"/>
      <c r="J69" s="164" t="str">
        <f>TEXT($G$1, "[$-ko-KR]yyyy-mm-dd(ddd) ") &amp; "오후 21:00"</f>
        <v>2021-05-02(일) 오후 21:00</v>
      </c>
      <c r="K69" s="164"/>
      <c r="L69" s="164"/>
      <c r="M69" s="161" t="str">
        <f>TEXT($G$1+1, "[$-ko-KR]yyyy-mm-dd(ddd) ") &amp; "오전 00:00"</f>
        <v>2021-05-03(월) 오전 00:00</v>
      </c>
      <c r="N69" s="162"/>
      <c r="O69" s="163"/>
      <c r="Q69" s="148"/>
      <c r="R69" s="148"/>
      <c r="S69" s="148"/>
    </row>
    <row r="70" spans="1:19" ht="17.25" thickBot="1">
      <c r="A70" s="158"/>
      <c r="B70" s="2" t="s">
        <v>37</v>
      </c>
      <c r="C70" s="10" t="s">
        <v>38</v>
      </c>
      <c r="D70" s="2" t="s">
        <v>37</v>
      </c>
      <c r="E70" s="10" t="s">
        <v>40</v>
      </c>
      <c r="F70" s="11" t="s">
        <v>41</v>
      </c>
      <c r="G70" s="2" t="s">
        <v>37</v>
      </c>
      <c r="H70" s="10" t="s">
        <v>40</v>
      </c>
      <c r="I70" s="11" t="s">
        <v>41</v>
      </c>
      <c r="J70" s="10" t="s">
        <v>37</v>
      </c>
      <c r="K70" s="10" t="s">
        <v>40</v>
      </c>
      <c r="L70" s="126" t="s">
        <v>41</v>
      </c>
      <c r="M70" s="2" t="s">
        <v>37</v>
      </c>
      <c r="N70" s="10" t="s">
        <v>40</v>
      </c>
      <c r="O70" s="72" t="s">
        <v>41</v>
      </c>
      <c r="Q70" s="127"/>
      <c r="R70" s="127"/>
      <c r="S70" s="127"/>
    </row>
    <row r="71" spans="1:19" ht="17.25" thickBot="1">
      <c r="A71" s="30" t="s">
        <v>250</v>
      </c>
      <c r="B71" s="31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7">
        <f>IF(ISNUMBER(D71), $B91 * E71, "")</f>
        <v>-17647.058823529413</v>
      </c>
      <c r="G71" s="13"/>
      <c r="H71" s="14" t="str">
        <f>IF(ISNUMBER(G71), (G71 - $B71) / $B71, "")</f>
        <v/>
      </c>
      <c r="I71" s="17" t="str">
        <f>IF(ISNUMBER(G71), $B91 * H71, "")</f>
        <v/>
      </c>
      <c r="J71" s="13"/>
      <c r="K71" s="14" t="str">
        <f>IF(ISNUMBER(J71), (J71 - $B71) / $B71, "")</f>
        <v/>
      </c>
      <c r="L71" s="17" t="str">
        <f>IF(ISNUMBER(J71), $B91 * K71, "")</f>
        <v/>
      </c>
      <c r="M71" s="13"/>
      <c r="N71" s="14" t="str">
        <f>IF(ISNUMBER(M71), (M71 - $B71) / $B71, "")</f>
        <v/>
      </c>
      <c r="O71" s="17" t="str">
        <f>IF(ISNUMBER(M71), $B91 * N71, "")</f>
        <v/>
      </c>
      <c r="Q71" s="148"/>
      <c r="R71" s="148"/>
      <c r="S71" s="148"/>
    </row>
    <row r="72" spans="1:19" ht="17.25" thickBot="1">
      <c r="A72" s="32" t="s">
        <v>216</v>
      </c>
      <c r="B72" s="33">
        <v>501</v>
      </c>
      <c r="C72" s="16">
        <v>0.1035242291</v>
      </c>
      <c r="D72" s="15">
        <v>476</v>
      </c>
      <c r="E72" s="16">
        <f t="shared" ref="E72:E75" si="30">IF(ISNUMBER(D72), (D72 - $B72) / $B72, "")</f>
        <v>-4.9900199600798403E-2</v>
      </c>
      <c r="F72" s="19">
        <f>IF(ISNUMBER(D72), $B91 * E72, "")</f>
        <v>-14970.059880239522</v>
      </c>
      <c r="G72" s="15"/>
      <c r="H72" s="16" t="str">
        <f t="shared" ref="H72:H75" si="31">IF(ISNUMBER(G72), (G72 - $B72) / $B72, "")</f>
        <v/>
      </c>
      <c r="I72" s="19" t="str">
        <f>IF(ISNUMBER(G72), $B91 * H72, "")</f>
        <v/>
      </c>
      <c r="J72" s="15"/>
      <c r="K72" s="16" t="str">
        <f t="shared" ref="K72:K75" si="32">IF(ISNUMBER(J72), (J72 - $B72) / $B72, "")</f>
        <v/>
      </c>
      <c r="L72" s="19" t="str">
        <f>IF(ISNUMBER(J72), $B91 * K72, "")</f>
        <v/>
      </c>
      <c r="M72" s="15"/>
      <c r="N72" s="16" t="str">
        <f t="shared" ref="N72:N75" si="33">IF(ISNUMBER(M72), (M72 - $B72) / $B72, "")</f>
        <v/>
      </c>
      <c r="O72" s="19" t="str">
        <f>IF(ISNUMBER(M72), $B91 * N72, "")</f>
        <v/>
      </c>
      <c r="Q72" s="148"/>
      <c r="R72" s="148"/>
      <c r="S72" s="148"/>
    </row>
    <row r="73" spans="1:19" ht="17.25" thickBot="1">
      <c r="A73" s="32" t="s">
        <v>232</v>
      </c>
      <c r="B73" s="33">
        <v>202</v>
      </c>
      <c r="C73" s="16">
        <v>8.6021505400000003E-2</v>
      </c>
      <c r="D73" s="15">
        <v>194</v>
      </c>
      <c r="E73" s="16">
        <f t="shared" si="30"/>
        <v>-3.9603960396039604E-2</v>
      </c>
      <c r="F73" s="19">
        <f>IF(ISNUMBER(D73), $B91 * E73, "")</f>
        <v>-11881.18811881188</v>
      </c>
      <c r="G73" s="15"/>
      <c r="H73" s="16" t="str">
        <f t="shared" si="31"/>
        <v/>
      </c>
      <c r="I73" s="19" t="str">
        <f>IF(ISNUMBER(G73), $B91 * H73, "")</f>
        <v/>
      </c>
      <c r="J73" s="15"/>
      <c r="K73" s="16" t="str">
        <f t="shared" si="32"/>
        <v/>
      </c>
      <c r="L73" s="19" t="str">
        <f>IF(ISNUMBER(J73), $B91 * K73, "")</f>
        <v/>
      </c>
      <c r="M73" s="15"/>
      <c r="N73" s="16" t="str">
        <f t="shared" si="33"/>
        <v/>
      </c>
      <c r="O73" s="19" t="str">
        <f>IF(ISNUMBER(M73), $B91 * N73, "")</f>
        <v/>
      </c>
      <c r="Q73" s="127"/>
      <c r="R73" s="127"/>
      <c r="S73" s="127"/>
    </row>
    <row r="74" spans="1:19" ht="17.25" thickBot="1">
      <c r="A74" s="32" t="s">
        <v>296</v>
      </c>
      <c r="B74" s="33">
        <v>427</v>
      </c>
      <c r="C74" s="16">
        <v>7.2864321600000004E-2</v>
      </c>
      <c r="D74" s="15">
        <v>456</v>
      </c>
      <c r="E74" s="16">
        <f t="shared" si="30"/>
        <v>6.7915690866510545E-2</v>
      </c>
      <c r="F74" s="19">
        <f>IF(ISNUMBER(D74), $B91 * E74, "")</f>
        <v>20374.707259953164</v>
      </c>
      <c r="G74" s="15"/>
      <c r="H74" s="16" t="str">
        <f t="shared" si="31"/>
        <v/>
      </c>
      <c r="I74" s="19" t="str">
        <f>IF(ISNUMBER(G74), $B91 * H74, "")</f>
        <v/>
      </c>
      <c r="J74" s="15"/>
      <c r="K74" s="16" t="str">
        <f t="shared" si="32"/>
        <v/>
      </c>
      <c r="L74" s="19" t="str">
        <f>IF(ISNUMBER(J74), $B91 * K74, "")</f>
        <v/>
      </c>
      <c r="M74" s="15"/>
      <c r="N74" s="16" t="str">
        <f t="shared" si="33"/>
        <v/>
      </c>
      <c r="O74" s="19" t="str">
        <f>IF(ISNUMBER(M74), $B91 * N74, "")</f>
        <v/>
      </c>
      <c r="Q74" s="127"/>
      <c r="R74" s="127"/>
      <c r="S74" s="127"/>
    </row>
    <row r="75" spans="1:19" ht="17.25" thickBot="1">
      <c r="A75" s="34" t="s">
        <v>54</v>
      </c>
      <c r="B75" s="35">
        <v>369</v>
      </c>
      <c r="C75" s="22">
        <v>4.5325778999999997E-2</v>
      </c>
      <c r="D75" s="21">
        <v>369</v>
      </c>
      <c r="E75" s="22">
        <f t="shared" si="30"/>
        <v>0</v>
      </c>
      <c r="F75" s="23">
        <f>IF(ISNUMBER(D75), $B91 * E75, "")</f>
        <v>0</v>
      </c>
      <c r="G75" s="21"/>
      <c r="H75" s="22" t="str">
        <f t="shared" si="31"/>
        <v/>
      </c>
      <c r="I75" s="23" t="str">
        <f>IF(ISNUMBER(G75), $B91 * H75, "")</f>
        <v/>
      </c>
      <c r="J75" s="21"/>
      <c r="K75" s="22" t="str">
        <f t="shared" si="32"/>
        <v/>
      </c>
      <c r="L75" s="23" t="str">
        <f>IF(ISNUMBER(J75), $B91 * K75, "")</f>
        <v/>
      </c>
      <c r="M75" s="21"/>
      <c r="N75" s="22" t="str">
        <f t="shared" si="33"/>
        <v/>
      </c>
      <c r="O75" s="23" t="str">
        <f>IF(ISNUMBER(M75), $B91 * N75, "")</f>
        <v/>
      </c>
      <c r="Q75" s="127"/>
      <c r="R75" s="127"/>
      <c r="S75" s="127"/>
    </row>
    <row r="76" spans="1:19" ht="17.25" thickBot="1">
      <c r="A76" s="32" t="s">
        <v>226</v>
      </c>
      <c r="B76" s="36">
        <v>563</v>
      </c>
      <c r="C76" s="37">
        <v>3.8745387499999999E-2</v>
      </c>
      <c r="D76" s="15">
        <v>539</v>
      </c>
      <c r="E76" s="37">
        <f>IF(ISNUMBER(D76), (D76 - $B76) / $B76, "")</f>
        <v>-4.2628774422735348E-2</v>
      </c>
      <c r="F76" s="19">
        <f>IF(ISNUMBER(D76), $B91 * E76, "")</f>
        <v>-12788.632326820605</v>
      </c>
      <c r="G76" s="15"/>
      <c r="H76" s="37" t="str">
        <f>IF(ISNUMBER(G76), (G76 - $B76) / $B76, "")</f>
        <v/>
      </c>
      <c r="I76" s="19" t="str">
        <f>IF(ISNUMBER(G76), $B91 * H76, "")</f>
        <v/>
      </c>
      <c r="J76" s="15"/>
      <c r="K76" s="37" t="str">
        <f>IF(ISNUMBER(J76), (J76 - $B76) / $B76, "")</f>
        <v/>
      </c>
      <c r="L76" s="19" t="str">
        <f>IF(ISNUMBER(J76), $B91 * K76, "")</f>
        <v/>
      </c>
      <c r="M76" s="15"/>
      <c r="N76" s="37" t="str">
        <f>IF(ISNUMBER(M76), (M76 - $B76) / $B76, "")</f>
        <v/>
      </c>
      <c r="O76" s="19" t="str">
        <f>IF(ISNUMBER(M76), $B91 * N76, "")</f>
        <v/>
      </c>
      <c r="Q76" s="127"/>
      <c r="R76" s="127"/>
      <c r="S76" s="127"/>
    </row>
    <row r="77" spans="1:19" ht="17.25" thickBot="1">
      <c r="A77" s="32" t="s">
        <v>212</v>
      </c>
      <c r="B77" s="33">
        <v>164</v>
      </c>
      <c r="C77" s="16">
        <v>3.7974683500000002E-2</v>
      </c>
      <c r="D77" s="15">
        <v>177</v>
      </c>
      <c r="E77" s="16">
        <f t="shared" ref="E77:E80" si="34">IF(ISNUMBER(D77), (D77 - $B77) / $B77, "")</f>
        <v>7.926829268292683E-2</v>
      </c>
      <c r="F77" s="19">
        <f>IF(ISNUMBER(D77), $B91 * E77, "")</f>
        <v>23780.487804878048</v>
      </c>
      <c r="G77" s="15"/>
      <c r="H77" s="16" t="str">
        <f t="shared" ref="H77:H80" si="35">IF(ISNUMBER(G77), (G77 - $B77) / $B77, "")</f>
        <v/>
      </c>
      <c r="I77" s="19" t="str">
        <f>IF(ISNUMBER(G77), $B91 * H77, "")</f>
        <v/>
      </c>
      <c r="J77" s="15"/>
      <c r="K77" s="16" t="str">
        <f t="shared" ref="K77:K80" si="36">IF(ISNUMBER(J77), (J77 - $B77) / $B77, "")</f>
        <v/>
      </c>
      <c r="L77" s="19" t="str">
        <f>IF(ISNUMBER(J77), $B91 * K77, "")</f>
        <v/>
      </c>
      <c r="M77" s="15"/>
      <c r="N77" s="16" t="str">
        <f t="shared" ref="N77:N80" si="37">IF(ISNUMBER(M77), (M77 - $B77) / $B77, "")</f>
        <v/>
      </c>
      <c r="O77" s="19" t="str">
        <f>IF(ISNUMBER(M77), $B91 * N77, "")</f>
        <v/>
      </c>
      <c r="Q77" s="127"/>
      <c r="R77" s="127"/>
      <c r="S77" s="127"/>
    </row>
    <row r="78" spans="1:19" ht="17.25" thickBot="1">
      <c r="A78" s="32" t="s">
        <v>136</v>
      </c>
      <c r="B78" s="33">
        <v>250</v>
      </c>
      <c r="C78" s="16">
        <v>3.3057851200000002E-2</v>
      </c>
      <c r="D78" s="15">
        <v>245</v>
      </c>
      <c r="E78" s="16">
        <f t="shared" si="34"/>
        <v>-0.02</v>
      </c>
      <c r="F78" s="19">
        <f>IF(ISNUMBER(D78), $B91 * E78, "")</f>
        <v>-6000</v>
      </c>
      <c r="G78" s="15"/>
      <c r="H78" s="16" t="str">
        <f t="shared" si="35"/>
        <v/>
      </c>
      <c r="I78" s="19" t="str">
        <f>IF(ISNUMBER(G78), $B91 * H78, "")</f>
        <v/>
      </c>
      <c r="J78" s="15"/>
      <c r="K78" s="16" t="str">
        <f t="shared" si="36"/>
        <v/>
      </c>
      <c r="L78" s="19" t="str">
        <f>IF(ISNUMBER(J78), $B91 * K78, "")</f>
        <v/>
      </c>
      <c r="M78" s="15"/>
      <c r="N78" s="16" t="str">
        <f t="shared" si="37"/>
        <v/>
      </c>
      <c r="O78" s="19" t="str">
        <f>IF(ISNUMBER(M78), $B91 * N78, "")</f>
        <v/>
      </c>
      <c r="Q78" s="127"/>
      <c r="R78" s="127"/>
      <c r="S78" s="127"/>
    </row>
    <row r="79" spans="1:19" ht="17.25" thickBot="1">
      <c r="A79" s="32" t="s">
        <v>122</v>
      </c>
      <c r="B79" s="33">
        <v>126</v>
      </c>
      <c r="C79" s="16">
        <v>3.2786885199999997E-2</v>
      </c>
      <c r="D79" s="15">
        <v>129</v>
      </c>
      <c r="E79" s="16">
        <f t="shared" si="34"/>
        <v>2.3809523809523808E-2</v>
      </c>
      <c r="F79" s="19">
        <f>IF(ISNUMBER(D79), $B91 * E79, "")</f>
        <v>7142.8571428571422</v>
      </c>
      <c r="G79" s="15"/>
      <c r="H79" s="16" t="str">
        <f t="shared" si="35"/>
        <v/>
      </c>
      <c r="I79" s="19" t="str">
        <f>IF(ISNUMBER(G79), $B91 * H79, "")</f>
        <v/>
      </c>
      <c r="J79" s="15"/>
      <c r="K79" s="16" t="str">
        <f t="shared" si="36"/>
        <v/>
      </c>
      <c r="L79" s="19" t="str">
        <f>IF(ISNUMBER(J79), $B91 * K79, "")</f>
        <v/>
      </c>
      <c r="M79" s="15"/>
      <c r="N79" s="16" t="str">
        <f t="shared" si="37"/>
        <v/>
      </c>
      <c r="O79" s="19" t="str">
        <f>IF(ISNUMBER(M79), $B91 * N79, "")</f>
        <v/>
      </c>
      <c r="Q79" s="38"/>
      <c r="R79" s="38"/>
    </row>
    <row r="80" spans="1:19" ht="17.25" thickBot="1">
      <c r="A80" s="34" t="s">
        <v>128</v>
      </c>
      <c r="B80" s="35">
        <v>637</v>
      </c>
      <c r="C80" s="22">
        <v>1.9199999999999998E-2</v>
      </c>
      <c r="D80" s="21">
        <v>621</v>
      </c>
      <c r="E80" s="22">
        <f t="shared" si="34"/>
        <v>-2.5117739403453691E-2</v>
      </c>
      <c r="F80" s="19">
        <f>IF(ISNUMBER(D80), $B91 * E80, "")</f>
        <v>-7535.3218210361074</v>
      </c>
      <c r="G80" s="21"/>
      <c r="H80" s="22" t="str">
        <f t="shared" si="35"/>
        <v/>
      </c>
      <c r="I80" s="19" t="str">
        <f>IF(ISNUMBER(G80), $B91 * H80, "")</f>
        <v/>
      </c>
      <c r="J80" s="21"/>
      <c r="K80" s="22" t="str">
        <f t="shared" si="36"/>
        <v/>
      </c>
      <c r="L80" s="19" t="str">
        <f>IF(ISNUMBER(J80), $B91 * K80, "")</f>
        <v/>
      </c>
      <c r="M80" s="21"/>
      <c r="N80" s="22" t="str">
        <f t="shared" si="37"/>
        <v/>
      </c>
      <c r="O80" s="19" t="str">
        <f>IF(ISNUMBER(M80), $B91 * N80, "")</f>
        <v/>
      </c>
      <c r="Q80" s="139"/>
      <c r="R80" s="140"/>
      <c r="S80" s="141"/>
    </row>
    <row r="81" spans="1:19">
      <c r="A81" s="30" t="s">
        <v>142</v>
      </c>
      <c r="B81" s="31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7">
        <f>IF(ISNUMBER(D81), $B91 * E81, "")</f>
        <v>-7009.3457943925232</v>
      </c>
      <c r="G81" s="13"/>
      <c r="H81" s="14" t="str">
        <f>IF(ISNUMBER(G81), (G81 - $B81) / $B81, "")</f>
        <v/>
      </c>
      <c r="I81" s="17" t="str">
        <f>IF(ISNUMBER(G81), $B91 * H81, "")</f>
        <v/>
      </c>
      <c r="J81" s="13"/>
      <c r="K81" s="14" t="str">
        <f>IF(ISNUMBER(J81), (J81 - $B81) / $B81, "")</f>
        <v/>
      </c>
      <c r="L81" s="17" t="str">
        <f>IF(ISNUMBER(J81), $B91 * K81, "")</f>
        <v/>
      </c>
      <c r="M81" s="13"/>
      <c r="N81" s="14" t="str">
        <f>IF(ISNUMBER(M81), (M81 - $B81) / $B81, "")</f>
        <v/>
      </c>
      <c r="O81" s="17" t="str">
        <f>IF(ISNUMBER(M81), $B91 * N81, "")</f>
        <v/>
      </c>
      <c r="Q81" s="142"/>
      <c r="R81" s="143"/>
      <c r="S81" s="144"/>
    </row>
    <row r="82" spans="1:19" ht="17.25" thickBot="1">
      <c r="A82" s="32" t="s">
        <v>182</v>
      </c>
      <c r="B82" s="33">
        <v>497</v>
      </c>
      <c r="C82" s="16">
        <v>8.1135902999999992E-3</v>
      </c>
      <c r="D82" s="15">
        <v>487</v>
      </c>
      <c r="E82" s="16">
        <f t="shared" ref="E82:E85" si="38">IF(ISNUMBER(D82), (D82 - $B82) / $B82, "")</f>
        <v>-2.0120724346076459E-2</v>
      </c>
      <c r="F82" s="19">
        <f>IF(ISNUMBER(D82), $B91 * E82, "")</f>
        <v>-6036.2173038229375</v>
      </c>
      <c r="G82" s="15"/>
      <c r="H82" s="16" t="str">
        <f t="shared" ref="H82:H85" si="39">IF(ISNUMBER(G82), (G82 - $B82) / $B82, "")</f>
        <v/>
      </c>
      <c r="I82" s="19" t="str">
        <f>IF(ISNUMBER(G82), $B91 * H82, "")</f>
        <v/>
      </c>
      <c r="J82" s="15"/>
      <c r="K82" s="16" t="str">
        <f t="shared" ref="K82:K85" si="40">IF(ISNUMBER(J82), (J82 - $B82) / $B82, "")</f>
        <v/>
      </c>
      <c r="L82" s="19" t="str">
        <f>IF(ISNUMBER(J82), $B91 * K82, "")</f>
        <v/>
      </c>
      <c r="M82" s="15"/>
      <c r="N82" s="16" t="str">
        <f t="shared" ref="N82:N85" si="41">IF(ISNUMBER(M82), (M82 - $B82) / $B82, "")</f>
        <v/>
      </c>
      <c r="O82" s="19" t="str">
        <f>IF(ISNUMBER(M82), $B91 * N82, "")</f>
        <v/>
      </c>
      <c r="Q82" s="145"/>
      <c r="R82" s="146"/>
      <c r="S82" s="147"/>
    </row>
    <row r="83" spans="1:19" ht="17.25" thickBot="1">
      <c r="A83" s="32" t="s">
        <v>168</v>
      </c>
      <c r="B83" s="33">
        <v>205</v>
      </c>
      <c r="C83" s="16">
        <v>0</v>
      </c>
      <c r="D83" s="15">
        <v>205</v>
      </c>
      <c r="E83" s="16">
        <f t="shared" si="38"/>
        <v>0</v>
      </c>
      <c r="F83" s="19">
        <f>IF(ISNUMBER(D83), $B91 * E83, "")</f>
        <v>0</v>
      </c>
      <c r="G83" s="15"/>
      <c r="H83" s="16" t="str">
        <f t="shared" si="39"/>
        <v/>
      </c>
      <c r="I83" s="19" t="str">
        <f>IF(ISNUMBER(G83), $B91 * H83, "")</f>
        <v/>
      </c>
      <c r="J83" s="15"/>
      <c r="K83" s="16" t="str">
        <f t="shared" si="40"/>
        <v/>
      </c>
      <c r="L83" s="19" t="str">
        <f>IF(ISNUMBER(J83), $B91 * K83, "")</f>
        <v/>
      </c>
      <c r="M83" s="15"/>
      <c r="N83" s="16" t="str">
        <f t="shared" si="41"/>
        <v/>
      </c>
      <c r="O83" s="19" t="str">
        <f>IF(ISNUMBER(M83), $B91 * N83, "")</f>
        <v/>
      </c>
      <c r="Q83" s="127"/>
      <c r="R83" s="127"/>
      <c r="S83" s="127"/>
    </row>
    <row r="84" spans="1:19" ht="17.25" thickBot="1">
      <c r="A84" s="32" t="s">
        <v>240</v>
      </c>
      <c r="B84" s="33">
        <v>214</v>
      </c>
      <c r="C84" s="16">
        <v>0</v>
      </c>
      <c r="D84" s="15">
        <v>207</v>
      </c>
      <c r="E84" s="16">
        <f t="shared" si="38"/>
        <v>-3.2710280373831772E-2</v>
      </c>
      <c r="F84" s="19">
        <f>IF(ISNUMBER(D84), $B91 * E84, "")</f>
        <v>-9813.0841121495323</v>
      </c>
      <c r="G84" s="15"/>
      <c r="H84" s="16" t="str">
        <f t="shared" si="39"/>
        <v/>
      </c>
      <c r="I84" s="19" t="str">
        <f>IF(ISNUMBER(G84), $B91 * H84, "")</f>
        <v/>
      </c>
      <c r="J84" s="15"/>
      <c r="K84" s="16" t="str">
        <f t="shared" si="40"/>
        <v/>
      </c>
      <c r="L84" s="19" t="str">
        <f>IF(ISNUMBER(J84), $B91 * K84, "")</f>
        <v/>
      </c>
      <c r="M84" s="15"/>
      <c r="N84" s="16" t="str">
        <f t="shared" si="41"/>
        <v/>
      </c>
      <c r="O84" s="19" t="str">
        <f>IF(ISNUMBER(M84), $B91 * N84, "")</f>
        <v/>
      </c>
      <c r="Q84" s="148"/>
      <c r="R84" s="148"/>
      <c r="S84" s="148"/>
    </row>
    <row r="85" spans="1:19" ht="17.25" thickBot="1">
      <c r="A85" s="34" t="s">
        <v>148</v>
      </c>
      <c r="B85" s="35">
        <v>209</v>
      </c>
      <c r="C85" s="22">
        <v>0</v>
      </c>
      <c r="D85" s="21">
        <v>207</v>
      </c>
      <c r="E85" s="22">
        <f t="shared" si="38"/>
        <v>-9.5693779904306216E-3</v>
      </c>
      <c r="F85" s="23">
        <f>IF(ISNUMBER(D85), $B91 * E85, "")</f>
        <v>-2870.8133971291863</v>
      </c>
      <c r="G85" s="21"/>
      <c r="H85" s="22" t="str">
        <f t="shared" si="39"/>
        <v/>
      </c>
      <c r="I85" s="23" t="str">
        <f>IF(ISNUMBER(G85), $B91 * H85, "")</f>
        <v/>
      </c>
      <c r="J85" s="21"/>
      <c r="K85" s="22" t="str">
        <f t="shared" si="40"/>
        <v/>
      </c>
      <c r="L85" s="23" t="str">
        <f>IF(ISNUMBER(J85), $B91 * K85, "")</f>
        <v/>
      </c>
      <c r="M85" s="21"/>
      <c r="N85" s="22" t="str">
        <f t="shared" si="41"/>
        <v/>
      </c>
      <c r="O85" s="23" t="str">
        <f>IF(ISNUMBER(M85), $B91 * N85, "")</f>
        <v/>
      </c>
      <c r="Q85" s="148"/>
      <c r="R85" s="148"/>
      <c r="S85" s="148"/>
    </row>
    <row r="86" spans="1:19" ht="17.25" thickBot="1">
      <c r="A86" s="32" t="s">
        <v>120</v>
      </c>
      <c r="B86" s="36">
        <v>230</v>
      </c>
      <c r="C86" s="37">
        <v>0</v>
      </c>
      <c r="D86" s="15">
        <v>228</v>
      </c>
      <c r="E86" s="37">
        <f>IF(ISNUMBER(D86), (D86 - $B86) / $B86, "")</f>
        <v>-8.6956521739130436E-3</v>
      </c>
      <c r="F86" s="19">
        <f>IF(ISNUMBER(D86), $B91 * E86, "")</f>
        <v>-2608.695652173913</v>
      </c>
      <c r="G86" s="15"/>
      <c r="H86" s="37" t="str">
        <f>IF(ISNUMBER(G86), (G86 - $B86) / $B86, "")</f>
        <v/>
      </c>
      <c r="I86" s="19" t="str">
        <f>IF(ISNUMBER(G86), $B91 * H86, "")</f>
        <v/>
      </c>
      <c r="J86" s="15"/>
      <c r="K86" s="37" t="str">
        <f>IF(ISNUMBER(J86), (J86 - $B86) / $B86, "")</f>
        <v/>
      </c>
      <c r="L86" s="19" t="str">
        <f>IF(ISNUMBER(J86), $B91 * K86, "")</f>
        <v/>
      </c>
      <c r="M86" s="15"/>
      <c r="N86" s="37" t="str">
        <f>IF(ISNUMBER(M86), (M86 - $B86) / $B86, "")</f>
        <v/>
      </c>
      <c r="O86" s="19" t="str">
        <f>IF(ISNUMBER(M86), $B91 * N86, "")</f>
        <v/>
      </c>
      <c r="Q86" s="127"/>
      <c r="R86" s="127"/>
      <c r="S86" s="127"/>
    </row>
    <row r="87" spans="1:19" ht="17.25" thickBot="1">
      <c r="A87" s="32" t="s">
        <v>230</v>
      </c>
      <c r="B87" s="33">
        <v>186</v>
      </c>
      <c r="C87" s="16">
        <v>0</v>
      </c>
      <c r="D87" s="15">
        <v>190</v>
      </c>
      <c r="E87" s="16">
        <f t="shared" ref="E87:E90" si="42">IF(ISNUMBER(D87), (D87 - $B87) / $B87, "")</f>
        <v>2.1505376344086023E-2</v>
      </c>
      <c r="F87" s="19">
        <f>IF(ISNUMBER(D87), $B91 * E87, "")</f>
        <v>6451.6129032258068</v>
      </c>
      <c r="G87" s="15"/>
      <c r="H87" s="16" t="str">
        <f t="shared" ref="H87:H90" si="43">IF(ISNUMBER(G87), (G87 - $B87) / $B87, "")</f>
        <v/>
      </c>
      <c r="I87" s="19" t="str">
        <f>IF(ISNUMBER(G87), $B91 * H87, "")</f>
        <v/>
      </c>
      <c r="J87" s="15"/>
      <c r="K87" s="16" t="str">
        <f t="shared" ref="K87:K90" si="44">IF(ISNUMBER(J87), (J87 - $B87) / $B87, "")</f>
        <v/>
      </c>
      <c r="L87" s="19" t="str">
        <f>IF(ISNUMBER(J87), $B91 * K87, "")</f>
        <v/>
      </c>
      <c r="M87" s="15"/>
      <c r="N87" s="16" t="str">
        <f t="shared" ref="N87:N90" si="45">IF(ISNUMBER(M87), (M87 - $B87) / $B87, "")</f>
        <v/>
      </c>
      <c r="O87" s="19" t="str">
        <f>IF(ISNUMBER(M87), $B91 * N87, "")</f>
        <v/>
      </c>
      <c r="Q87" s="127"/>
      <c r="R87" s="127"/>
      <c r="S87" s="127"/>
    </row>
    <row r="88" spans="1:19" ht="17.25" thickBot="1">
      <c r="A88" s="32" t="s">
        <v>51</v>
      </c>
      <c r="B88" s="33">
        <v>620</v>
      </c>
      <c r="C88" s="16">
        <v>-4.8154093000000002E-3</v>
      </c>
      <c r="D88" s="15">
        <v>628</v>
      </c>
      <c r="E88" s="16">
        <f t="shared" si="42"/>
        <v>1.2903225806451613E-2</v>
      </c>
      <c r="F88" s="19">
        <f>IF(ISNUMBER(D88), $B91 * E88, "")</f>
        <v>3870.9677419354839</v>
      </c>
      <c r="G88" s="15"/>
      <c r="H88" s="16" t="str">
        <f t="shared" si="43"/>
        <v/>
      </c>
      <c r="I88" s="19" t="str">
        <f>IF(ISNUMBER(G88), $B91 * H88, "")</f>
        <v/>
      </c>
      <c r="J88" s="15"/>
      <c r="K88" s="16" t="str">
        <f t="shared" si="44"/>
        <v/>
      </c>
      <c r="L88" s="19" t="str">
        <f>IF(ISNUMBER(J88), $B91 * K88, "")</f>
        <v/>
      </c>
      <c r="M88" s="15"/>
      <c r="N88" s="16" t="str">
        <f t="shared" si="45"/>
        <v/>
      </c>
      <c r="O88" s="19" t="str">
        <f>IF(ISNUMBER(M88), $B91 * N88, "")</f>
        <v/>
      </c>
      <c r="Q88" s="127"/>
      <c r="R88" s="127"/>
      <c r="S88" s="127"/>
    </row>
    <row r="89" spans="1:19">
      <c r="A89" s="32" t="s">
        <v>278</v>
      </c>
      <c r="B89" s="33">
        <v>154</v>
      </c>
      <c r="C89" s="16">
        <v>-6.4516128999999997E-3</v>
      </c>
      <c r="D89" s="15">
        <v>152</v>
      </c>
      <c r="E89" s="16">
        <f t="shared" si="42"/>
        <v>-1.2987012987012988E-2</v>
      </c>
      <c r="F89" s="19">
        <f>IF(ISNUMBER(D89), $B91 * E89, "")</f>
        <v>-3896.1038961038962</v>
      </c>
      <c r="G89" s="15"/>
      <c r="H89" s="16" t="str">
        <f t="shared" si="43"/>
        <v/>
      </c>
      <c r="I89" s="19" t="str">
        <f>IF(ISNUMBER(G89), $B91 * H89, "")</f>
        <v/>
      </c>
      <c r="J89" s="15"/>
      <c r="K89" s="16" t="str">
        <f t="shared" si="44"/>
        <v/>
      </c>
      <c r="L89" s="19" t="str">
        <f>IF(ISNUMBER(J89), $B91 * K89, "")</f>
        <v/>
      </c>
      <c r="M89" s="15"/>
      <c r="N89" s="16" t="str">
        <f t="shared" si="45"/>
        <v/>
      </c>
      <c r="O89" s="19" t="str">
        <f>IF(ISNUMBER(M89), $B91 * N89, "")</f>
        <v/>
      </c>
      <c r="Q89" s="128"/>
      <c r="R89" s="129"/>
      <c r="S89" s="130"/>
    </row>
    <row r="90" spans="1:19" ht="17.25" thickBot="1">
      <c r="A90" s="34" t="s">
        <v>132</v>
      </c>
      <c r="B90" s="35">
        <v>235</v>
      </c>
      <c r="C90" s="22">
        <v>-8.4388186E-3</v>
      </c>
      <c r="D90" s="21">
        <v>254</v>
      </c>
      <c r="E90" s="22">
        <f t="shared" si="42"/>
        <v>8.085106382978724E-2</v>
      </c>
      <c r="F90" s="19">
        <f>IF(ISNUMBER(D90), $B91 * E90, "")</f>
        <v>24255.319148936171</v>
      </c>
      <c r="G90" s="21"/>
      <c r="H90" s="22" t="str">
        <f t="shared" si="43"/>
        <v/>
      </c>
      <c r="I90" s="19" t="str">
        <f>IF(ISNUMBER(G90), $B91 * H90, "")</f>
        <v/>
      </c>
      <c r="J90" s="21"/>
      <c r="K90" s="22" t="str">
        <f t="shared" si="44"/>
        <v/>
      </c>
      <c r="L90" s="19" t="str">
        <f>IF(ISNUMBER(J90), $B91 * K90, "")</f>
        <v/>
      </c>
      <c r="M90" s="21"/>
      <c r="N90" s="22" t="str">
        <f t="shared" si="45"/>
        <v/>
      </c>
      <c r="O90" s="19" t="str">
        <f>IF(ISNUMBER(M90), $B91 * N90, "")</f>
        <v/>
      </c>
      <c r="Q90" s="131"/>
      <c r="R90" s="132"/>
      <c r="S90" s="133"/>
    </row>
    <row r="91" spans="1:19" ht="17.25" thickBot="1">
      <c r="A91" s="27" t="s">
        <v>42</v>
      </c>
      <c r="B91" s="137">
        <f>$B$37</f>
        <v>300000</v>
      </c>
      <c r="C91" s="138"/>
      <c r="D91" s="27" t="s">
        <v>43</v>
      </c>
      <c r="E91" s="28">
        <f>IF(COUNT(E71:E90), SUM(E71:E90) / COUNT(E71:E90), 0)</f>
        <v>-2.863428187403949E-3</v>
      </c>
      <c r="F91" s="29">
        <f>SUM(F71:F90)</f>
        <v>-17180.569124423695</v>
      </c>
      <c r="G91" s="27" t="s">
        <v>43</v>
      </c>
      <c r="H91" s="28">
        <f>IF(COUNT(H71:H90), SUM(H71:H90) / COUNT(H71:H90), 0)</f>
        <v>0</v>
      </c>
      <c r="I91" s="29">
        <f>SUM(I71:I90)</f>
        <v>0</v>
      </c>
      <c r="J91" s="27" t="s">
        <v>43</v>
      </c>
      <c r="K91" s="28">
        <f>IF(COUNT(K71:K90), SUM(K71:K90) / COUNT(K71:K90), 0)</f>
        <v>0</v>
      </c>
      <c r="L91" s="29">
        <f>SUM(L71:L90)</f>
        <v>0</v>
      </c>
      <c r="M91" s="27" t="s">
        <v>43</v>
      </c>
      <c r="N91" s="28">
        <f>IF(COUNT(N71:N90), SUM(N71:N90) / COUNT(N71:N90), 0)</f>
        <v>0</v>
      </c>
      <c r="O91" s="29">
        <f>SUM(O71:O90)</f>
        <v>0</v>
      </c>
      <c r="Q91" s="134"/>
      <c r="R91" s="135"/>
      <c r="S91" s="136"/>
    </row>
    <row r="93" spans="1:19" ht="17.25" thickBot="1"/>
    <row r="94" spans="1:19" ht="17.25" thickBot="1">
      <c r="A94" s="149" t="s">
        <v>46</v>
      </c>
      <c r="B94" s="150"/>
      <c r="C94" s="150"/>
      <c r="D94" s="150"/>
      <c r="E94" s="150"/>
      <c r="F94" s="150"/>
      <c r="G94" s="150"/>
      <c r="H94" s="150"/>
      <c r="I94" s="150"/>
      <c r="J94" s="150"/>
      <c r="K94" s="150"/>
      <c r="L94" s="150"/>
      <c r="M94" s="150"/>
      <c r="N94" s="150"/>
      <c r="O94" s="151"/>
      <c r="Q94" s="148"/>
      <c r="R94" s="148"/>
      <c r="S94" s="148"/>
    </row>
    <row r="95" spans="1:19" ht="17.25" thickBot="1">
      <c r="A95" s="122" t="s">
        <v>35</v>
      </c>
      <c r="B95" s="149" t="s">
        <v>36</v>
      </c>
      <c r="C95" s="151"/>
      <c r="D95" s="149" t="s">
        <v>37</v>
      </c>
      <c r="E95" s="150"/>
      <c r="F95" s="151"/>
      <c r="G95" s="152">
        <f>_xlfn.IFNA(VLOOKUP(B95, 현재가테이블!$B$2:$D$200, 2, FALSE), "-")</f>
        <v>68203000</v>
      </c>
      <c r="H95" s="153"/>
      <c r="I95" s="154"/>
      <c r="J95" s="149" t="s">
        <v>38</v>
      </c>
      <c r="K95" s="150"/>
      <c r="L95" s="151"/>
      <c r="M95" s="155">
        <f>_xlfn.IFNA(VLOOKUP(B95, 현재가테이블!$B$2:$D$200, 3, FALSE), "-")</f>
        <v>-1.22521687E-2</v>
      </c>
      <c r="N95" s="156"/>
      <c r="O95" s="157"/>
      <c r="Q95" s="148"/>
      <c r="R95" s="148"/>
      <c r="S95" s="148"/>
    </row>
    <row r="96" spans="1:19" ht="17.25" thickBot="1">
      <c r="A96" s="158" t="s">
        <v>39</v>
      </c>
      <c r="B96" s="159" t="str">
        <f>TEXT($G$1, "[$-ko-KR]yyyy-mm-dd(ddd) ") &amp; "오전 00:00"</f>
        <v>2021-05-02(일) 오전 00:00</v>
      </c>
      <c r="C96" s="160"/>
      <c r="D96" s="161" t="str">
        <f>TEXT($G$1, "[$-ko-KR]yyyy-mm-dd(ddd) ") &amp; "오후 14:00"</f>
        <v>2021-05-02(일) 오후 14:00</v>
      </c>
      <c r="E96" s="162"/>
      <c r="F96" s="163"/>
      <c r="G96" s="161" t="str">
        <f>TEXT($G$1, "[$-ko-KR]yyyy-mm-dd(ddd) ") &amp; "오후 19:00"</f>
        <v>2021-05-02(일) 오후 19:00</v>
      </c>
      <c r="H96" s="162"/>
      <c r="I96" s="163"/>
      <c r="J96" s="164" t="str">
        <f>TEXT($G$1, "[$-ko-KR]yyyy-mm-dd(ddd) ") &amp; "오후 21:00"</f>
        <v>2021-05-02(일) 오후 21:00</v>
      </c>
      <c r="K96" s="164"/>
      <c r="L96" s="164"/>
      <c r="M96" s="161" t="str">
        <f>TEXT($G$1+1, "[$-ko-KR]yyyy-mm-dd(ddd) ") &amp; "오전 00:00"</f>
        <v>2021-05-03(월) 오전 00:00</v>
      </c>
      <c r="N96" s="162"/>
      <c r="O96" s="163"/>
      <c r="Q96" s="148"/>
      <c r="R96" s="148"/>
      <c r="S96" s="148"/>
    </row>
    <row r="97" spans="1:19" ht="17.25" thickBot="1">
      <c r="A97" s="158"/>
      <c r="B97" s="2" t="s">
        <v>37</v>
      </c>
      <c r="C97" s="10" t="s">
        <v>38</v>
      </c>
      <c r="D97" s="2" t="s">
        <v>37</v>
      </c>
      <c r="E97" s="10" t="s">
        <v>40</v>
      </c>
      <c r="F97" s="11" t="s">
        <v>41</v>
      </c>
      <c r="G97" s="2" t="s">
        <v>37</v>
      </c>
      <c r="H97" s="10" t="s">
        <v>40</v>
      </c>
      <c r="I97" s="11" t="s">
        <v>41</v>
      </c>
      <c r="J97" s="10" t="s">
        <v>37</v>
      </c>
      <c r="K97" s="10" t="s">
        <v>40</v>
      </c>
      <c r="L97" s="126" t="s">
        <v>41</v>
      </c>
      <c r="M97" s="2" t="s">
        <v>37</v>
      </c>
      <c r="N97" s="10" t="s">
        <v>40</v>
      </c>
      <c r="O97" s="72" t="s">
        <v>41</v>
      </c>
      <c r="Q97" s="127"/>
      <c r="R97" s="127"/>
      <c r="S97" s="127"/>
    </row>
    <row r="98" spans="1:19" ht="17.25" thickBot="1">
      <c r="A98" s="30" t="s">
        <v>102</v>
      </c>
      <c r="B98" s="31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7">
        <f>IF(ISNUMBER(D98), $B118 * E98, "")</f>
        <v>36393.851267137514</v>
      </c>
      <c r="G98" s="13"/>
      <c r="H98" s="14" t="str">
        <f>IF(ISNUMBER(G98), (G98 - $B98) / $B98, "")</f>
        <v/>
      </c>
      <c r="I98" s="17" t="str">
        <f>IF(ISNUMBER(G98), $B118 * H98, "")</f>
        <v/>
      </c>
      <c r="J98" s="13"/>
      <c r="K98" s="14" t="str">
        <f>IF(ISNUMBER(J98), (J98 - $B98) / $B98, "")</f>
        <v/>
      </c>
      <c r="L98" s="17" t="str">
        <f>IF(ISNUMBER(J98), $B118 * K98, "")</f>
        <v/>
      </c>
      <c r="M98" s="13"/>
      <c r="N98" s="14" t="str">
        <f>IF(ISNUMBER(M98), (M98 - $B98) / $B98, "")</f>
        <v/>
      </c>
      <c r="O98" s="17" t="str">
        <f>IF(ISNUMBER(M98), $B118 * N98, "")</f>
        <v/>
      </c>
      <c r="Q98" s="148"/>
      <c r="R98" s="148"/>
      <c r="S98" s="148"/>
    </row>
    <row r="99" spans="1:19" ht="17.25" thickBot="1">
      <c r="A99" s="32" t="s">
        <v>250</v>
      </c>
      <c r="B99" s="33">
        <v>255</v>
      </c>
      <c r="C99" s="16">
        <v>0.10869565220000001</v>
      </c>
      <c r="D99" s="15">
        <v>240</v>
      </c>
      <c r="E99" s="16">
        <f t="shared" ref="E99:E102" si="46">IF(ISNUMBER(D99), (D99 - $B99) / $B99, "")</f>
        <v>-5.8823529411764705E-2</v>
      </c>
      <c r="F99" s="19">
        <f>IF(ISNUMBER(D99), $B118 * E99, "")</f>
        <v>-17647.058823529413</v>
      </c>
      <c r="G99" s="15"/>
      <c r="H99" s="16" t="str">
        <f t="shared" ref="H99:H102" si="47">IF(ISNUMBER(G99), (G99 - $B99) / $B99, "")</f>
        <v/>
      </c>
      <c r="I99" s="19" t="str">
        <f>IF(ISNUMBER(G99), $B118 * H99, "")</f>
        <v/>
      </c>
      <c r="J99" s="15"/>
      <c r="K99" s="16" t="str">
        <f t="shared" ref="K99:K102" si="48">IF(ISNUMBER(J99), (J99 - $B99) / $B99, "")</f>
        <v/>
      </c>
      <c r="L99" s="19" t="str">
        <f>IF(ISNUMBER(J99), $B118 * K99, "")</f>
        <v/>
      </c>
      <c r="M99" s="15"/>
      <c r="N99" s="16" t="str">
        <f t="shared" ref="N99:N102" si="49">IF(ISNUMBER(M99), (M99 - $B99) / $B99, "")</f>
        <v/>
      </c>
      <c r="O99" s="19" t="str">
        <f>IF(ISNUMBER(M99), $B118 * N99, "")</f>
        <v/>
      </c>
      <c r="Q99" s="148"/>
      <c r="R99" s="148"/>
      <c r="S99" s="148"/>
    </row>
    <row r="100" spans="1:19" ht="17.25" thickBot="1">
      <c r="A100" s="32" t="s">
        <v>216</v>
      </c>
      <c r="B100" s="33">
        <v>501</v>
      </c>
      <c r="C100" s="16">
        <v>0.1035242291</v>
      </c>
      <c r="D100" s="15">
        <v>476</v>
      </c>
      <c r="E100" s="16">
        <f t="shared" si="46"/>
        <v>-4.9900199600798403E-2</v>
      </c>
      <c r="F100" s="19">
        <f>IF(ISNUMBER(D100), $B118 * E100, "")</f>
        <v>-14970.059880239522</v>
      </c>
      <c r="G100" s="15"/>
      <c r="H100" s="16" t="str">
        <f t="shared" si="47"/>
        <v/>
      </c>
      <c r="I100" s="19" t="str">
        <f>IF(ISNUMBER(G100), $B118 * H100, "")</f>
        <v/>
      </c>
      <c r="J100" s="15"/>
      <c r="K100" s="16" t="str">
        <f t="shared" si="48"/>
        <v/>
      </c>
      <c r="L100" s="19" t="str">
        <f>IF(ISNUMBER(J100), $B118 * K100, "")</f>
        <v/>
      </c>
      <c r="M100" s="15"/>
      <c r="N100" s="16" t="str">
        <f t="shared" si="49"/>
        <v/>
      </c>
      <c r="O100" s="19" t="str">
        <f>IF(ISNUMBER(M100), $B118 * N100, "")</f>
        <v/>
      </c>
      <c r="Q100" s="127"/>
      <c r="R100" s="127"/>
      <c r="S100" s="127"/>
    </row>
    <row r="101" spans="1:19" ht="17.25" thickBot="1">
      <c r="A101" s="32" t="s">
        <v>232</v>
      </c>
      <c r="B101" s="33">
        <v>202</v>
      </c>
      <c r="C101" s="16">
        <v>8.6021505400000003E-2</v>
      </c>
      <c r="D101" s="15">
        <v>194</v>
      </c>
      <c r="E101" s="16">
        <f t="shared" si="46"/>
        <v>-3.9603960396039604E-2</v>
      </c>
      <c r="F101" s="19">
        <f>IF(ISNUMBER(D101), $B118 * E101, "")</f>
        <v>-11881.18811881188</v>
      </c>
      <c r="G101" s="15"/>
      <c r="H101" s="16" t="str">
        <f t="shared" si="47"/>
        <v/>
      </c>
      <c r="I101" s="19" t="str">
        <f>IF(ISNUMBER(G101), $B118 * H101, "")</f>
        <v/>
      </c>
      <c r="J101" s="15"/>
      <c r="K101" s="16" t="str">
        <f t="shared" si="48"/>
        <v/>
      </c>
      <c r="L101" s="19" t="str">
        <f>IF(ISNUMBER(J101), $B118 * K101, "")</f>
        <v/>
      </c>
      <c r="M101" s="15"/>
      <c r="N101" s="16" t="str">
        <f t="shared" si="49"/>
        <v/>
      </c>
      <c r="O101" s="19" t="str">
        <f>IF(ISNUMBER(M101), $B118 * N101, "")</f>
        <v/>
      </c>
      <c r="Q101" s="127"/>
      <c r="R101" s="127"/>
      <c r="S101" s="127"/>
    </row>
    <row r="102" spans="1:19" ht="17.25" thickBot="1">
      <c r="A102" s="34" t="s">
        <v>296</v>
      </c>
      <c r="B102" s="35">
        <v>427</v>
      </c>
      <c r="C102" s="22">
        <v>7.2864321600000004E-2</v>
      </c>
      <c r="D102" s="21">
        <v>456</v>
      </c>
      <c r="E102" s="22">
        <f t="shared" si="46"/>
        <v>6.7915690866510545E-2</v>
      </c>
      <c r="F102" s="23">
        <f>IF(ISNUMBER(D102), $B118 * E102, "")</f>
        <v>20374.707259953164</v>
      </c>
      <c r="G102" s="21"/>
      <c r="H102" s="22" t="str">
        <f t="shared" si="47"/>
        <v/>
      </c>
      <c r="I102" s="23" t="str">
        <f>IF(ISNUMBER(G102), $B118 * H102, "")</f>
        <v/>
      </c>
      <c r="J102" s="21"/>
      <c r="K102" s="22" t="str">
        <f t="shared" si="48"/>
        <v/>
      </c>
      <c r="L102" s="23" t="str">
        <f>IF(ISNUMBER(J102), $B118 * K102, "")</f>
        <v/>
      </c>
      <c r="M102" s="21"/>
      <c r="N102" s="22" t="str">
        <f t="shared" si="49"/>
        <v/>
      </c>
      <c r="O102" s="23" t="str">
        <f>IF(ISNUMBER(M102), $B118 * N102, "")</f>
        <v/>
      </c>
      <c r="Q102" s="127"/>
      <c r="R102" s="127"/>
      <c r="S102" s="127"/>
    </row>
    <row r="103" spans="1:19" ht="17.25" thickBot="1">
      <c r="A103" s="32" t="s">
        <v>74</v>
      </c>
      <c r="B103" s="36">
        <v>28460</v>
      </c>
      <c r="C103" s="37">
        <v>6.5518532399999996E-2</v>
      </c>
      <c r="D103" s="15">
        <v>27500</v>
      </c>
      <c r="E103" s="37">
        <f>IF(ISNUMBER(D103), (D103 - $B103) / $B103, "")</f>
        <v>-3.3731553056921992E-2</v>
      </c>
      <c r="F103" s="19">
        <f>IF(ISNUMBER(D103), $B118 * E103, "")</f>
        <v>-10119.465917076597</v>
      </c>
      <c r="G103" s="15"/>
      <c r="H103" s="37" t="str">
        <f>IF(ISNUMBER(G103), (G103 - $B103) / $B103, "")</f>
        <v/>
      </c>
      <c r="I103" s="19" t="str">
        <f>IF(ISNUMBER(G103), $B118 * H103, "")</f>
        <v/>
      </c>
      <c r="J103" s="15"/>
      <c r="K103" s="37" t="str">
        <f>IF(ISNUMBER(J103), (J103 - $B103) / $B103, "")</f>
        <v/>
      </c>
      <c r="L103" s="19" t="str">
        <f>IF(ISNUMBER(J103), $B118 * K103, "")</f>
        <v/>
      </c>
      <c r="M103" s="15"/>
      <c r="N103" s="37" t="str">
        <f>IF(ISNUMBER(M103), (M103 - $B103) / $B103, "")</f>
        <v/>
      </c>
      <c r="O103" s="19" t="str">
        <f>IF(ISNUMBER(M103), $B118 * N103, "")</f>
        <v/>
      </c>
      <c r="Q103" s="127"/>
      <c r="R103" s="127"/>
      <c r="S103" s="127"/>
    </row>
    <row r="104" spans="1:19" ht="17.25" thickBot="1">
      <c r="A104" s="32" t="s">
        <v>108</v>
      </c>
      <c r="B104" s="33">
        <v>50100</v>
      </c>
      <c r="C104" s="16">
        <v>4.7678795500000003E-2</v>
      </c>
      <c r="D104" s="15">
        <v>49320</v>
      </c>
      <c r="E104" s="16">
        <f t="shared" ref="E104:E107" si="50">IF(ISNUMBER(D104), (D104 - $B104) / $B104, "")</f>
        <v>-1.5568862275449102E-2</v>
      </c>
      <c r="F104" s="19">
        <f>IF(ISNUMBER(D104), $B118 * E104, "")</f>
        <v>-4670.6586826347302</v>
      </c>
      <c r="G104" s="15"/>
      <c r="H104" s="16" t="str">
        <f t="shared" ref="H104:H107" si="51">IF(ISNUMBER(G104), (G104 - $B104) / $B104, "")</f>
        <v/>
      </c>
      <c r="I104" s="19" t="str">
        <f>IF(ISNUMBER(G104), $B118 * H104, "")</f>
        <v/>
      </c>
      <c r="J104" s="15"/>
      <c r="K104" s="16" t="str">
        <f t="shared" ref="K104:K107" si="52">IF(ISNUMBER(J104), (J104 - $B104) / $B104, "")</f>
        <v/>
      </c>
      <c r="L104" s="19" t="str">
        <f>IF(ISNUMBER(J104), $B118 * K104, "")</f>
        <v/>
      </c>
      <c r="M104" s="15"/>
      <c r="N104" s="16" t="str">
        <f t="shared" ref="N104:N107" si="53">IF(ISNUMBER(M104), (M104 - $B104) / $B104, "")</f>
        <v/>
      </c>
      <c r="O104" s="19" t="str">
        <f>IF(ISNUMBER(M104), $B118 * N104, "")</f>
        <v/>
      </c>
      <c r="Q104" s="127"/>
      <c r="R104" s="127"/>
      <c r="S104" s="127"/>
    </row>
    <row r="105" spans="1:19" ht="17.25" thickBot="1">
      <c r="A105" s="32" t="s">
        <v>54</v>
      </c>
      <c r="B105" s="33">
        <v>369</v>
      </c>
      <c r="C105" s="16">
        <v>4.5325778999999997E-2</v>
      </c>
      <c r="D105" s="15">
        <v>369</v>
      </c>
      <c r="E105" s="16">
        <f t="shared" si="50"/>
        <v>0</v>
      </c>
      <c r="F105" s="19">
        <f>IF(ISNUMBER(D105), $B118 * E105, "")</f>
        <v>0</v>
      </c>
      <c r="G105" s="15"/>
      <c r="H105" s="16" t="str">
        <f t="shared" si="51"/>
        <v/>
      </c>
      <c r="I105" s="19" t="str">
        <f>IF(ISNUMBER(G105), $B118 * H105, "")</f>
        <v/>
      </c>
      <c r="J105" s="15"/>
      <c r="K105" s="16" t="str">
        <f t="shared" si="52"/>
        <v/>
      </c>
      <c r="L105" s="19" t="str">
        <f>IF(ISNUMBER(J105), $B118 * K105, "")</f>
        <v/>
      </c>
      <c r="M105" s="15"/>
      <c r="N105" s="16" t="str">
        <f t="shared" si="53"/>
        <v/>
      </c>
      <c r="O105" s="19" t="str">
        <f>IF(ISNUMBER(M105), $B118 * N105, "")</f>
        <v/>
      </c>
      <c r="Q105" s="127"/>
      <c r="R105" s="127"/>
      <c r="S105" s="127"/>
    </row>
    <row r="106" spans="1:19" ht="17.25" thickBot="1">
      <c r="A106" s="32" t="s">
        <v>96</v>
      </c>
      <c r="B106" s="33">
        <v>3418000</v>
      </c>
      <c r="C106" s="16">
        <v>4.4940385200000002E-2</v>
      </c>
      <c r="D106" s="15">
        <v>3490000</v>
      </c>
      <c r="E106" s="16">
        <f t="shared" si="50"/>
        <v>2.1064950263311878E-2</v>
      </c>
      <c r="F106" s="19">
        <f>IF(ISNUMBER(D106), $B118 * E106, "")</f>
        <v>6319.4850789935635</v>
      </c>
      <c r="G106" s="15"/>
      <c r="H106" s="16" t="str">
        <f t="shared" si="51"/>
        <v/>
      </c>
      <c r="I106" s="19" t="str">
        <f>IF(ISNUMBER(G106), $B118 * H106, "")</f>
        <v/>
      </c>
      <c r="J106" s="15"/>
      <c r="K106" s="16" t="str">
        <f t="shared" si="52"/>
        <v/>
      </c>
      <c r="L106" s="19" t="str">
        <f>IF(ISNUMBER(J106), $B118 * K106, "")</f>
        <v/>
      </c>
      <c r="M106" s="15"/>
      <c r="N106" s="16" t="str">
        <f t="shared" si="53"/>
        <v/>
      </c>
      <c r="O106" s="19" t="str">
        <f>IF(ISNUMBER(M106), $B118 * N106, "")</f>
        <v/>
      </c>
      <c r="Q106" s="38"/>
      <c r="R106" s="38"/>
    </row>
    <row r="107" spans="1:19" ht="17.25" thickBot="1">
      <c r="A107" s="34" t="s">
        <v>118</v>
      </c>
      <c r="B107" s="35">
        <v>6865</v>
      </c>
      <c r="C107" s="22">
        <v>4.0151515200000001E-2</v>
      </c>
      <c r="D107" s="21">
        <v>6710</v>
      </c>
      <c r="E107" s="22">
        <f t="shared" si="50"/>
        <v>-2.2578295702840496E-2</v>
      </c>
      <c r="F107" s="19">
        <f>IF(ISNUMBER(D107), $B118 * E107, "")</f>
        <v>-6773.4887108521489</v>
      </c>
      <c r="G107" s="21"/>
      <c r="H107" s="22" t="str">
        <f t="shared" si="51"/>
        <v/>
      </c>
      <c r="I107" s="19" t="str">
        <f>IF(ISNUMBER(G107), $B118 * H107, "")</f>
        <v/>
      </c>
      <c r="J107" s="21"/>
      <c r="K107" s="22" t="str">
        <f t="shared" si="52"/>
        <v/>
      </c>
      <c r="L107" s="19" t="str">
        <f>IF(ISNUMBER(J107), $B118 * K107, "")</f>
        <v/>
      </c>
      <c r="M107" s="21"/>
      <c r="N107" s="22" t="str">
        <f t="shared" si="53"/>
        <v/>
      </c>
      <c r="O107" s="19" t="str">
        <f>IF(ISNUMBER(M107), $B118 * N107, "")</f>
        <v/>
      </c>
      <c r="Q107" s="139"/>
      <c r="R107" s="140"/>
      <c r="S107" s="141"/>
    </row>
    <row r="108" spans="1:19">
      <c r="A108" s="30" t="s">
        <v>226</v>
      </c>
      <c r="B108" s="31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7">
        <f>IF(ISNUMBER(D108), $B118 * E108, "")</f>
        <v>-12788.632326820605</v>
      </c>
      <c r="G108" s="13"/>
      <c r="H108" s="14" t="str">
        <f>IF(ISNUMBER(G108), (G108 - $B108) / $B108, "")</f>
        <v/>
      </c>
      <c r="I108" s="17" t="str">
        <f>IF(ISNUMBER(G108), $B118 * H108, "")</f>
        <v/>
      </c>
      <c r="J108" s="13"/>
      <c r="K108" s="14" t="str">
        <f>IF(ISNUMBER(J108), (J108 - $B108) / $B108, "")</f>
        <v/>
      </c>
      <c r="L108" s="17" t="str">
        <f>IF(ISNUMBER(J108), $B118 * K108, "")</f>
        <v/>
      </c>
      <c r="M108" s="13"/>
      <c r="N108" s="14" t="str">
        <f>IF(ISNUMBER(M108), (M108 - $B108) / $B108, "")</f>
        <v/>
      </c>
      <c r="O108" s="17" t="str">
        <f>IF(ISNUMBER(M108), $B118 * N108, "")</f>
        <v/>
      </c>
      <c r="Q108" s="142"/>
      <c r="R108" s="143"/>
      <c r="S108" s="144"/>
    </row>
    <row r="109" spans="1:19" ht="17.25" thickBot="1">
      <c r="A109" s="32" t="s">
        <v>212</v>
      </c>
      <c r="B109" s="33">
        <v>164</v>
      </c>
      <c r="C109" s="16">
        <v>3.7974683500000002E-2</v>
      </c>
      <c r="D109" s="15">
        <v>177</v>
      </c>
      <c r="E109" s="16">
        <f t="shared" ref="E109:E112" si="54">IF(ISNUMBER(D109), (D109 - $B109) / $B109, "")</f>
        <v>7.926829268292683E-2</v>
      </c>
      <c r="F109" s="19">
        <f>IF(ISNUMBER(D109), $B118 * E109, "")</f>
        <v>23780.487804878048</v>
      </c>
      <c r="G109" s="15"/>
      <c r="H109" s="16" t="str">
        <f t="shared" ref="H109:H112" si="55">IF(ISNUMBER(G109), (G109 - $B109) / $B109, "")</f>
        <v/>
      </c>
      <c r="I109" s="19" t="str">
        <f>IF(ISNUMBER(G109), $B118 * H109, "")</f>
        <v/>
      </c>
      <c r="J109" s="15"/>
      <c r="K109" s="16" t="str">
        <f t="shared" ref="K109:K112" si="56">IF(ISNUMBER(J109), (J109 - $B109) / $B109, "")</f>
        <v/>
      </c>
      <c r="L109" s="19" t="str">
        <f>IF(ISNUMBER(J109), $B118 * K109, "")</f>
        <v/>
      </c>
      <c r="M109" s="15"/>
      <c r="N109" s="16" t="str">
        <f t="shared" ref="N109:N112" si="57">IF(ISNUMBER(M109), (M109 - $B109) / $B109, "")</f>
        <v/>
      </c>
      <c r="O109" s="19" t="str">
        <f>IF(ISNUMBER(M109), $B118 * N109, "")</f>
        <v/>
      </c>
      <c r="Q109" s="145"/>
      <c r="R109" s="146"/>
      <c r="S109" s="147"/>
    </row>
    <row r="110" spans="1:19" ht="17.25" thickBot="1">
      <c r="A110" s="32" t="s">
        <v>69</v>
      </c>
      <c r="B110" s="33">
        <v>11710</v>
      </c>
      <c r="C110" s="16">
        <v>3.6283185799999999E-2</v>
      </c>
      <c r="D110" s="15">
        <v>12470</v>
      </c>
      <c r="E110" s="16">
        <f t="shared" si="54"/>
        <v>6.4901793339026473E-2</v>
      </c>
      <c r="F110" s="19">
        <f>IF(ISNUMBER(D110), $B118 * E110, "")</f>
        <v>19470.538001707941</v>
      </c>
      <c r="G110" s="15"/>
      <c r="H110" s="16" t="str">
        <f t="shared" si="55"/>
        <v/>
      </c>
      <c r="I110" s="19" t="str">
        <f>IF(ISNUMBER(G110), $B118 * H110, "")</f>
        <v/>
      </c>
      <c r="J110" s="15"/>
      <c r="K110" s="16" t="str">
        <f t="shared" si="56"/>
        <v/>
      </c>
      <c r="L110" s="19" t="str">
        <f>IF(ISNUMBER(J110), $B118 * K110, "")</f>
        <v/>
      </c>
      <c r="M110" s="15"/>
      <c r="N110" s="16" t="str">
        <f t="shared" si="57"/>
        <v/>
      </c>
      <c r="O110" s="19" t="str">
        <f>IF(ISNUMBER(M110), $B118 * N110, "")</f>
        <v/>
      </c>
      <c r="Q110" s="127"/>
      <c r="R110" s="127"/>
      <c r="S110" s="127"/>
    </row>
    <row r="111" spans="1:19" ht="17.25" thickBot="1">
      <c r="A111" s="32" t="s">
        <v>76</v>
      </c>
      <c r="B111" s="33">
        <v>46510</v>
      </c>
      <c r="C111" s="16">
        <v>3.4705227999999998E-2</v>
      </c>
      <c r="D111" s="15">
        <v>47930</v>
      </c>
      <c r="E111" s="16">
        <f t="shared" si="54"/>
        <v>3.053106858740056E-2</v>
      </c>
      <c r="F111" s="19">
        <f>IF(ISNUMBER(D111), $B118 * E111, "")</f>
        <v>9159.3205762201687</v>
      </c>
      <c r="G111" s="15"/>
      <c r="H111" s="16" t="str">
        <f t="shared" si="55"/>
        <v/>
      </c>
      <c r="I111" s="19" t="str">
        <f>IF(ISNUMBER(G111), $B118 * H111, "")</f>
        <v/>
      </c>
      <c r="J111" s="15"/>
      <c r="K111" s="16" t="str">
        <f t="shared" si="56"/>
        <v/>
      </c>
      <c r="L111" s="19" t="str">
        <f>IF(ISNUMBER(J111), $B118 * K111, "")</f>
        <v/>
      </c>
      <c r="M111" s="15"/>
      <c r="N111" s="16" t="str">
        <f t="shared" si="57"/>
        <v/>
      </c>
      <c r="O111" s="19" t="str">
        <f>IF(ISNUMBER(M111), $B118 * N111, "")</f>
        <v/>
      </c>
      <c r="Q111" s="148"/>
      <c r="R111" s="148"/>
      <c r="S111" s="148"/>
    </row>
    <row r="112" spans="1:19" ht="17.25" thickBot="1">
      <c r="A112" s="34" t="s">
        <v>136</v>
      </c>
      <c r="B112" s="35">
        <v>250</v>
      </c>
      <c r="C112" s="22">
        <v>3.3057851200000002E-2</v>
      </c>
      <c r="D112" s="21">
        <v>245</v>
      </c>
      <c r="E112" s="22">
        <f t="shared" si="54"/>
        <v>-0.02</v>
      </c>
      <c r="F112" s="23">
        <f>IF(ISNUMBER(D112), $B118 * E112, "")</f>
        <v>-6000</v>
      </c>
      <c r="G112" s="21"/>
      <c r="H112" s="22" t="str">
        <f t="shared" si="55"/>
        <v/>
      </c>
      <c r="I112" s="23" t="str">
        <f>IF(ISNUMBER(G112), $B118 * H112, "")</f>
        <v/>
      </c>
      <c r="J112" s="21"/>
      <c r="K112" s="22" t="str">
        <f t="shared" si="56"/>
        <v/>
      </c>
      <c r="L112" s="23" t="str">
        <f>IF(ISNUMBER(J112), $B118 * K112, "")</f>
        <v/>
      </c>
      <c r="M112" s="21"/>
      <c r="N112" s="22" t="str">
        <f t="shared" si="57"/>
        <v/>
      </c>
      <c r="O112" s="23" t="str">
        <f>IF(ISNUMBER(M112), $B118 * N112, "")</f>
        <v/>
      </c>
      <c r="Q112" s="148"/>
      <c r="R112" s="148"/>
      <c r="S112" s="148"/>
    </row>
    <row r="113" spans="1:19" ht="17.25" thickBot="1">
      <c r="A113" s="32" t="s">
        <v>122</v>
      </c>
      <c r="B113" s="36">
        <v>126</v>
      </c>
      <c r="C113" s="37">
        <v>3.2786885199999997E-2</v>
      </c>
      <c r="D113" s="15">
        <v>129</v>
      </c>
      <c r="E113" s="37">
        <f>IF(ISNUMBER(D113), (D113 - $B113) / $B113, "")</f>
        <v>2.3809523809523808E-2</v>
      </c>
      <c r="F113" s="19">
        <f>IF(ISNUMBER(D113), $B118 * E113, "")</f>
        <v>7142.8571428571422</v>
      </c>
      <c r="G113" s="15"/>
      <c r="H113" s="37" t="str">
        <f>IF(ISNUMBER(G113), (G113 - $B113) / $B113, "")</f>
        <v/>
      </c>
      <c r="I113" s="19" t="str">
        <f>IF(ISNUMBER(G113), $B118 * H113, "")</f>
        <v/>
      </c>
      <c r="J113" s="15"/>
      <c r="K113" s="37" t="str">
        <f>IF(ISNUMBER(J113), (J113 - $B113) / $B113, "")</f>
        <v/>
      </c>
      <c r="L113" s="19" t="str">
        <f>IF(ISNUMBER(J113), $B118 * K113, "")</f>
        <v/>
      </c>
      <c r="M113" s="15"/>
      <c r="N113" s="37" t="str">
        <f>IF(ISNUMBER(M113), (M113 - $B113) / $B113, "")</f>
        <v/>
      </c>
      <c r="O113" s="19" t="str">
        <f>IF(ISNUMBER(M113), $B118 * N113, "")</f>
        <v/>
      </c>
      <c r="Q113" s="127"/>
      <c r="R113" s="127"/>
      <c r="S113" s="127"/>
    </row>
    <row r="114" spans="1:19" ht="17.25" thickBot="1">
      <c r="A114" s="32" t="s">
        <v>72</v>
      </c>
      <c r="B114" s="33">
        <v>37.4</v>
      </c>
      <c r="C114" s="16">
        <v>3.0303030299999999E-2</v>
      </c>
      <c r="D114" s="15">
        <v>36.5</v>
      </c>
      <c r="E114" s="16">
        <f t="shared" ref="E114:E117" si="58">IF(ISNUMBER(D114), (D114 - $B114) / $B114, "")</f>
        <v>-2.4064171122994617E-2</v>
      </c>
      <c r="F114" s="19">
        <f>IF(ISNUMBER(D114), $B118 * E114, "")</f>
        <v>-7219.2513368983846</v>
      </c>
      <c r="G114" s="15"/>
      <c r="H114" s="16" t="str">
        <f t="shared" ref="H114:H117" si="59">IF(ISNUMBER(G114), (G114 - $B114) / $B114, "")</f>
        <v/>
      </c>
      <c r="I114" s="19" t="str">
        <f>IF(ISNUMBER(G114), $B118 * H114, "")</f>
        <v/>
      </c>
      <c r="J114" s="15"/>
      <c r="K114" s="16" t="str">
        <f t="shared" ref="K114:K117" si="60">IF(ISNUMBER(J114), (J114 - $B114) / $B114, "")</f>
        <v/>
      </c>
      <c r="L114" s="19" t="str">
        <f>IF(ISNUMBER(J114), $B118 * K114, "")</f>
        <v/>
      </c>
      <c r="M114" s="15"/>
      <c r="N114" s="16" t="str">
        <f t="shared" ref="N114:N117" si="61">IF(ISNUMBER(M114), (M114 - $B114) / $B114, "")</f>
        <v/>
      </c>
      <c r="O114" s="19" t="str">
        <f>IF(ISNUMBER(M114), $B118 * N114, "")</f>
        <v/>
      </c>
      <c r="Q114" s="127"/>
      <c r="R114" s="127"/>
      <c r="S114" s="127"/>
    </row>
    <row r="115" spans="1:19" ht="17.25" thickBot="1">
      <c r="A115" s="32" t="s">
        <v>110</v>
      </c>
      <c r="B115" s="33">
        <v>3140</v>
      </c>
      <c r="C115" s="16">
        <v>2.78232406E-2</v>
      </c>
      <c r="D115" s="15">
        <v>3055</v>
      </c>
      <c r="E115" s="16">
        <f t="shared" si="58"/>
        <v>-2.7070063694267517E-2</v>
      </c>
      <c r="F115" s="19">
        <f>IF(ISNUMBER(D115), $B118 * E115, "")</f>
        <v>-8121.0191082802548</v>
      </c>
      <c r="G115" s="15"/>
      <c r="H115" s="16" t="str">
        <f t="shared" si="59"/>
        <v/>
      </c>
      <c r="I115" s="19" t="str">
        <f>IF(ISNUMBER(G115), $B118 * H115, "")</f>
        <v/>
      </c>
      <c r="J115" s="15"/>
      <c r="K115" s="16" t="str">
        <f t="shared" si="60"/>
        <v/>
      </c>
      <c r="L115" s="19" t="str">
        <f>IF(ISNUMBER(J115), $B118 * K115, "")</f>
        <v/>
      </c>
      <c r="M115" s="15"/>
      <c r="N115" s="16" t="str">
        <f t="shared" si="61"/>
        <v/>
      </c>
      <c r="O115" s="19" t="str">
        <f>IF(ISNUMBER(M115), $B118 * N115, "")</f>
        <v/>
      </c>
      <c r="Q115" s="127"/>
      <c r="R115" s="127"/>
      <c r="S115" s="127"/>
    </row>
    <row r="116" spans="1:19">
      <c r="A116" s="32" t="s">
        <v>114</v>
      </c>
      <c r="B116" s="33">
        <v>13520</v>
      </c>
      <c r="C116" s="16">
        <v>2.57966616E-2</v>
      </c>
      <c r="D116" s="15">
        <v>13180</v>
      </c>
      <c r="E116" s="16">
        <f t="shared" si="58"/>
        <v>-2.514792899408284E-2</v>
      </c>
      <c r="F116" s="19">
        <f>IF(ISNUMBER(D116), $B118 * E116, "")</f>
        <v>-7544.3786982248521</v>
      </c>
      <c r="G116" s="15"/>
      <c r="H116" s="16" t="str">
        <f t="shared" si="59"/>
        <v/>
      </c>
      <c r="I116" s="19" t="str">
        <f>IF(ISNUMBER(G116), $B118 * H116, "")</f>
        <v/>
      </c>
      <c r="J116" s="15"/>
      <c r="K116" s="16" t="str">
        <f t="shared" si="60"/>
        <v/>
      </c>
      <c r="L116" s="19" t="str">
        <f>IF(ISNUMBER(J116), $B118 * K116, "")</f>
        <v/>
      </c>
      <c r="M116" s="15"/>
      <c r="N116" s="16" t="str">
        <f t="shared" si="61"/>
        <v/>
      </c>
      <c r="O116" s="19" t="str">
        <f>IF(ISNUMBER(M116), $B118 * N116, "")</f>
        <v/>
      </c>
      <c r="Q116" s="128"/>
      <c r="R116" s="129"/>
      <c r="S116" s="130"/>
    </row>
    <row r="117" spans="1:19" ht="17.25" thickBot="1">
      <c r="A117" s="34" t="s">
        <v>166</v>
      </c>
      <c r="B117" s="35">
        <v>2510</v>
      </c>
      <c r="C117" s="22">
        <v>2.44897959E-2</v>
      </c>
      <c r="D117" s="21">
        <v>2485</v>
      </c>
      <c r="E117" s="22">
        <f t="shared" si="58"/>
        <v>-9.9601593625498006E-3</v>
      </c>
      <c r="F117" s="19">
        <f>IF(ISNUMBER(D117), $B118 * E117, "")</f>
        <v>-2988.0478087649403</v>
      </c>
      <c r="G117" s="21"/>
      <c r="H117" s="22" t="str">
        <f t="shared" si="59"/>
        <v/>
      </c>
      <c r="I117" s="19" t="str">
        <f>IF(ISNUMBER(G117), $B118 * H117, "")</f>
        <v/>
      </c>
      <c r="J117" s="21"/>
      <c r="K117" s="22" t="str">
        <f t="shared" si="60"/>
        <v/>
      </c>
      <c r="L117" s="19" t="str">
        <f>IF(ISNUMBER(J117), $B118 * K117, "")</f>
        <v/>
      </c>
      <c r="M117" s="21"/>
      <c r="N117" s="22" t="str">
        <f t="shared" si="61"/>
        <v/>
      </c>
      <c r="O117" s="19" t="str">
        <f>IF(ISNUMBER(M117), $B118 * N117, "")</f>
        <v/>
      </c>
      <c r="Q117" s="131"/>
      <c r="R117" s="132"/>
      <c r="S117" s="133"/>
    </row>
    <row r="118" spans="1:19" ht="17.25" thickBot="1">
      <c r="A118" s="27" t="s">
        <v>42</v>
      </c>
      <c r="B118" s="137">
        <f>$B$37</f>
        <v>300000</v>
      </c>
      <c r="C118" s="138"/>
      <c r="D118" s="27" t="s">
        <v>43</v>
      </c>
      <c r="E118" s="28">
        <f>IF(COUNT(E98:E117), SUM(E98:E117) / COUNT(E98:E117), 0)</f>
        <v>1.9863329532690366E-3</v>
      </c>
      <c r="F118" s="29">
        <f>SUM(F98:F117)</f>
        <v>11917.997719614215</v>
      </c>
      <c r="G118" s="27" t="s">
        <v>43</v>
      </c>
      <c r="H118" s="28">
        <f>IF(COUNT(H98:H117), SUM(H98:H117) / COUNT(H98:H117), 0)</f>
        <v>0</v>
      </c>
      <c r="I118" s="29">
        <f>SUM(I98:I117)</f>
        <v>0</v>
      </c>
      <c r="J118" s="27" t="s">
        <v>43</v>
      </c>
      <c r="K118" s="28">
        <f>IF(COUNT(K98:K117), SUM(K98:K117) / COUNT(K98:K117), 0)</f>
        <v>0</v>
      </c>
      <c r="L118" s="29">
        <f>SUM(L98:L117)</f>
        <v>0</v>
      </c>
      <c r="M118" s="27" t="s">
        <v>43</v>
      </c>
      <c r="N118" s="28">
        <f>IF(COUNT(N98:N117), SUM(N98:N117) / COUNT(N98:N117), 0)</f>
        <v>0</v>
      </c>
      <c r="O118" s="29">
        <f>SUM(O98:O117)</f>
        <v>0</v>
      </c>
      <c r="Q118" s="134"/>
      <c r="R118" s="135"/>
      <c r="S118" s="136"/>
    </row>
    <row r="120" spans="1:19" ht="17.25" thickBot="1"/>
    <row r="121" spans="1:19" ht="17.25" thickBot="1">
      <c r="A121" s="149" t="s">
        <v>288</v>
      </c>
      <c r="B121" s="150"/>
      <c r="C121" s="150"/>
      <c r="D121" s="150"/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1"/>
      <c r="Q121" s="148"/>
      <c r="R121" s="148"/>
      <c r="S121" s="148"/>
    </row>
    <row r="122" spans="1:19" ht="17.25" thickBot="1">
      <c r="A122" s="122" t="s">
        <v>35</v>
      </c>
      <c r="B122" s="149" t="s">
        <v>36</v>
      </c>
      <c r="C122" s="151"/>
      <c r="D122" s="149" t="s">
        <v>37</v>
      </c>
      <c r="E122" s="150"/>
      <c r="F122" s="151"/>
      <c r="G122" s="152">
        <f>_xlfn.IFNA(VLOOKUP(B122, 현재가테이블!$B$2:$D$200, 2, FALSE), "-")</f>
        <v>68203000</v>
      </c>
      <c r="H122" s="153"/>
      <c r="I122" s="154"/>
      <c r="J122" s="149" t="s">
        <v>38</v>
      </c>
      <c r="K122" s="150"/>
      <c r="L122" s="151"/>
      <c r="M122" s="155">
        <f>_xlfn.IFNA(VLOOKUP(B122, 현재가테이블!$B$2:$D$200, 3, FALSE), "-")</f>
        <v>-1.22521687E-2</v>
      </c>
      <c r="N122" s="156"/>
      <c r="O122" s="157"/>
      <c r="Q122" s="148"/>
      <c r="R122" s="148"/>
      <c r="S122" s="148"/>
    </row>
    <row r="123" spans="1:19" ht="17.25" thickBot="1">
      <c r="A123" s="158" t="s">
        <v>39</v>
      </c>
      <c r="B123" s="159" t="str">
        <f>TEXT($G$1, "[$-ko-KR]yyyy-mm-dd(ddd) ") &amp; "오전 00:00"</f>
        <v>2021-05-02(일) 오전 00:00</v>
      </c>
      <c r="C123" s="160"/>
      <c r="D123" s="161" t="str">
        <f>TEXT($G$1, "[$-ko-KR]yyyy-mm-dd(ddd) ") &amp; "오후 14:00"</f>
        <v>2021-05-02(일) 오후 14:00</v>
      </c>
      <c r="E123" s="162"/>
      <c r="F123" s="163"/>
      <c r="G123" s="161" t="str">
        <f>TEXT($G$1, "[$-ko-KR]yyyy-mm-dd(ddd) ") &amp; "오후 19:00"</f>
        <v>2021-05-02(일) 오후 19:00</v>
      </c>
      <c r="H123" s="162"/>
      <c r="I123" s="163"/>
      <c r="J123" s="164" t="str">
        <f>TEXT($G$1, "[$-ko-KR]yyyy-mm-dd(ddd) ") &amp; "오후 21:00"</f>
        <v>2021-05-02(일) 오후 21:00</v>
      </c>
      <c r="K123" s="164"/>
      <c r="L123" s="164"/>
      <c r="M123" s="161" t="str">
        <f>TEXT($G$1+1, "[$-ko-KR]yyyy-mm-dd(ddd) ") &amp; "오전 00:00"</f>
        <v>2021-05-03(월) 오전 00:00</v>
      </c>
      <c r="N123" s="162"/>
      <c r="O123" s="163"/>
      <c r="Q123" s="148"/>
      <c r="R123" s="148"/>
      <c r="S123" s="148"/>
    </row>
    <row r="124" spans="1:19" ht="17.25" thickBot="1">
      <c r="A124" s="158"/>
      <c r="B124" s="2" t="s">
        <v>37</v>
      </c>
      <c r="C124" s="10" t="s">
        <v>38</v>
      </c>
      <c r="D124" s="2" t="s">
        <v>37</v>
      </c>
      <c r="E124" s="10" t="s">
        <v>40</v>
      </c>
      <c r="F124" s="11" t="s">
        <v>41</v>
      </c>
      <c r="G124" s="2" t="s">
        <v>37</v>
      </c>
      <c r="H124" s="10" t="s">
        <v>40</v>
      </c>
      <c r="I124" s="11" t="s">
        <v>41</v>
      </c>
      <c r="J124" s="10" t="s">
        <v>37</v>
      </c>
      <c r="K124" s="10" t="s">
        <v>40</v>
      </c>
      <c r="L124" s="126" t="s">
        <v>41</v>
      </c>
      <c r="M124" s="2" t="s">
        <v>37</v>
      </c>
      <c r="N124" s="10" t="s">
        <v>40</v>
      </c>
      <c r="O124" s="72" t="s">
        <v>41</v>
      </c>
      <c r="Q124" s="127"/>
      <c r="R124" s="127"/>
      <c r="S124" s="127"/>
    </row>
    <row r="125" spans="1:19" ht="17.25" thickBot="1">
      <c r="A125" s="30" t="s">
        <v>72</v>
      </c>
      <c r="B125" s="31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7">
        <f>IF(ISNUMBER(D125), $B145 * E125, "")</f>
        <v>-7219.2513368983846</v>
      </c>
      <c r="G125" s="13"/>
      <c r="H125" s="14" t="str">
        <f>IF(ISNUMBER(G125), (G125 - $B125) / $B125, "")</f>
        <v/>
      </c>
      <c r="I125" s="17" t="str">
        <f>IF(ISNUMBER(G125), $B145 * H125, "")</f>
        <v/>
      </c>
      <c r="J125" s="13"/>
      <c r="K125" s="14" t="str">
        <f>IF(ISNUMBER(J125), (J125 - $B125) / $B125, "")</f>
        <v/>
      </c>
      <c r="L125" s="17" t="str">
        <f>IF(ISNUMBER(J125), $B145 * K125, "")</f>
        <v/>
      </c>
      <c r="M125" s="13"/>
      <c r="N125" s="14" t="str">
        <f>IF(ISNUMBER(M125), (M125 - $B125) / $B125, "")</f>
        <v/>
      </c>
      <c r="O125" s="17" t="str">
        <f>IF(ISNUMBER(M125), $B145 * N125, "")</f>
        <v/>
      </c>
      <c r="Q125" s="148"/>
      <c r="R125" s="148"/>
      <c r="S125" s="148"/>
    </row>
    <row r="126" spans="1:19" ht="17.25" thickBot="1">
      <c r="A126" s="32" t="s">
        <v>100</v>
      </c>
      <c r="B126" s="33">
        <v>8.5500000000000007</v>
      </c>
      <c r="C126" s="16">
        <v>2.3446659E-3</v>
      </c>
      <c r="D126" s="15">
        <v>8.4499999999999993</v>
      </c>
      <c r="E126" s="16">
        <f t="shared" ref="E126:E129" si="62">IF(ISNUMBER(D126), (D126 - $B126) / $B126, "")</f>
        <v>-1.1695906432748704E-2</v>
      </c>
      <c r="F126" s="19">
        <f>IF(ISNUMBER(D126), $B145 * E126, "")</f>
        <v>-3508.7719298246111</v>
      </c>
      <c r="G126" s="15"/>
      <c r="H126" s="16" t="str">
        <f t="shared" ref="H126:H129" si="63">IF(ISNUMBER(G126), (G126 - $B126) / $B126, "")</f>
        <v/>
      </c>
      <c r="I126" s="19" t="str">
        <f>IF(ISNUMBER(G126), $B145 * H126, "")</f>
        <v/>
      </c>
      <c r="J126" s="15"/>
      <c r="K126" s="16" t="str">
        <f t="shared" ref="K126:K129" si="64">IF(ISNUMBER(J126), (J126 - $B126) / $B126, "")</f>
        <v/>
      </c>
      <c r="L126" s="19" t="str">
        <f>IF(ISNUMBER(J126), $B145 * K126, "")</f>
        <v/>
      </c>
      <c r="M126" s="15"/>
      <c r="N126" s="16" t="str">
        <f t="shared" ref="N126:N129" si="65">IF(ISNUMBER(M126), (M126 - $B126) / $B126, "")</f>
        <v/>
      </c>
      <c r="O126" s="19" t="str">
        <f>IF(ISNUMBER(M126), $B145 * N126, "")</f>
        <v/>
      </c>
      <c r="Q126" s="148"/>
      <c r="R126" s="148"/>
      <c r="S126" s="148"/>
    </row>
    <row r="127" spans="1:19" ht="17.25" thickBot="1">
      <c r="A127" s="32" t="s">
        <v>228</v>
      </c>
      <c r="B127" s="33">
        <v>19.899999999999999</v>
      </c>
      <c r="C127" s="16">
        <v>-9.9502488000000004E-3</v>
      </c>
      <c r="D127" s="15">
        <v>20.100000000000001</v>
      </c>
      <c r="E127" s="16">
        <f t="shared" si="62"/>
        <v>1.0050251256281551E-2</v>
      </c>
      <c r="F127" s="19">
        <f>IF(ISNUMBER(D127), $B145 * E127, "")</f>
        <v>3015.0753768844652</v>
      </c>
      <c r="G127" s="15"/>
      <c r="H127" s="16" t="str">
        <f t="shared" si="63"/>
        <v/>
      </c>
      <c r="I127" s="19" t="str">
        <f>IF(ISNUMBER(G127), $B145 * H127, "")</f>
        <v/>
      </c>
      <c r="J127" s="15"/>
      <c r="K127" s="16" t="str">
        <f t="shared" si="64"/>
        <v/>
      </c>
      <c r="L127" s="19" t="str">
        <f>IF(ISNUMBER(J127), $B145 * K127, "")</f>
        <v/>
      </c>
      <c r="M127" s="15"/>
      <c r="N127" s="16" t="str">
        <f t="shared" si="65"/>
        <v/>
      </c>
      <c r="O127" s="19" t="str">
        <f>IF(ISNUMBER(M127), $B145 * N127, "")</f>
        <v/>
      </c>
      <c r="Q127" s="127"/>
      <c r="R127" s="127"/>
      <c r="S127" s="127"/>
    </row>
    <row r="128" spans="1:19" ht="17.25" thickBot="1">
      <c r="A128" s="32" t="s">
        <v>220</v>
      </c>
      <c r="B128" s="33">
        <v>20.2</v>
      </c>
      <c r="C128" s="16">
        <v>-1.9417475699999999E-2</v>
      </c>
      <c r="D128" s="15">
        <v>20.100000000000001</v>
      </c>
      <c r="E128" s="16">
        <f t="shared" si="62"/>
        <v>-4.9504950495048447E-3</v>
      </c>
      <c r="F128" s="19">
        <f>IF(ISNUMBER(D128), $B145 * E128, "")</f>
        <v>-1485.1485148514535</v>
      </c>
      <c r="G128" s="15"/>
      <c r="H128" s="16" t="str">
        <f t="shared" si="63"/>
        <v/>
      </c>
      <c r="I128" s="19" t="str">
        <f>IF(ISNUMBER(G128), $B145 * H128, "")</f>
        <v/>
      </c>
      <c r="J128" s="15"/>
      <c r="K128" s="16" t="str">
        <f t="shared" si="64"/>
        <v/>
      </c>
      <c r="L128" s="19" t="str">
        <f>IF(ISNUMBER(J128), $B145 * K128, "")</f>
        <v/>
      </c>
      <c r="M128" s="15"/>
      <c r="N128" s="16" t="str">
        <f t="shared" si="65"/>
        <v/>
      </c>
      <c r="O128" s="19" t="str">
        <f>IF(ISNUMBER(M128), $B145 * N128, "")</f>
        <v/>
      </c>
      <c r="Q128" s="127"/>
      <c r="R128" s="127"/>
      <c r="S128" s="127"/>
    </row>
    <row r="129" spans="1:19" ht="17.25" thickBot="1">
      <c r="A129" s="34" t="s">
        <v>222</v>
      </c>
      <c r="B129" s="35">
        <v>20.100000000000001</v>
      </c>
      <c r="C129" s="22">
        <v>-1.9512195100000001E-2</v>
      </c>
      <c r="D129" s="21">
        <v>20</v>
      </c>
      <c r="E129" s="22">
        <f t="shared" si="62"/>
        <v>-4.9751243781095229E-3</v>
      </c>
      <c r="F129" s="23">
        <f>IF(ISNUMBER(D129), $B145 * E129, "")</f>
        <v>-1492.5373134328568</v>
      </c>
      <c r="G129" s="21"/>
      <c r="H129" s="22" t="str">
        <f t="shared" si="63"/>
        <v/>
      </c>
      <c r="I129" s="23" t="str">
        <f>IF(ISNUMBER(G129), $B145 * H129, "")</f>
        <v/>
      </c>
      <c r="J129" s="21"/>
      <c r="K129" s="22" t="str">
        <f t="shared" si="64"/>
        <v/>
      </c>
      <c r="L129" s="23" t="str">
        <f>IF(ISNUMBER(J129), $B145 * K129, "")</f>
        <v/>
      </c>
      <c r="M129" s="21"/>
      <c r="N129" s="22" t="str">
        <f t="shared" si="65"/>
        <v/>
      </c>
      <c r="O129" s="23" t="str">
        <f>IF(ISNUMBER(M129), $B145 * N129, "")</f>
        <v/>
      </c>
      <c r="Q129" s="127"/>
      <c r="R129" s="127"/>
      <c r="S129" s="127"/>
    </row>
    <row r="130" spans="1:19" ht="17.25" thickBot="1">
      <c r="A130" s="32" t="s">
        <v>198</v>
      </c>
      <c r="B130" s="36">
        <v>31.7</v>
      </c>
      <c r="C130" s="37">
        <v>-2.1604938300000001E-2</v>
      </c>
      <c r="D130" s="15">
        <v>31.5</v>
      </c>
      <c r="E130" s="37">
        <f>IF(ISNUMBER(D130), (D130 - $B130) / $B130, "")</f>
        <v>-6.3091482649842053E-3</v>
      </c>
      <c r="F130" s="19">
        <f>IF(ISNUMBER(D130), $B145 * E130, "")</f>
        <v>-1892.7444794952617</v>
      </c>
      <c r="G130" s="15"/>
      <c r="H130" s="37" t="str">
        <f>IF(ISNUMBER(G130), (G130 - $B130) / $B130, "")</f>
        <v/>
      </c>
      <c r="I130" s="19" t="str">
        <f>IF(ISNUMBER(G130), $B145 * H130, "")</f>
        <v/>
      </c>
      <c r="J130" s="15"/>
      <c r="K130" s="37" t="str">
        <f>IF(ISNUMBER(J130), (J130 - $B130) / $B130, "")</f>
        <v/>
      </c>
      <c r="L130" s="19" t="str">
        <f>IF(ISNUMBER(J130), $B145 * K130, "")</f>
        <v/>
      </c>
      <c r="M130" s="15"/>
      <c r="N130" s="37" t="str">
        <f>IF(ISNUMBER(M130), (M130 - $B130) / $B130, "")</f>
        <v/>
      </c>
      <c r="O130" s="19" t="str">
        <f>IF(ISNUMBER(M130), $B145 * N130, "")</f>
        <v/>
      </c>
      <c r="Q130" s="127"/>
      <c r="R130" s="127"/>
      <c r="S130" s="127"/>
    </row>
    <row r="131" spans="1:19" ht="17.25" thickBot="1">
      <c r="A131" s="32" t="s">
        <v>266</v>
      </c>
      <c r="B131" s="33">
        <v>93.6</v>
      </c>
      <c r="C131" s="16">
        <v>-2.19435737E-2</v>
      </c>
      <c r="D131" s="15">
        <v>93.3</v>
      </c>
      <c r="E131" s="16">
        <f t="shared" ref="E131:E134" si="66">IF(ISNUMBER(D131), (D131 - $B131) / $B131, "")</f>
        <v>-3.2051282051281751E-3</v>
      </c>
      <c r="F131" s="19">
        <f>IF(ISNUMBER(D131), $B145 * E131, "")</f>
        <v>-961.53846153845257</v>
      </c>
      <c r="G131" s="15"/>
      <c r="H131" s="16" t="str">
        <f t="shared" ref="H131:H134" si="67">IF(ISNUMBER(G131), (G131 - $B131) / $B131, "")</f>
        <v/>
      </c>
      <c r="I131" s="19" t="str">
        <f>IF(ISNUMBER(G131), $B145 * H131, "")</f>
        <v/>
      </c>
      <c r="J131" s="15"/>
      <c r="K131" s="16" t="str">
        <f t="shared" ref="K131:K134" si="68">IF(ISNUMBER(J131), (J131 - $B131) / $B131, "")</f>
        <v/>
      </c>
      <c r="L131" s="19" t="str">
        <f>IF(ISNUMBER(J131), $B145 * K131, "")</f>
        <v/>
      </c>
      <c r="M131" s="15"/>
      <c r="N131" s="16" t="str">
        <f t="shared" ref="N131:N134" si="69">IF(ISNUMBER(M131), (M131 - $B131) / $B131, "")</f>
        <v/>
      </c>
      <c r="O131" s="19" t="str">
        <f>IF(ISNUMBER(M131), $B145 * N131, "")</f>
        <v/>
      </c>
      <c r="Q131" s="127"/>
      <c r="R131" s="127"/>
      <c r="S131" s="127"/>
    </row>
    <row r="132" spans="1:19" ht="17.25" thickBot="1">
      <c r="A132" s="32" t="s">
        <v>154</v>
      </c>
      <c r="B132" s="33">
        <v>22.2</v>
      </c>
      <c r="C132" s="16">
        <v>-2.2026431700000002E-2</v>
      </c>
      <c r="D132" s="15">
        <v>21.9</v>
      </c>
      <c r="E132" s="16">
        <f t="shared" si="66"/>
        <v>-1.3513513513513545E-2</v>
      </c>
      <c r="F132" s="19">
        <f>IF(ISNUMBER(D132), $B145 * E132, "")</f>
        <v>-4054.0540540540637</v>
      </c>
      <c r="G132" s="15"/>
      <c r="H132" s="16" t="str">
        <f t="shared" si="67"/>
        <v/>
      </c>
      <c r="I132" s="19" t="str">
        <f>IF(ISNUMBER(G132), $B145 * H132, "")</f>
        <v/>
      </c>
      <c r="J132" s="15"/>
      <c r="K132" s="16" t="str">
        <f t="shared" si="68"/>
        <v/>
      </c>
      <c r="L132" s="19" t="str">
        <f>IF(ISNUMBER(J132), $B145 * K132, "")</f>
        <v/>
      </c>
      <c r="M132" s="15"/>
      <c r="N132" s="16" t="str">
        <f t="shared" si="69"/>
        <v/>
      </c>
      <c r="O132" s="19" t="str">
        <f>IF(ISNUMBER(M132), $B145 * N132, "")</f>
        <v/>
      </c>
      <c r="Q132" s="127"/>
      <c r="R132" s="127"/>
      <c r="S132" s="127"/>
    </row>
    <row r="133" spans="1:19" ht="17.25" thickBot="1">
      <c r="A133" s="32" t="s">
        <v>236</v>
      </c>
      <c r="B133" s="33">
        <v>77.3</v>
      </c>
      <c r="C133" s="16">
        <v>-2.3989898999999999E-2</v>
      </c>
      <c r="D133" s="15">
        <v>76.099999999999994</v>
      </c>
      <c r="E133" s="16">
        <f t="shared" si="66"/>
        <v>-1.5523932729624875E-2</v>
      </c>
      <c r="F133" s="19">
        <f>IF(ISNUMBER(D133), $B145 * E133, "")</f>
        <v>-4657.1798188874627</v>
      </c>
      <c r="G133" s="15"/>
      <c r="H133" s="16" t="str">
        <f t="shared" si="67"/>
        <v/>
      </c>
      <c r="I133" s="19" t="str">
        <f>IF(ISNUMBER(G133), $B145 * H133, "")</f>
        <v/>
      </c>
      <c r="J133" s="15"/>
      <c r="K133" s="16" t="str">
        <f t="shared" si="68"/>
        <v/>
      </c>
      <c r="L133" s="19" t="str">
        <f>IF(ISNUMBER(J133), $B145 * K133, "")</f>
        <v/>
      </c>
      <c r="M133" s="15"/>
      <c r="N133" s="16" t="str">
        <f t="shared" si="69"/>
        <v/>
      </c>
      <c r="O133" s="19" t="str">
        <f>IF(ISNUMBER(M133), $B145 * N133, "")</f>
        <v/>
      </c>
      <c r="Q133" s="38"/>
      <c r="R133" s="38"/>
    </row>
    <row r="134" spans="1:19" ht="17.25" thickBot="1">
      <c r="A134" s="34" t="s">
        <v>214</v>
      </c>
      <c r="B134" s="35">
        <v>24.2</v>
      </c>
      <c r="C134" s="22">
        <v>-2.4193548400000001E-2</v>
      </c>
      <c r="D134" s="21">
        <v>24.1</v>
      </c>
      <c r="E134" s="22">
        <f t="shared" si="66"/>
        <v>-4.1322314049585893E-3</v>
      </c>
      <c r="F134" s="19">
        <f>IF(ISNUMBER(D134), $B145 * E134, "")</f>
        <v>-1239.6694214875768</v>
      </c>
      <c r="G134" s="21"/>
      <c r="H134" s="22" t="str">
        <f t="shared" si="67"/>
        <v/>
      </c>
      <c r="I134" s="19" t="str">
        <f>IF(ISNUMBER(G134), $B145 * H134, "")</f>
        <v/>
      </c>
      <c r="J134" s="21"/>
      <c r="K134" s="22" t="str">
        <f t="shared" si="68"/>
        <v/>
      </c>
      <c r="L134" s="19" t="str">
        <f>IF(ISNUMBER(J134), $B145 * K134, "")</f>
        <v/>
      </c>
      <c r="M134" s="21"/>
      <c r="N134" s="22" t="str">
        <f t="shared" si="69"/>
        <v/>
      </c>
      <c r="O134" s="19" t="str">
        <f>IF(ISNUMBER(M134), $B145 * N134, "")</f>
        <v/>
      </c>
      <c r="Q134" s="139"/>
      <c r="R134" s="140"/>
      <c r="S134" s="141"/>
    </row>
    <row r="135" spans="1:19">
      <c r="A135" s="30" t="s">
        <v>152</v>
      </c>
      <c r="B135" s="31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7">
        <f>IF(ISNUMBER(D135), $B145 * E135, "")</f>
        <v>11513.859275053333</v>
      </c>
      <c r="G135" s="13"/>
      <c r="H135" s="14" t="str">
        <f>IF(ISNUMBER(G135), (G135 - $B135) / $B135, "")</f>
        <v/>
      </c>
      <c r="I135" s="17" t="str">
        <f>IF(ISNUMBER(G135), $B145 * H135, "")</f>
        <v/>
      </c>
      <c r="J135" s="13"/>
      <c r="K135" s="14" t="str">
        <f>IF(ISNUMBER(J135), (J135 - $B135) / $B135, "")</f>
        <v/>
      </c>
      <c r="L135" s="17" t="str">
        <f>IF(ISNUMBER(J135), $B145 * K135, "")</f>
        <v/>
      </c>
      <c r="M135" s="13"/>
      <c r="N135" s="14" t="str">
        <f>IF(ISNUMBER(M135), (M135 - $B135) / $B135, "")</f>
        <v/>
      </c>
      <c r="O135" s="17" t="str">
        <f>IF(ISNUMBER(M135), $B145 * N135, "")</f>
        <v/>
      </c>
      <c r="Q135" s="142"/>
      <c r="R135" s="143"/>
      <c r="S135" s="144"/>
    </row>
    <row r="136" spans="1:19" ht="17.25" thickBot="1">
      <c r="A136" s="32" t="s">
        <v>268</v>
      </c>
      <c r="B136" s="33">
        <v>97</v>
      </c>
      <c r="C136" s="16">
        <v>-2.5125628099999998E-2</v>
      </c>
      <c r="D136" s="15">
        <v>101</v>
      </c>
      <c r="E136" s="16">
        <f t="shared" ref="E136:E139" si="70">IF(ISNUMBER(D136), (D136 - $B136) / $B136, "")</f>
        <v>4.1237113402061855E-2</v>
      </c>
      <c r="F136" s="19">
        <f>IF(ISNUMBER(D136), $B145 * E136, "")</f>
        <v>12371.134020618556</v>
      </c>
      <c r="G136" s="15"/>
      <c r="H136" s="16" t="str">
        <f t="shared" ref="H136:H139" si="71">IF(ISNUMBER(G136), (G136 - $B136) / $B136, "")</f>
        <v/>
      </c>
      <c r="I136" s="19" t="str">
        <f>IF(ISNUMBER(G136), $B145 * H136, "")</f>
        <v/>
      </c>
      <c r="J136" s="15"/>
      <c r="K136" s="16" t="str">
        <f t="shared" ref="K136:K139" si="72">IF(ISNUMBER(J136), (J136 - $B136) / $B136, "")</f>
        <v/>
      </c>
      <c r="L136" s="19" t="str">
        <f>IF(ISNUMBER(J136), $B145 * K136, "")</f>
        <v/>
      </c>
      <c r="M136" s="15"/>
      <c r="N136" s="16" t="str">
        <f t="shared" ref="N136:N139" si="73">IF(ISNUMBER(M136), (M136 - $B136) / $B136, "")</f>
        <v/>
      </c>
      <c r="O136" s="19" t="str">
        <f>IF(ISNUMBER(M136), $B145 * N136, "")</f>
        <v/>
      </c>
      <c r="Q136" s="145"/>
      <c r="R136" s="146"/>
      <c r="S136" s="147"/>
    </row>
    <row r="137" spans="1:19" ht="17.25" thickBot="1">
      <c r="A137" s="32" t="s">
        <v>196</v>
      </c>
      <c r="B137" s="33">
        <v>21.9</v>
      </c>
      <c r="C137" s="16">
        <v>-2.6666666700000001E-2</v>
      </c>
      <c r="D137" s="15">
        <v>21.7</v>
      </c>
      <c r="E137" s="16">
        <f t="shared" si="70"/>
        <v>-9.1324200913241692E-3</v>
      </c>
      <c r="F137" s="19">
        <f>IF(ISNUMBER(D137), $B145 * E137, "")</f>
        <v>-2739.7260273972506</v>
      </c>
      <c r="G137" s="15"/>
      <c r="H137" s="16" t="str">
        <f t="shared" si="71"/>
        <v/>
      </c>
      <c r="I137" s="19" t="str">
        <f>IF(ISNUMBER(G137), $B145 * H137, "")</f>
        <v/>
      </c>
      <c r="J137" s="15"/>
      <c r="K137" s="16" t="str">
        <f t="shared" si="72"/>
        <v/>
      </c>
      <c r="L137" s="19" t="str">
        <f>IF(ISNUMBER(J137), $B145 * K137, "")</f>
        <v/>
      </c>
      <c r="M137" s="15"/>
      <c r="N137" s="16" t="str">
        <f t="shared" si="73"/>
        <v/>
      </c>
      <c r="O137" s="19" t="str">
        <f>IF(ISNUMBER(M137), $B145 * N137, "")</f>
        <v/>
      </c>
      <c r="Q137" s="127"/>
      <c r="R137" s="127"/>
      <c r="S137" s="127"/>
    </row>
    <row r="138" spans="1:19" ht="17.25" thickBot="1">
      <c r="A138" s="32" t="s">
        <v>186</v>
      </c>
      <c r="B138" s="33">
        <v>26.3</v>
      </c>
      <c r="C138" s="16">
        <v>-2.9520295200000001E-2</v>
      </c>
      <c r="D138" s="15">
        <v>27.2</v>
      </c>
      <c r="E138" s="16">
        <f t="shared" si="70"/>
        <v>3.4220532319391581E-2</v>
      </c>
      <c r="F138" s="19">
        <f>IF(ISNUMBER(D138), $B145 * E138, "")</f>
        <v>10266.159695817474</v>
      </c>
      <c r="G138" s="15"/>
      <c r="H138" s="16" t="str">
        <f t="shared" si="71"/>
        <v/>
      </c>
      <c r="I138" s="19" t="str">
        <f>IF(ISNUMBER(G138), $B145 * H138, "")</f>
        <v/>
      </c>
      <c r="J138" s="15"/>
      <c r="K138" s="16" t="str">
        <f t="shared" si="72"/>
        <v/>
      </c>
      <c r="L138" s="19" t="str">
        <f>IF(ISNUMBER(J138), $B145 * K138, "")</f>
        <v/>
      </c>
      <c r="M138" s="15"/>
      <c r="N138" s="16" t="str">
        <f t="shared" si="73"/>
        <v/>
      </c>
      <c r="O138" s="19" t="str">
        <f>IF(ISNUMBER(M138), $B145 * N138, "")</f>
        <v/>
      </c>
      <c r="Q138" s="148"/>
      <c r="R138" s="148"/>
      <c r="S138" s="148"/>
    </row>
    <row r="139" spans="1:19" ht="17.25" thickBot="1">
      <c r="A139" s="34" t="s">
        <v>172</v>
      </c>
      <c r="B139" s="35">
        <v>28.2</v>
      </c>
      <c r="C139" s="22">
        <v>-3.0927835099999999E-2</v>
      </c>
      <c r="D139" s="21">
        <v>28.1</v>
      </c>
      <c r="E139" s="22">
        <f t="shared" si="70"/>
        <v>-3.5460992907800663E-3</v>
      </c>
      <c r="F139" s="23">
        <f>IF(ISNUMBER(D139), $B145 * E139, "")</f>
        <v>-1063.8297872340199</v>
      </c>
      <c r="G139" s="21"/>
      <c r="H139" s="22" t="str">
        <f t="shared" si="71"/>
        <v/>
      </c>
      <c r="I139" s="23" t="str">
        <f>IF(ISNUMBER(G139), $B145 * H139, "")</f>
        <v/>
      </c>
      <c r="J139" s="21"/>
      <c r="K139" s="22" t="str">
        <f t="shared" si="72"/>
        <v/>
      </c>
      <c r="L139" s="23" t="str">
        <f>IF(ISNUMBER(J139), $B145 * K139, "")</f>
        <v/>
      </c>
      <c r="M139" s="21"/>
      <c r="N139" s="22" t="str">
        <f t="shared" si="73"/>
        <v/>
      </c>
      <c r="O139" s="23" t="str">
        <f>IF(ISNUMBER(M139), $B145 * N139, "")</f>
        <v/>
      </c>
      <c r="Q139" s="148"/>
      <c r="R139" s="148"/>
      <c r="S139" s="148"/>
    </row>
    <row r="140" spans="1:19" ht="17.25" thickBot="1">
      <c r="A140" s="32" t="s">
        <v>218</v>
      </c>
      <c r="B140" s="36">
        <v>32.1</v>
      </c>
      <c r="C140" s="37">
        <v>-3.3132530100000002E-2</v>
      </c>
      <c r="D140" s="15">
        <v>31.5</v>
      </c>
      <c r="E140" s="37">
        <f>IF(ISNUMBER(D140), (D140 - $B140) / $B140, "")</f>
        <v>-1.8691588785046773E-2</v>
      </c>
      <c r="F140" s="19">
        <f>IF(ISNUMBER(D140), $B145 * E140, "")</f>
        <v>-5607.4766355140318</v>
      </c>
      <c r="G140" s="15"/>
      <c r="H140" s="37" t="str">
        <f>IF(ISNUMBER(G140), (G140 - $B140) / $B140, "")</f>
        <v/>
      </c>
      <c r="I140" s="19" t="str">
        <f>IF(ISNUMBER(G140), $B145 * H140, "")</f>
        <v/>
      </c>
      <c r="J140" s="15"/>
      <c r="K140" s="37" t="str">
        <f>IF(ISNUMBER(J140), (J140 - $B140) / $B140, "")</f>
        <v/>
      </c>
      <c r="L140" s="19" t="str">
        <f>IF(ISNUMBER(J140), $B145 * K140, "")</f>
        <v/>
      </c>
      <c r="M140" s="15"/>
      <c r="N140" s="37" t="str">
        <f>IF(ISNUMBER(M140), (M140 - $B140) / $B140, "")</f>
        <v/>
      </c>
      <c r="O140" s="19" t="str">
        <f>IF(ISNUMBER(M140), $B145 * N140, "")</f>
        <v/>
      </c>
      <c r="Q140" s="127"/>
      <c r="R140" s="127"/>
      <c r="S140" s="127"/>
    </row>
    <row r="141" spans="1:19" ht="17.25" thickBot="1">
      <c r="A141" s="32" t="s">
        <v>254</v>
      </c>
      <c r="B141" s="33">
        <v>92.4</v>
      </c>
      <c r="C141" s="16">
        <v>-3.54906054E-2</v>
      </c>
      <c r="D141" s="15">
        <v>93.7</v>
      </c>
      <c r="E141" s="16">
        <f t="shared" ref="E141:E144" si="74">IF(ISNUMBER(D141), (D141 - $B141) / $B141, "")</f>
        <v>1.4069264069264037E-2</v>
      </c>
      <c r="F141" s="19">
        <f>IF(ISNUMBER(D141), $B145 * E141, "")</f>
        <v>4220.7792207792108</v>
      </c>
      <c r="G141" s="15"/>
      <c r="H141" s="16" t="str">
        <f t="shared" ref="H141:H144" si="75">IF(ISNUMBER(G141), (G141 - $B141) / $B141, "")</f>
        <v/>
      </c>
      <c r="I141" s="19" t="str">
        <f>IF(ISNUMBER(G141), $B145 * H141, "")</f>
        <v/>
      </c>
      <c r="J141" s="15"/>
      <c r="K141" s="16" t="str">
        <f t="shared" ref="K141:K144" si="76">IF(ISNUMBER(J141), (J141 - $B141) / $B141, "")</f>
        <v/>
      </c>
      <c r="L141" s="19" t="str">
        <f>IF(ISNUMBER(J141), $B145 * K141, "")</f>
        <v/>
      </c>
      <c r="M141" s="15"/>
      <c r="N141" s="16" t="str">
        <f t="shared" ref="N141:N144" si="77">IF(ISNUMBER(M141), (M141 - $B141) / $B141, "")</f>
        <v/>
      </c>
      <c r="O141" s="19" t="str">
        <f>IF(ISNUMBER(M141), $B145 * N141, "")</f>
        <v/>
      </c>
      <c r="Q141" s="127"/>
      <c r="R141" s="127"/>
      <c r="S141" s="127"/>
    </row>
    <row r="142" spans="1:19" ht="17.25" thickBot="1">
      <c r="A142" s="32" t="s">
        <v>65</v>
      </c>
      <c r="B142" s="33">
        <v>77.5</v>
      </c>
      <c r="C142" s="16">
        <v>-4.6740467399999999E-2</v>
      </c>
      <c r="D142" s="15">
        <v>76.7</v>
      </c>
      <c r="E142" s="16">
        <f t="shared" si="74"/>
        <v>-1.0322580645161254E-2</v>
      </c>
      <c r="F142" s="19">
        <f>IF(ISNUMBER(D142), $B145 * E142, "")</f>
        <v>-3096.7741935483764</v>
      </c>
      <c r="G142" s="15"/>
      <c r="H142" s="16" t="str">
        <f t="shared" si="75"/>
        <v/>
      </c>
      <c r="I142" s="19" t="str">
        <f>IF(ISNUMBER(G142), $B145 * H142, "")</f>
        <v/>
      </c>
      <c r="J142" s="15"/>
      <c r="K142" s="16" t="str">
        <f t="shared" si="76"/>
        <v/>
      </c>
      <c r="L142" s="19" t="str">
        <f>IF(ISNUMBER(J142), $B145 * K142, "")</f>
        <v/>
      </c>
      <c r="M142" s="15"/>
      <c r="N142" s="16" t="str">
        <f t="shared" si="77"/>
        <v/>
      </c>
      <c r="O142" s="19" t="str">
        <f>IF(ISNUMBER(M142), $B145 * N142, "")</f>
        <v/>
      </c>
      <c r="Q142" s="127"/>
      <c r="R142" s="127"/>
      <c r="S142" s="127"/>
    </row>
    <row r="143" spans="1:19">
      <c r="A143" s="32" t="s">
        <v>126</v>
      </c>
      <c r="B143" s="33">
        <v>70.7</v>
      </c>
      <c r="C143" s="16">
        <v>-4.9731182800000003E-2</v>
      </c>
      <c r="D143" s="15">
        <v>68</v>
      </c>
      <c r="E143" s="16">
        <f t="shared" si="74"/>
        <v>-3.8189533239038231E-2</v>
      </c>
      <c r="F143" s="19">
        <f>IF(ISNUMBER(D143), $B145 * E143, "")</f>
        <v>-11456.85997171147</v>
      </c>
      <c r="G143" s="15"/>
      <c r="H143" s="16" t="str">
        <f t="shared" si="75"/>
        <v/>
      </c>
      <c r="I143" s="19" t="str">
        <f>IF(ISNUMBER(G143), $B145 * H143, "")</f>
        <v/>
      </c>
      <c r="J143" s="15"/>
      <c r="K143" s="16" t="str">
        <f t="shared" si="76"/>
        <v/>
      </c>
      <c r="L143" s="19" t="str">
        <f>IF(ISNUMBER(J143), $B145 * K143, "")</f>
        <v/>
      </c>
      <c r="M143" s="15"/>
      <c r="N143" s="16" t="str">
        <f t="shared" si="77"/>
        <v/>
      </c>
      <c r="O143" s="19" t="str">
        <f>IF(ISNUMBER(M143), $B145 * N143, "")</f>
        <v/>
      </c>
      <c r="Q143" s="128"/>
      <c r="R143" s="129"/>
      <c r="S143" s="130"/>
    </row>
    <row r="144" spans="1:19" ht="17.25" thickBot="1">
      <c r="A144" s="34"/>
      <c r="B144" s="35"/>
      <c r="C144" s="22"/>
      <c r="D144" s="21" t="s">
        <v>297</v>
      </c>
      <c r="E144" s="22" t="str">
        <f t="shared" si="74"/>
        <v/>
      </c>
      <c r="F144" s="19" t="str">
        <f>IF(ISNUMBER(D144), $B145 * E144, "")</f>
        <v/>
      </c>
      <c r="G144" s="21"/>
      <c r="H144" s="22" t="str">
        <f t="shared" si="75"/>
        <v/>
      </c>
      <c r="I144" s="19" t="str">
        <f>IF(ISNUMBER(G144), $B145 * H144, "")</f>
        <v/>
      </c>
      <c r="J144" s="21"/>
      <c r="K144" s="22" t="str">
        <f t="shared" si="76"/>
        <v/>
      </c>
      <c r="L144" s="19" t="str">
        <f>IF(ISNUMBER(J144), $B145 * K144, "")</f>
        <v/>
      </c>
      <c r="M144" s="21"/>
      <c r="N144" s="22" t="str">
        <f t="shared" si="77"/>
        <v/>
      </c>
      <c r="O144" s="19" t="str">
        <f>IF(ISNUMBER(M144), $B145 * N144, "")</f>
        <v/>
      </c>
      <c r="Q144" s="131"/>
      <c r="R144" s="132"/>
      <c r="S144" s="133"/>
    </row>
    <row r="145" spans="1:19" ht="17.25" thickBot="1">
      <c r="A145" s="27" t="s">
        <v>42</v>
      </c>
      <c r="B145" s="137">
        <f>$B$37</f>
        <v>300000</v>
      </c>
      <c r="C145" s="138"/>
      <c r="D145" s="27" t="s">
        <v>43</v>
      </c>
      <c r="E145" s="28">
        <f>IF(COUNT(E125:E144), SUM(E125:E144) / COUNT(E125:E144), 0)</f>
        <v>-1.594483220477585E-3</v>
      </c>
      <c r="F145" s="29">
        <f>SUM(F125:F144)</f>
        <v>-9088.5543567222303</v>
      </c>
      <c r="G145" s="27" t="s">
        <v>43</v>
      </c>
      <c r="H145" s="28">
        <f>IF(COUNT(H125:H144), SUM(H125:H144) / COUNT(H125:H144), 0)</f>
        <v>0</v>
      </c>
      <c r="I145" s="29">
        <f>SUM(I125:I144)</f>
        <v>0</v>
      </c>
      <c r="J145" s="27" t="s">
        <v>43</v>
      </c>
      <c r="K145" s="28">
        <f>IF(COUNT(K125:K144), SUM(K125:K144) / COUNT(K125:K144), 0)</f>
        <v>0</v>
      </c>
      <c r="L145" s="29">
        <f>SUM(L125:L144)</f>
        <v>0</v>
      </c>
      <c r="M145" s="27" t="s">
        <v>43</v>
      </c>
      <c r="N145" s="28">
        <f>IF(COUNT(N125:N144), SUM(N125:N144) / COUNT(N125:N144), 0)</f>
        <v>0</v>
      </c>
      <c r="O145" s="29">
        <f>SUM(O125:O144)</f>
        <v>0</v>
      </c>
      <c r="Q145" s="134"/>
      <c r="R145" s="135"/>
      <c r="S145" s="136"/>
    </row>
    <row r="147" spans="1:19" ht="17.25" thickBot="1"/>
    <row r="148" spans="1:19" ht="17.25" thickBot="1">
      <c r="A148" s="149" t="s">
        <v>289</v>
      </c>
      <c r="B148" s="150"/>
      <c r="C148" s="150"/>
      <c r="D148" s="150"/>
      <c r="E148" s="150"/>
      <c r="F148" s="150"/>
      <c r="G148" s="150"/>
      <c r="H148" s="150"/>
      <c r="I148" s="150"/>
      <c r="J148" s="150"/>
      <c r="K148" s="150"/>
      <c r="L148" s="150"/>
      <c r="M148" s="150"/>
      <c r="N148" s="150"/>
      <c r="O148" s="151"/>
      <c r="Q148" s="148"/>
      <c r="R148" s="148"/>
      <c r="S148" s="148"/>
    </row>
    <row r="149" spans="1:19" ht="17.25" thickBot="1">
      <c r="A149" s="122" t="s">
        <v>35</v>
      </c>
      <c r="B149" s="149" t="s">
        <v>36</v>
      </c>
      <c r="C149" s="151"/>
      <c r="D149" s="149" t="s">
        <v>37</v>
      </c>
      <c r="E149" s="150"/>
      <c r="F149" s="151"/>
      <c r="G149" s="152">
        <f>_xlfn.IFNA(VLOOKUP(B149, 현재가테이블!$B$2:$D$200, 2, FALSE), "-")</f>
        <v>68203000</v>
      </c>
      <c r="H149" s="153"/>
      <c r="I149" s="154"/>
      <c r="J149" s="149" t="s">
        <v>38</v>
      </c>
      <c r="K149" s="150"/>
      <c r="L149" s="151"/>
      <c r="M149" s="155">
        <f>_xlfn.IFNA(VLOOKUP(B149, 현재가테이블!$B$2:$D$200, 3, FALSE), "-")</f>
        <v>-1.22521687E-2</v>
      </c>
      <c r="N149" s="156"/>
      <c r="O149" s="157"/>
      <c r="Q149" s="148"/>
      <c r="R149" s="148"/>
      <c r="S149" s="148"/>
    </row>
    <row r="150" spans="1:19" ht="17.25" thickBot="1">
      <c r="A150" s="158" t="s">
        <v>39</v>
      </c>
      <c r="B150" s="159" t="str">
        <f>TEXT($G$1, "[$-ko-KR]yyyy-mm-dd(ddd) ") &amp; "오전 00:00"</f>
        <v>2021-05-02(일) 오전 00:00</v>
      </c>
      <c r="C150" s="160"/>
      <c r="D150" s="161" t="str">
        <f>TEXT($G$1, "[$-ko-KR]yyyy-mm-dd(ddd) ") &amp; "오후 14:00"</f>
        <v>2021-05-02(일) 오후 14:00</v>
      </c>
      <c r="E150" s="162"/>
      <c r="F150" s="163"/>
      <c r="G150" s="161" t="str">
        <f>TEXT($G$1, "[$-ko-KR]yyyy-mm-dd(ddd) ") &amp; "오후 19:00"</f>
        <v>2021-05-02(일) 오후 19:00</v>
      </c>
      <c r="H150" s="162"/>
      <c r="I150" s="163"/>
      <c r="J150" s="164" t="str">
        <f>TEXT($G$1, "[$-ko-KR]yyyy-mm-dd(ddd) ") &amp; "오후 21:00"</f>
        <v>2021-05-02(일) 오후 21:00</v>
      </c>
      <c r="K150" s="164"/>
      <c r="L150" s="164"/>
      <c r="M150" s="161" t="str">
        <f>TEXT($G$1+1, "[$-ko-KR]yyyy-mm-dd(ddd) ") &amp; "오전 00:00"</f>
        <v>2021-05-03(월) 오전 00:00</v>
      </c>
      <c r="N150" s="162"/>
      <c r="O150" s="163"/>
      <c r="Q150" s="148"/>
      <c r="R150" s="148"/>
      <c r="S150" s="148"/>
    </row>
    <row r="151" spans="1:19" ht="17.25" thickBot="1">
      <c r="A151" s="158"/>
      <c r="B151" s="2" t="s">
        <v>37</v>
      </c>
      <c r="C151" s="10" t="s">
        <v>38</v>
      </c>
      <c r="D151" s="2" t="s">
        <v>37</v>
      </c>
      <c r="E151" s="10" t="s">
        <v>40</v>
      </c>
      <c r="F151" s="11" t="s">
        <v>41</v>
      </c>
      <c r="G151" s="2" t="s">
        <v>37</v>
      </c>
      <c r="H151" s="10" t="s">
        <v>40</v>
      </c>
      <c r="I151" s="11" t="s">
        <v>41</v>
      </c>
      <c r="J151" s="10" t="s">
        <v>37</v>
      </c>
      <c r="K151" s="10" t="s">
        <v>40</v>
      </c>
      <c r="L151" s="126" t="s">
        <v>41</v>
      </c>
      <c r="M151" s="2" t="s">
        <v>37</v>
      </c>
      <c r="N151" s="10" t="s">
        <v>40</v>
      </c>
      <c r="O151" s="72" t="s">
        <v>41</v>
      </c>
      <c r="Q151" s="127"/>
      <c r="R151" s="127"/>
      <c r="S151" s="127"/>
    </row>
    <row r="152" spans="1:19" ht="17.25" thickBot="1">
      <c r="A152" s="30" t="s">
        <v>238</v>
      </c>
      <c r="B152" s="31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7">
        <f>IF(ISNUMBER(D152), $B172 * E152, "")</f>
        <v>-1904.7619047619048</v>
      </c>
      <c r="G152" s="13"/>
      <c r="H152" s="14" t="str">
        <f>IF(ISNUMBER(G152), (G152 - $B152) / $B152, "")</f>
        <v/>
      </c>
      <c r="I152" s="17" t="str">
        <f>IF(ISNUMBER(G152), $B172 * H152, "")</f>
        <v/>
      </c>
      <c r="J152" s="13"/>
      <c r="K152" s="14" t="str">
        <f>IF(ISNUMBER(J152), (J152 - $B152) / $B152, "")</f>
        <v/>
      </c>
      <c r="L152" s="17" t="str">
        <f>IF(ISNUMBER(J152), $B172 * K152, "")</f>
        <v/>
      </c>
      <c r="M152" s="13"/>
      <c r="N152" s="14" t="str">
        <f>IF(ISNUMBER(M152), (M152 - $B152) / $B152, "")</f>
        <v/>
      </c>
      <c r="O152" s="17" t="str">
        <f>IF(ISNUMBER(M152), $B172 * N152, "")</f>
        <v/>
      </c>
      <c r="Q152" s="148"/>
      <c r="R152" s="148"/>
      <c r="S152" s="148"/>
    </row>
    <row r="153" spans="1:19" ht="17.25" thickBot="1">
      <c r="A153" s="32" t="s">
        <v>202</v>
      </c>
      <c r="B153" s="33">
        <v>219</v>
      </c>
      <c r="C153" s="16">
        <v>-1.3513513499999999E-2</v>
      </c>
      <c r="D153" s="15">
        <v>230</v>
      </c>
      <c r="E153" s="16">
        <f t="shared" ref="E153:E156" si="78">IF(ISNUMBER(D153), (D153 - $B153) / $B153, "")</f>
        <v>5.0228310502283102E-2</v>
      </c>
      <c r="F153" s="19">
        <f>IF(ISNUMBER(D153), $B172 * E153, "")</f>
        <v>15068.49315068493</v>
      </c>
      <c r="G153" s="15"/>
      <c r="H153" s="16" t="str">
        <f t="shared" ref="H153:H156" si="79">IF(ISNUMBER(G153), (G153 - $B153) / $B153, "")</f>
        <v/>
      </c>
      <c r="I153" s="19" t="str">
        <f>IF(ISNUMBER(G153), $B172 * H153, "")</f>
        <v/>
      </c>
      <c r="J153" s="15"/>
      <c r="K153" s="16" t="str">
        <f t="shared" ref="K153:K156" si="80">IF(ISNUMBER(J153), (J153 - $B153) / $B153, "")</f>
        <v/>
      </c>
      <c r="L153" s="19" t="str">
        <f>IF(ISNUMBER(J153), $B172 * K153, "")</f>
        <v/>
      </c>
      <c r="M153" s="15"/>
      <c r="N153" s="16" t="str">
        <f t="shared" ref="N153:N156" si="81">IF(ISNUMBER(M153), (M153 - $B153) / $B153, "")</f>
        <v/>
      </c>
      <c r="O153" s="19" t="str">
        <f>IF(ISNUMBER(M153), $B172 * N153, "")</f>
        <v/>
      </c>
      <c r="Q153" s="148"/>
      <c r="R153" s="148"/>
      <c r="S153" s="148"/>
    </row>
    <row r="154" spans="1:19" ht="17.25" thickBot="1">
      <c r="A154" s="32" t="s">
        <v>200</v>
      </c>
      <c r="B154" s="33">
        <v>409</v>
      </c>
      <c r="C154" s="16">
        <v>-1.44578313E-2</v>
      </c>
      <c r="D154" s="15">
        <v>401</v>
      </c>
      <c r="E154" s="16">
        <f t="shared" si="78"/>
        <v>-1.9559902200488997E-2</v>
      </c>
      <c r="F154" s="19">
        <f>IF(ISNUMBER(D154), $B172 * E154, "")</f>
        <v>-5867.9706601466996</v>
      </c>
      <c r="G154" s="15"/>
      <c r="H154" s="16" t="str">
        <f t="shared" si="79"/>
        <v/>
      </c>
      <c r="I154" s="19" t="str">
        <f>IF(ISNUMBER(G154), $B172 * H154, "")</f>
        <v/>
      </c>
      <c r="J154" s="15"/>
      <c r="K154" s="16" t="str">
        <f t="shared" si="80"/>
        <v/>
      </c>
      <c r="L154" s="19" t="str">
        <f>IF(ISNUMBER(J154), $B172 * K154, "")</f>
        <v/>
      </c>
      <c r="M154" s="15"/>
      <c r="N154" s="16" t="str">
        <f t="shared" si="81"/>
        <v/>
      </c>
      <c r="O154" s="19" t="str">
        <f>IF(ISNUMBER(M154), $B172 * N154, "")</f>
        <v/>
      </c>
      <c r="Q154" s="127"/>
      <c r="R154" s="127"/>
      <c r="S154" s="127"/>
    </row>
    <row r="155" spans="1:19" ht="17.25" thickBot="1">
      <c r="A155" s="32" t="s">
        <v>270</v>
      </c>
      <c r="B155" s="33">
        <v>544</v>
      </c>
      <c r="C155" s="16">
        <v>-1.44927536E-2</v>
      </c>
      <c r="D155" s="15">
        <v>540</v>
      </c>
      <c r="E155" s="16">
        <f t="shared" si="78"/>
        <v>-7.3529411764705881E-3</v>
      </c>
      <c r="F155" s="19">
        <f>IF(ISNUMBER(D155), $B172 * E155, "")</f>
        <v>-2205.8823529411766</v>
      </c>
      <c r="G155" s="15"/>
      <c r="H155" s="16" t="str">
        <f t="shared" si="79"/>
        <v/>
      </c>
      <c r="I155" s="19" t="str">
        <f>IF(ISNUMBER(G155), $B172 * H155, "")</f>
        <v/>
      </c>
      <c r="J155" s="15"/>
      <c r="K155" s="16" t="str">
        <f t="shared" si="80"/>
        <v/>
      </c>
      <c r="L155" s="19" t="str">
        <f>IF(ISNUMBER(J155), $B172 * K155, "")</f>
        <v/>
      </c>
      <c r="M155" s="15"/>
      <c r="N155" s="16" t="str">
        <f t="shared" si="81"/>
        <v/>
      </c>
      <c r="O155" s="19" t="str">
        <f>IF(ISNUMBER(M155), $B172 * N155, "")</f>
        <v/>
      </c>
      <c r="Q155" s="127"/>
      <c r="R155" s="127"/>
      <c r="S155" s="127"/>
    </row>
    <row r="156" spans="1:19" ht="17.25" thickBot="1">
      <c r="A156" s="34" t="s">
        <v>208</v>
      </c>
      <c r="B156" s="35">
        <v>525</v>
      </c>
      <c r="C156" s="22">
        <v>-1.5009380900000001E-2</v>
      </c>
      <c r="D156" s="21">
        <v>534</v>
      </c>
      <c r="E156" s="22">
        <f t="shared" si="78"/>
        <v>1.7142857142857144E-2</v>
      </c>
      <c r="F156" s="23">
        <f>IF(ISNUMBER(D156), $B172 * E156, "")</f>
        <v>5142.8571428571431</v>
      </c>
      <c r="G156" s="21"/>
      <c r="H156" s="22" t="str">
        <f t="shared" si="79"/>
        <v/>
      </c>
      <c r="I156" s="23" t="str">
        <f>IF(ISNUMBER(G156), $B172 * H156, "")</f>
        <v/>
      </c>
      <c r="J156" s="21"/>
      <c r="K156" s="22" t="str">
        <f t="shared" si="80"/>
        <v/>
      </c>
      <c r="L156" s="23" t="str">
        <f>IF(ISNUMBER(J156), $B172 * K156, "")</f>
        <v/>
      </c>
      <c r="M156" s="21"/>
      <c r="N156" s="22" t="str">
        <f t="shared" si="81"/>
        <v/>
      </c>
      <c r="O156" s="23" t="str">
        <f>IF(ISNUMBER(M156), $B172 * N156, "")</f>
        <v/>
      </c>
      <c r="Q156" s="127"/>
      <c r="R156" s="127"/>
      <c r="S156" s="127"/>
    </row>
    <row r="157" spans="1:19" ht="17.25" thickBot="1">
      <c r="A157" s="32" t="s">
        <v>282</v>
      </c>
      <c r="B157" s="36">
        <v>184</v>
      </c>
      <c r="C157" s="37">
        <v>-1.6042780699999998E-2</v>
      </c>
      <c r="D157" s="15">
        <v>178</v>
      </c>
      <c r="E157" s="37">
        <f>IF(ISNUMBER(D157), (D157 - $B157) / $B157, "")</f>
        <v>-3.2608695652173912E-2</v>
      </c>
      <c r="F157" s="19">
        <f>IF(ISNUMBER(D157), $B172 * E157, "")</f>
        <v>-9782.608695652174</v>
      </c>
      <c r="G157" s="15"/>
      <c r="H157" s="37" t="str">
        <f>IF(ISNUMBER(G157), (G157 - $B157) / $B157, "")</f>
        <v/>
      </c>
      <c r="I157" s="19" t="str">
        <f>IF(ISNUMBER(G157), $B172 * H157, "")</f>
        <v/>
      </c>
      <c r="J157" s="15"/>
      <c r="K157" s="37" t="str">
        <f>IF(ISNUMBER(J157), (J157 - $B157) / $B157, "")</f>
        <v/>
      </c>
      <c r="L157" s="19" t="str">
        <f>IF(ISNUMBER(J157), $B172 * K157, "")</f>
        <v/>
      </c>
      <c r="M157" s="15"/>
      <c r="N157" s="37" t="str">
        <f>IF(ISNUMBER(M157), (M157 - $B157) / $B157, "")</f>
        <v/>
      </c>
      <c r="O157" s="19" t="str">
        <f>IF(ISNUMBER(M157), $B172 * N157, "")</f>
        <v/>
      </c>
      <c r="Q157" s="127"/>
      <c r="R157" s="127"/>
      <c r="S157" s="127"/>
    </row>
    <row r="158" spans="1:19" ht="17.25" thickBot="1">
      <c r="A158" s="32" t="s">
        <v>112</v>
      </c>
      <c r="B158" s="33">
        <v>276</v>
      </c>
      <c r="C158" s="16">
        <v>-1.77935943E-2</v>
      </c>
      <c r="D158" s="15">
        <v>279</v>
      </c>
      <c r="E158" s="16">
        <f t="shared" ref="E158:E161" si="82">IF(ISNUMBER(D158), (D158 - $B158) / $B158, "")</f>
        <v>1.0869565217391304E-2</v>
      </c>
      <c r="F158" s="19">
        <f>IF(ISNUMBER(D158), $B172 * E158, "")</f>
        <v>3260.869565217391</v>
      </c>
      <c r="G158" s="15"/>
      <c r="H158" s="16" t="str">
        <f t="shared" ref="H158:H161" si="83">IF(ISNUMBER(G158), (G158 - $B158) / $B158, "")</f>
        <v/>
      </c>
      <c r="I158" s="19" t="str">
        <f>IF(ISNUMBER(G158), $B172 * H158, "")</f>
        <v/>
      </c>
      <c r="J158" s="15"/>
      <c r="K158" s="16" t="str">
        <f t="shared" ref="K158:K161" si="84">IF(ISNUMBER(J158), (J158 - $B158) / $B158, "")</f>
        <v/>
      </c>
      <c r="L158" s="19" t="str">
        <f>IF(ISNUMBER(J158), $B172 * K158, "")</f>
        <v/>
      </c>
      <c r="M158" s="15"/>
      <c r="N158" s="16" t="str">
        <f t="shared" ref="N158:N161" si="85">IF(ISNUMBER(M158), (M158 - $B158) / $B158, "")</f>
        <v/>
      </c>
      <c r="O158" s="19" t="str">
        <f>IF(ISNUMBER(M158), $B172 * N158, "")</f>
        <v/>
      </c>
      <c r="Q158" s="127"/>
      <c r="R158" s="127"/>
      <c r="S158" s="127"/>
    </row>
    <row r="159" spans="1:19" ht="17.25" thickBot="1">
      <c r="A159" s="32" t="s">
        <v>134</v>
      </c>
      <c r="B159" s="33">
        <v>158</v>
      </c>
      <c r="C159" s="16">
        <v>-1.8633540399999999E-2</v>
      </c>
      <c r="D159" s="15">
        <v>157</v>
      </c>
      <c r="E159" s="16">
        <f t="shared" si="82"/>
        <v>-6.3291139240506328E-3</v>
      </c>
      <c r="F159" s="19">
        <f>IF(ISNUMBER(D159), $B172 * E159, "")</f>
        <v>-1898.7341772151899</v>
      </c>
      <c r="G159" s="15"/>
      <c r="H159" s="16" t="str">
        <f t="shared" si="83"/>
        <v/>
      </c>
      <c r="I159" s="19" t="str">
        <f>IF(ISNUMBER(G159), $B172 * H159, "")</f>
        <v/>
      </c>
      <c r="J159" s="15"/>
      <c r="K159" s="16" t="str">
        <f t="shared" si="84"/>
        <v/>
      </c>
      <c r="L159" s="19" t="str">
        <f>IF(ISNUMBER(J159), $B172 * K159, "")</f>
        <v/>
      </c>
      <c r="M159" s="15"/>
      <c r="N159" s="16" t="str">
        <f t="shared" si="85"/>
        <v/>
      </c>
      <c r="O159" s="19" t="str">
        <f>IF(ISNUMBER(M159), $B172 * N159, "")</f>
        <v/>
      </c>
      <c r="Q159" s="127"/>
      <c r="R159" s="127"/>
      <c r="S159" s="127"/>
    </row>
    <row r="160" spans="1:19" ht="17.25" thickBot="1">
      <c r="A160" s="32" t="s">
        <v>260</v>
      </c>
      <c r="B160" s="33">
        <v>135</v>
      </c>
      <c r="C160" s="16">
        <v>-2.1739130400000001E-2</v>
      </c>
      <c r="D160" s="15">
        <v>136</v>
      </c>
      <c r="E160" s="16">
        <f t="shared" si="82"/>
        <v>7.4074074074074077E-3</v>
      </c>
      <c r="F160" s="19">
        <f>IF(ISNUMBER(D160), $B172 * E160, "")</f>
        <v>2222.2222222222222</v>
      </c>
      <c r="G160" s="15"/>
      <c r="H160" s="16" t="str">
        <f t="shared" si="83"/>
        <v/>
      </c>
      <c r="I160" s="19" t="str">
        <f>IF(ISNUMBER(G160), $B172 * H160, "")</f>
        <v/>
      </c>
      <c r="J160" s="15"/>
      <c r="K160" s="16" t="str">
        <f t="shared" si="84"/>
        <v/>
      </c>
      <c r="L160" s="19" t="str">
        <f>IF(ISNUMBER(J160), $B172 * K160, "")</f>
        <v/>
      </c>
      <c r="M160" s="15"/>
      <c r="N160" s="16" t="str">
        <f t="shared" si="85"/>
        <v/>
      </c>
      <c r="O160" s="19" t="str">
        <f>IF(ISNUMBER(M160), $B172 * N160, "")</f>
        <v/>
      </c>
      <c r="Q160" s="38"/>
      <c r="R160" s="38"/>
    </row>
    <row r="161" spans="1:19" ht="17.25" thickBot="1">
      <c r="A161" s="34" t="s">
        <v>116</v>
      </c>
      <c r="B161" s="35">
        <v>715</v>
      </c>
      <c r="C161" s="22">
        <v>-2.1887824899999998E-2</v>
      </c>
      <c r="D161" s="21">
        <v>696</v>
      </c>
      <c r="E161" s="22">
        <f t="shared" si="82"/>
        <v>-2.6573426573426574E-2</v>
      </c>
      <c r="F161" s="19">
        <f>IF(ISNUMBER(D161), $B172 * E161, "")</f>
        <v>-7972.0279720279723</v>
      </c>
      <c r="G161" s="21"/>
      <c r="H161" s="22" t="str">
        <f t="shared" si="83"/>
        <v/>
      </c>
      <c r="I161" s="19" t="str">
        <f>IF(ISNUMBER(G161), $B172 * H161, "")</f>
        <v/>
      </c>
      <c r="J161" s="21"/>
      <c r="K161" s="22" t="str">
        <f t="shared" si="84"/>
        <v/>
      </c>
      <c r="L161" s="19" t="str">
        <f>IF(ISNUMBER(J161), $B172 * K161, "")</f>
        <v/>
      </c>
      <c r="M161" s="21"/>
      <c r="N161" s="22" t="str">
        <f t="shared" si="85"/>
        <v/>
      </c>
      <c r="O161" s="19" t="str">
        <f>IF(ISNUMBER(M161), $B172 * N161, "")</f>
        <v/>
      </c>
      <c r="Q161" s="139"/>
      <c r="R161" s="140"/>
      <c r="S161" s="141"/>
    </row>
    <row r="162" spans="1:19">
      <c r="A162" s="30" t="s">
        <v>246</v>
      </c>
      <c r="B162" s="31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7">
        <f>IF(ISNUMBER(D162), $B172 * E162, "")</f>
        <v>-6081.0810810810817</v>
      </c>
      <c r="G162" s="13"/>
      <c r="H162" s="14" t="str">
        <f>IF(ISNUMBER(G162), (G162 - $B162) / $B162, "")</f>
        <v/>
      </c>
      <c r="I162" s="17" t="str">
        <f>IF(ISNUMBER(G162), $B172 * H162, "")</f>
        <v/>
      </c>
      <c r="J162" s="13"/>
      <c r="K162" s="14" t="str">
        <f>IF(ISNUMBER(J162), (J162 - $B162) / $B162, "")</f>
        <v/>
      </c>
      <c r="L162" s="17" t="str">
        <f>IF(ISNUMBER(J162), $B172 * K162, "")</f>
        <v/>
      </c>
      <c r="M162" s="13"/>
      <c r="N162" s="14" t="str">
        <f>IF(ISNUMBER(M162), (M162 - $B162) / $B162, "")</f>
        <v/>
      </c>
      <c r="O162" s="17" t="str">
        <f>IF(ISNUMBER(M162), $B172 * N162, "")</f>
        <v/>
      </c>
      <c r="Q162" s="142"/>
      <c r="R162" s="143"/>
      <c r="S162" s="144"/>
    </row>
    <row r="163" spans="1:19" ht="17.25" thickBot="1">
      <c r="A163" s="32" t="s">
        <v>170</v>
      </c>
      <c r="B163" s="33">
        <v>530</v>
      </c>
      <c r="C163" s="16">
        <v>-2.21402214E-2</v>
      </c>
      <c r="D163" s="15">
        <v>528</v>
      </c>
      <c r="E163" s="16">
        <f t="shared" ref="E163:E166" si="86">IF(ISNUMBER(D163), (D163 - $B163) / $B163, "")</f>
        <v>-3.7735849056603774E-3</v>
      </c>
      <c r="F163" s="19">
        <f>IF(ISNUMBER(D163), $B172 * E163, "")</f>
        <v>-1132.0754716981132</v>
      </c>
      <c r="G163" s="15"/>
      <c r="H163" s="16" t="str">
        <f t="shared" ref="H163:H166" si="87">IF(ISNUMBER(G163), (G163 - $B163) / $B163, "")</f>
        <v/>
      </c>
      <c r="I163" s="19" t="str">
        <f>IF(ISNUMBER(G163), $B172 * H163, "")</f>
        <v/>
      </c>
      <c r="J163" s="15"/>
      <c r="K163" s="16" t="str">
        <f t="shared" ref="K163:K166" si="88">IF(ISNUMBER(J163), (J163 - $B163) / $B163, "")</f>
        <v/>
      </c>
      <c r="L163" s="19" t="str">
        <f>IF(ISNUMBER(J163), $B172 * K163, "")</f>
        <v/>
      </c>
      <c r="M163" s="15"/>
      <c r="N163" s="16" t="str">
        <f t="shared" ref="N163:N166" si="89">IF(ISNUMBER(M163), (M163 - $B163) / $B163, "")</f>
        <v/>
      </c>
      <c r="O163" s="19" t="str">
        <f>IF(ISNUMBER(M163), $B172 * N163, "")</f>
        <v/>
      </c>
      <c r="Q163" s="145"/>
      <c r="R163" s="146"/>
      <c r="S163" s="147"/>
    </row>
    <row r="164" spans="1:19" ht="17.25" thickBot="1">
      <c r="A164" s="32" t="s">
        <v>174</v>
      </c>
      <c r="B164" s="33">
        <v>305</v>
      </c>
      <c r="C164" s="16">
        <v>-2.2435897400000002E-2</v>
      </c>
      <c r="D164" s="15">
        <v>302</v>
      </c>
      <c r="E164" s="16">
        <f t="shared" si="86"/>
        <v>-9.8360655737704927E-3</v>
      </c>
      <c r="F164" s="19">
        <f>IF(ISNUMBER(D164), $B172 * E164, "")</f>
        <v>-2950.8196721311479</v>
      </c>
      <c r="G164" s="15"/>
      <c r="H164" s="16" t="str">
        <f t="shared" si="87"/>
        <v/>
      </c>
      <c r="I164" s="19" t="str">
        <f>IF(ISNUMBER(G164), $B172 * H164, "")</f>
        <v/>
      </c>
      <c r="J164" s="15"/>
      <c r="K164" s="16" t="str">
        <f t="shared" si="88"/>
        <v/>
      </c>
      <c r="L164" s="19" t="str">
        <f>IF(ISNUMBER(J164), $B172 * K164, "")</f>
        <v/>
      </c>
      <c r="M164" s="15"/>
      <c r="N164" s="16" t="str">
        <f t="shared" si="89"/>
        <v/>
      </c>
      <c r="O164" s="19" t="str">
        <f>IF(ISNUMBER(M164), $B172 * N164, "")</f>
        <v/>
      </c>
      <c r="Q164" s="127"/>
      <c r="R164" s="127"/>
      <c r="S164" s="127"/>
    </row>
    <row r="165" spans="1:19" ht="17.25" thickBot="1">
      <c r="A165" s="32" t="s">
        <v>258</v>
      </c>
      <c r="B165" s="33">
        <v>751</v>
      </c>
      <c r="C165" s="16">
        <v>-2.4675324700000001E-2</v>
      </c>
      <c r="D165" s="15">
        <v>745</v>
      </c>
      <c r="E165" s="16">
        <f t="shared" si="86"/>
        <v>-7.989347536617843E-3</v>
      </c>
      <c r="F165" s="19">
        <f>IF(ISNUMBER(D165), $B172 * E165, "")</f>
        <v>-2396.8042609853528</v>
      </c>
      <c r="G165" s="15"/>
      <c r="H165" s="16" t="str">
        <f t="shared" si="87"/>
        <v/>
      </c>
      <c r="I165" s="19" t="str">
        <f>IF(ISNUMBER(G165), $B172 * H165, "")</f>
        <v/>
      </c>
      <c r="J165" s="15"/>
      <c r="K165" s="16" t="str">
        <f t="shared" si="88"/>
        <v/>
      </c>
      <c r="L165" s="19" t="str">
        <f>IF(ISNUMBER(J165), $B172 * K165, "")</f>
        <v/>
      </c>
      <c r="M165" s="15"/>
      <c r="N165" s="16" t="str">
        <f t="shared" si="89"/>
        <v/>
      </c>
      <c r="O165" s="19" t="str">
        <f>IF(ISNUMBER(M165), $B172 * N165, "")</f>
        <v/>
      </c>
      <c r="Q165" s="148"/>
      <c r="R165" s="148"/>
      <c r="S165" s="148"/>
    </row>
    <row r="166" spans="1:19" ht="17.25" thickBot="1">
      <c r="A166" s="34" t="s">
        <v>156</v>
      </c>
      <c r="B166" s="35">
        <v>153</v>
      </c>
      <c r="C166" s="22">
        <v>-2.5477706999999999E-2</v>
      </c>
      <c r="D166" s="21">
        <v>153</v>
      </c>
      <c r="E166" s="22">
        <f t="shared" si="86"/>
        <v>0</v>
      </c>
      <c r="F166" s="23">
        <f>IF(ISNUMBER(D166), $B172 * E166, "")</f>
        <v>0</v>
      </c>
      <c r="G166" s="21"/>
      <c r="H166" s="22" t="str">
        <f t="shared" si="87"/>
        <v/>
      </c>
      <c r="I166" s="23" t="str">
        <f>IF(ISNUMBER(G166), $B172 * H166, "")</f>
        <v/>
      </c>
      <c r="J166" s="21"/>
      <c r="K166" s="22" t="str">
        <f t="shared" si="88"/>
        <v/>
      </c>
      <c r="L166" s="23" t="str">
        <f>IF(ISNUMBER(J166), $B172 * K166, "")</f>
        <v/>
      </c>
      <c r="M166" s="21"/>
      <c r="N166" s="22" t="str">
        <f t="shared" si="89"/>
        <v/>
      </c>
      <c r="O166" s="23" t="str">
        <f>IF(ISNUMBER(M166), $B172 * N166, "")</f>
        <v/>
      </c>
      <c r="Q166" s="148"/>
      <c r="R166" s="148"/>
      <c r="S166" s="148"/>
    </row>
    <row r="167" spans="1:19" ht="17.25" thickBot="1">
      <c r="A167" s="32" t="s">
        <v>264</v>
      </c>
      <c r="B167" s="36">
        <v>183</v>
      </c>
      <c r="C167" s="37">
        <v>-2.65957447E-2</v>
      </c>
      <c r="D167" s="15">
        <v>181</v>
      </c>
      <c r="E167" s="37">
        <f>IF(ISNUMBER(D167), (D167 - $B167) / $B167, "")</f>
        <v>-1.092896174863388E-2</v>
      </c>
      <c r="F167" s="19">
        <f>IF(ISNUMBER(D167), $B172 * E167, "")</f>
        <v>-3278.688524590164</v>
      </c>
      <c r="G167" s="15"/>
      <c r="H167" s="37" t="str">
        <f>IF(ISNUMBER(G167), (G167 - $B167) / $B167, "")</f>
        <v/>
      </c>
      <c r="I167" s="19" t="str">
        <f>IF(ISNUMBER(G167), $B172 * H167, "")</f>
        <v/>
      </c>
      <c r="J167" s="15"/>
      <c r="K167" s="37" t="str">
        <f>IF(ISNUMBER(J167), (J167 - $B167) / $B167, "")</f>
        <v/>
      </c>
      <c r="L167" s="19" t="str">
        <f>IF(ISNUMBER(J167), $B172 * K167, "")</f>
        <v/>
      </c>
      <c r="M167" s="15"/>
      <c r="N167" s="37" t="str">
        <f>IF(ISNUMBER(M167), (M167 - $B167) / $B167, "")</f>
        <v/>
      </c>
      <c r="O167" s="19" t="str">
        <f>IF(ISNUMBER(M167), $B172 * N167, "")</f>
        <v/>
      </c>
      <c r="Q167" s="127"/>
      <c r="R167" s="127"/>
      <c r="S167" s="127"/>
    </row>
    <row r="168" spans="1:19" ht="17.25" thickBot="1">
      <c r="A168" s="32" t="s">
        <v>210</v>
      </c>
      <c r="B168" s="33">
        <v>214</v>
      </c>
      <c r="C168" s="16">
        <v>-2.7272727300000001E-2</v>
      </c>
      <c r="D168" s="15">
        <v>213</v>
      </c>
      <c r="E168" s="16">
        <f t="shared" ref="E168:E171" si="90">IF(ISNUMBER(D168), (D168 - $B168) / $B168, "")</f>
        <v>-4.6728971962616819E-3</v>
      </c>
      <c r="F168" s="19">
        <f>IF(ISNUMBER(D168), $B172 * E168, "")</f>
        <v>-1401.8691588785045</v>
      </c>
      <c r="G168" s="15"/>
      <c r="H168" s="16" t="str">
        <f t="shared" ref="H168:H171" si="91">IF(ISNUMBER(G168), (G168 - $B168) / $B168, "")</f>
        <v/>
      </c>
      <c r="I168" s="19" t="str">
        <f>IF(ISNUMBER(G168), $B172 * H168, "")</f>
        <v/>
      </c>
      <c r="J168" s="15"/>
      <c r="K168" s="16" t="str">
        <f t="shared" ref="K168:K171" si="92">IF(ISNUMBER(J168), (J168 - $B168) / $B168, "")</f>
        <v/>
      </c>
      <c r="L168" s="19" t="str">
        <f>IF(ISNUMBER(J168), $B172 * K168, "")</f>
        <v/>
      </c>
      <c r="M168" s="15"/>
      <c r="N168" s="16" t="str">
        <f t="shared" ref="N168:N171" si="93">IF(ISNUMBER(M168), (M168 - $B168) / $B168, "")</f>
        <v/>
      </c>
      <c r="O168" s="19" t="str">
        <f>IF(ISNUMBER(M168), $B172 * N168, "")</f>
        <v/>
      </c>
      <c r="Q168" s="127"/>
      <c r="R168" s="127"/>
      <c r="S168" s="127"/>
    </row>
    <row r="169" spans="1:19" ht="17.25" thickBot="1">
      <c r="A169" s="32" t="s">
        <v>88</v>
      </c>
      <c r="B169" s="33">
        <v>653</v>
      </c>
      <c r="C169" s="16">
        <v>-2.82738095E-2</v>
      </c>
      <c r="D169" s="15">
        <v>635</v>
      </c>
      <c r="E169" s="16">
        <f t="shared" si="90"/>
        <v>-2.7565084226646247E-2</v>
      </c>
      <c r="F169" s="19">
        <f>IF(ISNUMBER(D169), $B172 * E169, "")</f>
        <v>-8269.5252679938749</v>
      </c>
      <c r="G169" s="15"/>
      <c r="H169" s="16" t="str">
        <f t="shared" si="91"/>
        <v/>
      </c>
      <c r="I169" s="19" t="str">
        <f>IF(ISNUMBER(G169), $B172 * H169, "")</f>
        <v/>
      </c>
      <c r="J169" s="15"/>
      <c r="K169" s="16" t="str">
        <f t="shared" si="92"/>
        <v/>
      </c>
      <c r="L169" s="19" t="str">
        <f>IF(ISNUMBER(J169), $B172 * K169, "")</f>
        <v/>
      </c>
      <c r="M169" s="15"/>
      <c r="N169" s="16" t="str">
        <f t="shared" si="93"/>
        <v/>
      </c>
      <c r="O169" s="19" t="str">
        <f>IF(ISNUMBER(M169), $B172 * N169, "")</f>
        <v/>
      </c>
      <c r="Q169" s="127"/>
      <c r="R169" s="127"/>
      <c r="S169" s="127"/>
    </row>
    <row r="170" spans="1:19">
      <c r="A170" s="32" t="s">
        <v>252</v>
      </c>
      <c r="B170" s="33">
        <v>589</v>
      </c>
      <c r="C170" s="16">
        <v>-2.9654036200000001E-2</v>
      </c>
      <c r="D170" s="15">
        <v>581</v>
      </c>
      <c r="E170" s="16">
        <f t="shared" si="90"/>
        <v>-1.3582342954159592E-2</v>
      </c>
      <c r="F170" s="19">
        <f>IF(ISNUMBER(D170), $B172 * E170, "")</f>
        <v>-4074.7028862478778</v>
      </c>
      <c r="G170" s="15"/>
      <c r="H170" s="16" t="str">
        <f t="shared" si="91"/>
        <v/>
      </c>
      <c r="I170" s="19" t="str">
        <f>IF(ISNUMBER(G170), $B172 * H170, "")</f>
        <v/>
      </c>
      <c r="J170" s="15"/>
      <c r="K170" s="16" t="str">
        <f t="shared" si="92"/>
        <v/>
      </c>
      <c r="L170" s="19" t="str">
        <f>IF(ISNUMBER(J170), $B172 * K170, "")</f>
        <v/>
      </c>
      <c r="M170" s="15"/>
      <c r="N170" s="16" t="str">
        <f t="shared" si="93"/>
        <v/>
      </c>
      <c r="O170" s="19" t="str">
        <f>IF(ISNUMBER(M170), $B172 * N170, "")</f>
        <v/>
      </c>
      <c r="Q170" s="128"/>
      <c r="R170" s="129"/>
      <c r="S170" s="130"/>
    </row>
    <row r="171" spans="1:19" ht="17.25" thickBot="1">
      <c r="A171" s="34" t="s">
        <v>284</v>
      </c>
      <c r="B171" s="35">
        <v>470</v>
      </c>
      <c r="C171" s="22">
        <v>-3.2921810699999998E-2</v>
      </c>
      <c r="D171" s="21">
        <v>462</v>
      </c>
      <c r="E171" s="22">
        <f t="shared" si="90"/>
        <v>-1.7021276595744681E-2</v>
      </c>
      <c r="F171" s="19">
        <f>IF(ISNUMBER(D171), $B172 * E171, "")</f>
        <v>-5106.3829787234044</v>
      </c>
      <c r="G171" s="21"/>
      <c r="H171" s="22" t="str">
        <f t="shared" si="91"/>
        <v/>
      </c>
      <c r="I171" s="19" t="str">
        <f>IF(ISNUMBER(G171), $B172 * H171, "")</f>
        <v/>
      </c>
      <c r="J171" s="21"/>
      <c r="K171" s="22" t="str">
        <f t="shared" si="92"/>
        <v/>
      </c>
      <c r="L171" s="19" t="str">
        <f>IF(ISNUMBER(J171), $B172 * K171, "")</f>
        <v/>
      </c>
      <c r="M171" s="21"/>
      <c r="N171" s="22" t="str">
        <f t="shared" si="93"/>
        <v/>
      </c>
      <c r="O171" s="19" t="str">
        <f>IF(ISNUMBER(M171), $B172 * N171, "")</f>
        <v/>
      </c>
      <c r="Q171" s="131"/>
      <c r="R171" s="132"/>
      <c r="S171" s="133"/>
    </row>
    <row r="172" spans="1:19" ht="17.25" thickBot="1">
      <c r="A172" s="27" t="s">
        <v>42</v>
      </c>
      <c r="B172" s="137">
        <f>$B$37</f>
        <v>300000</v>
      </c>
      <c r="C172" s="138"/>
      <c r="D172" s="27" t="s">
        <v>43</v>
      </c>
      <c r="E172" s="28">
        <f>IF(COUNT(E152:E171), SUM(E152:E171) / COUNT(E152:E171), 0)</f>
        <v>-6.4382488306821582E-3</v>
      </c>
      <c r="F172" s="29">
        <f>SUM(F152:F171)</f>
        <v>-38629.492984092954</v>
      </c>
      <c r="G172" s="27" t="s">
        <v>43</v>
      </c>
      <c r="H172" s="28">
        <f>IF(COUNT(H152:H171), SUM(H152:H171) / COUNT(H152:H171), 0)</f>
        <v>0</v>
      </c>
      <c r="I172" s="29">
        <f>SUM(I152:I171)</f>
        <v>0</v>
      </c>
      <c r="J172" s="27" t="s">
        <v>43</v>
      </c>
      <c r="K172" s="28">
        <f>IF(COUNT(K152:K171), SUM(K152:K171) / COUNT(K152:K171), 0)</f>
        <v>0</v>
      </c>
      <c r="L172" s="29">
        <f>SUM(L152:L171)</f>
        <v>0</v>
      </c>
      <c r="M172" s="27" t="s">
        <v>43</v>
      </c>
      <c r="N172" s="28">
        <f>IF(COUNT(N152:N171), SUM(N152:N171) / COUNT(N152:N171), 0)</f>
        <v>0</v>
      </c>
      <c r="O172" s="29">
        <f>SUM(O152:O171)</f>
        <v>0</v>
      </c>
      <c r="Q172" s="134"/>
      <c r="R172" s="135"/>
      <c r="S172" s="136"/>
    </row>
    <row r="174" spans="1:19" ht="17.25" thickBot="1"/>
    <row r="175" spans="1:19" ht="17.25" thickBot="1">
      <c r="A175" s="149" t="s">
        <v>285</v>
      </c>
      <c r="B175" s="150"/>
      <c r="C175" s="150"/>
      <c r="D175" s="150"/>
      <c r="E175" s="150"/>
      <c r="F175" s="150"/>
      <c r="G175" s="150"/>
      <c r="H175" s="150"/>
      <c r="I175" s="150"/>
      <c r="J175" s="150"/>
      <c r="K175" s="150"/>
      <c r="L175" s="150"/>
      <c r="M175" s="150"/>
      <c r="N175" s="150"/>
      <c r="O175" s="151"/>
      <c r="Q175" s="148"/>
      <c r="R175" s="148"/>
      <c r="S175" s="148"/>
    </row>
    <row r="176" spans="1:19" ht="17.25" thickBot="1">
      <c r="A176" s="122" t="s">
        <v>35</v>
      </c>
      <c r="B176" s="149" t="s">
        <v>36</v>
      </c>
      <c r="C176" s="151"/>
      <c r="D176" s="149" t="s">
        <v>37</v>
      </c>
      <c r="E176" s="150"/>
      <c r="F176" s="151"/>
      <c r="G176" s="152">
        <f>_xlfn.IFNA(VLOOKUP(B176, 현재가테이블!$B$2:$D$200, 2, FALSE), "-")</f>
        <v>68203000</v>
      </c>
      <c r="H176" s="153"/>
      <c r="I176" s="154"/>
      <c r="J176" s="149" t="s">
        <v>38</v>
      </c>
      <c r="K176" s="150"/>
      <c r="L176" s="151"/>
      <c r="M176" s="155">
        <f>_xlfn.IFNA(VLOOKUP(B176, 현재가테이블!$B$2:$D$200, 3, FALSE), "-")</f>
        <v>-1.22521687E-2</v>
      </c>
      <c r="N176" s="156"/>
      <c r="O176" s="157"/>
      <c r="Q176" s="148"/>
      <c r="R176" s="148"/>
      <c r="S176" s="148"/>
    </row>
    <row r="177" spans="1:19" ht="17.25" thickBot="1">
      <c r="A177" s="158" t="s">
        <v>39</v>
      </c>
      <c r="B177" s="159" t="str">
        <f>TEXT($G$1, "[$-ko-KR]yyyy-mm-dd(ddd) ") &amp; "오전 00:00"</f>
        <v>2021-05-02(일) 오전 00:00</v>
      </c>
      <c r="C177" s="160"/>
      <c r="D177" s="161" t="str">
        <f>TEXT($G$1, "[$-ko-KR]yyyy-mm-dd(ddd) ") &amp; "오후 14:00"</f>
        <v>2021-05-02(일) 오후 14:00</v>
      </c>
      <c r="E177" s="162"/>
      <c r="F177" s="163"/>
      <c r="G177" s="161" t="str">
        <f>TEXT($G$1, "[$-ko-KR]yyyy-mm-dd(ddd) ") &amp; "오후 19:00"</f>
        <v>2021-05-02(일) 오후 19:00</v>
      </c>
      <c r="H177" s="162"/>
      <c r="I177" s="163"/>
      <c r="J177" s="164" t="str">
        <f>TEXT($G$1, "[$-ko-KR]yyyy-mm-dd(ddd) ") &amp; "오후 21:00"</f>
        <v>2021-05-02(일) 오후 21:00</v>
      </c>
      <c r="K177" s="164"/>
      <c r="L177" s="164"/>
      <c r="M177" s="161" t="str">
        <f>TEXT($G$1+1, "[$-ko-KR]yyyy-mm-dd(ddd) ") &amp; "오전 00:00"</f>
        <v>2021-05-03(월) 오전 00:00</v>
      </c>
      <c r="N177" s="162"/>
      <c r="O177" s="163"/>
      <c r="Q177" s="148"/>
      <c r="R177" s="148"/>
      <c r="S177" s="148"/>
    </row>
    <row r="178" spans="1:19" ht="17.25" thickBot="1">
      <c r="A178" s="158"/>
      <c r="B178" s="2" t="s">
        <v>37</v>
      </c>
      <c r="C178" s="10" t="s">
        <v>38</v>
      </c>
      <c r="D178" s="2" t="s">
        <v>37</v>
      </c>
      <c r="E178" s="10" t="s">
        <v>40</v>
      </c>
      <c r="F178" s="11" t="s">
        <v>41</v>
      </c>
      <c r="G178" s="2" t="s">
        <v>37</v>
      </c>
      <c r="H178" s="10" t="s">
        <v>40</v>
      </c>
      <c r="I178" s="11" t="s">
        <v>41</v>
      </c>
      <c r="J178" s="10" t="s">
        <v>37</v>
      </c>
      <c r="K178" s="10" t="s">
        <v>40</v>
      </c>
      <c r="L178" s="126" t="s">
        <v>41</v>
      </c>
      <c r="M178" s="2" t="s">
        <v>37</v>
      </c>
      <c r="N178" s="10" t="s">
        <v>40</v>
      </c>
      <c r="O178" s="72" t="s">
        <v>41</v>
      </c>
      <c r="Q178" s="127"/>
      <c r="R178" s="127"/>
      <c r="S178" s="127"/>
    </row>
    <row r="179" spans="1:19" ht="17.25" thickBot="1">
      <c r="A179" s="30" t="s">
        <v>264</v>
      </c>
      <c r="B179" s="31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7">
        <f>IF(ISNUMBER(D179), $B199 * E179, "")</f>
        <v>-3278.688524590164</v>
      </c>
      <c r="G179" s="13"/>
      <c r="H179" s="14" t="str">
        <f>IF(ISNUMBER(G179), (G179 - $B179) / $B179, "")</f>
        <v/>
      </c>
      <c r="I179" s="17" t="str">
        <f>IF(ISNUMBER(G179), $B199 * H179, "")</f>
        <v/>
      </c>
      <c r="J179" s="13"/>
      <c r="K179" s="14" t="str">
        <f>IF(ISNUMBER(J179), (J179 - $B179) / $B179, "")</f>
        <v/>
      </c>
      <c r="L179" s="17" t="str">
        <f>IF(ISNUMBER(J179), $B199 * K179, "")</f>
        <v/>
      </c>
      <c r="M179" s="13"/>
      <c r="N179" s="14" t="str">
        <f>IF(ISNUMBER(M179), (M179 - $B179) / $B179, "")</f>
        <v/>
      </c>
      <c r="O179" s="17" t="str">
        <f>IF(ISNUMBER(M179), $B199 * N179, "")</f>
        <v/>
      </c>
      <c r="Q179" s="148"/>
      <c r="R179" s="148"/>
      <c r="S179" s="148"/>
    </row>
    <row r="180" spans="1:19" ht="17.25" thickBot="1">
      <c r="A180" s="32" t="s">
        <v>196</v>
      </c>
      <c r="B180" s="33">
        <v>21.9</v>
      </c>
      <c r="C180" s="16">
        <v>-2.6666666700000001E-2</v>
      </c>
      <c r="D180" s="15">
        <v>21.7</v>
      </c>
      <c r="E180" s="16">
        <f t="shared" ref="E180:E183" si="94">IF(ISNUMBER(D180), (D180 - $B180) / $B180, "")</f>
        <v>-9.1324200913241692E-3</v>
      </c>
      <c r="F180" s="19">
        <f>IF(ISNUMBER(D180), $B199 * E180, "")</f>
        <v>-2739.7260273972506</v>
      </c>
      <c r="G180" s="15"/>
      <c r="H180" s="16" t="str">
        <f t="shared" ref="H180:H183" si="95">IF(ISNUMBER(G180), (G180 - $B180) / $B180, "")</f>
        <v/>
      </c>
      <c r="I180" s="19" t="str">
        <f>IF(ISNUMBER(G180), $B199 * H180, "")</f>
        <v/>
      </c>
      <c r="J180" s="15"/>
      <c r="K180" s="16" t="str">
        <f t="shared" ref="K180:K183" si="96">IF(ISNUMBER(J180), (J180 - $B180) / $B180, "")</f>
        <v/>
      </c>
      <c r="L180" s="19" t="str">
        <f>IF(ISNUMBER(J180), $B199 * K180, "")</f>
        <v/>
      </c>
      <c r="M180" s="15"/>
      <c r="N180" s="16" t="str">
        <f t="shared" ref="N180:N183" si="97">IF(ISNUMBER(M180), (M180 - $B180) / $B180, "")</f>
        <v/>
      </c>
      <c r="O180" s="19" t="str">
        <f>IF(ISNUMBER(M180), $B199 * N180, "")</f>
        <v/>
      </c>
      <c r="Q180" s="148"/>
      <c r="R180" s="148"/>
      <c r="S180" s="148"/>
    </row>
    <row r="181" spans="1:19" ht="17.25" thickBot="1">
      <c r="A181" s="32" t="s">
        <v>210</v>
      </c>
      <c r="B181" s="33">
        <v>214</v>
      </c>
      <c r="C181" s="16">
        <v>-2.7272727300000001E-2</v>
      </c>
      <c r="D181" s="15">
        <v>213</v>
      </c>
      <c r="E181" s="16">
        <f t="shared" si="94"/>
        <v>-4.6728971962616819E-3</v>
      </c>
      <c r="F181" s="19">
        <f>IF(ISNUMBER(D181), $B199 * E181, "")</f>
        <v>-1401.8691588785045</v>
      </c>
      <c r="G181" s="15"/>
      <c r="H181" s="16" t="str">
        <f t="shared" si="95"/>
        <v/>
      </c>
      <c r="I181" s="19" t="str">
        <f>IF(ISNUMBER(G181), $B199 * H181, "")</f>
        <v/>
      </c>
      <c r="J181" s="15"/>
      <c r="K181" s="16" t="str">
        <f t="shared" si="96"/>
        <v/>
      </c>
      <c r="L181" s="19" t="str">
        <f>IF(ISNUMBER(J181), $B199 * K181, "")</f>
        <v/>
      </c>
      <c r="M181" s="15"/>
      <c r="N181" s="16" t="str">
        <f t="shared" si="97"/>
        <v/>
      </c>
      <c r="O181" s="19" t="str">
        <f>IF(ISNUMBER(M181), $B199 * N181, "")</f>
        <v/>
      </c>
      <c r="Q181" s="127"/>
      <c r="R181" s="127"/>
      <c r="S181" s="127"/>
    </row>
    <row r="182" spans="1:19" ht="17.25" thickBot="1">
      <c r="A182" s="32" t="s">
        <v>184</v>
      </c>
      <c r="B182" s="33">
        <v>2585</v>
      </c>
      <c r="C182" s="16">
        <v>-2.81954887E-2</v>
      </c>
      <c r="D182" s="15">
        <v>2600</v>
      </c>
      <c r="E182" s="16">
        <f t="shared" si="94"/>
        <v>5.8027079303675051E-3</v>
      </c>
      <c r="F182" s="19">
        <f>IF(ISNUMBER(D182), $B199 * E182, "")</f>
        <v>1740.8123791102514</v>
      </c>
      <c r="G182" s="15"/>
      <c r="H182" s="16" t="str">
        <f t="shared" si="95"/>
        <v/>
      </c>
      <c r="I182" s="19" t="str">
        <f>IF(ISNUMBER(G182), $B199 * H182, "")</f>
        <v/>
      </c>
      <c r="J182" s="15"/>
      <c r="K182" s="16" t="str">
        <f t="shared" si="96"/>
        <v/>
      </c>
      <c r="L182" s="19" t="str">
        <f>IF(ISNUMBER(J182), $B199 * K182, "")</f>
        <v/>
      </c>
      <c r="M182" s="15"/>
      <c r="N182" s="16" t="str">
        <f t="shared" si="97"/>
        <v/>
      </c>
      <c r="O182" s="19" t="str">
        <f>IF(ISNUMBER(M182), $B199 * N182, "")</f>
        <v/>
      </c>
      <c r="Q182" s="127"/>
      <c r="R182" s="127"/>
      <c r="S182" s="127"/>
    </row>
    <row r="183" spans="1:19" ht="17.25" thickBot="1">
      <c r="A183" s="34" t="s">
        <v>88</v>
      </c>
      <c r="B183" s="35">
        <v>653</v>
      </c>
      <c r="C183" s="22">
        <v>-2.82738095E-2</v>
      </c>
      <c r="D183" s="21">
        <v>635</v>
      </c>
      <c r="E183" s="22">
        <f t="shared" si="94"/>
        <v>-2.7565084226646247E-2</v>
      </c>
      <c r="F183" s="23">
        <f>IF(ISNUMBER(D183), $B199 * E183, "")</f>
        <v>-8269.5252679938749</v>
      </c>
      <c r="G183" s="21"/>
      <c r="H183" s="22" t="str">
        <f t="shared" si="95"/>
        <v/>
      </c>
      <c r="I183" s="23" t="str">
        <f>IF(ISNUMBER(G183), $B199 * H183, "")</f>
        <v/>
      </c>
      <c r="J183" s="21"/>
      <c r="K183" s="22" t="str">
        <f t="shared" si="96"/>
        <v/>
      </c>
      <c r="L183" s="23" t="str">
        <f>IF(ISNUMBER(J183), $B199 * K183, "")</f>
        <v/>
      </c>
      <c r="M183" s="21"/>
      <c r="N183" s="22" t="str">
        <f t="shared" si="97"/>
        <v/>
      </c>
      <c r="O183" s="23" t="str">
        <f>IF(ISNUMBER(M183), $B199 * N183, "")</f>
        <v/>
      </c>
      <c r="Q183" s="127"/>
      <c r="R183" s="127"/>
      <c r="S183" s="127"/>
    </row>
    <row r="184" spans="1:19" ht="17.25" thickBot="1">
      <c r="A184" s="32" t="s">
        <v>61</v>
      </c>
      <c r="B184" s="36">
        <v>1710</v>
      </c>
      <c r="C184" s="37">
        <v>-2.84090909E-2</v>
      </c>
      <c r="D184" s="15">
        <v>1695</v>
      </c>
      <c r="E184" s="37">
        <f>IF(ISNUMBER(D184), (D184 - $B184) / $B184, "")</f>
        <v>-8.771929824561403E-3</v>
      </c>
      <c r="F184" s="19">
        <f>IF(ISNUMBER(D184), $B199 * E184, "")</f>
        <v>-2631.5789473684208</v>
      </c>
      <c r="G184" s="15"/>
      <c r="H184" s="37" t="str">
        <f>IF(ISNUMBER(G184), (G184 - $B184) / $B184, "")</f>
        <v/>
      </c>
      <c r="I184" s="19" t="str">
        <f>IF(ISNUMBER(G184), $B199 * H184, "")</f>
        <v/>
      </c>
      <c r="J184" s="15"/>
      <c r="K184" s="37" t="str">
        <f>IF(ISNUMBER(J184), (J184 - $B184) / $B184, "")</f>
        <v/>
      </c>
      <c r="L184" s="19" t="str">
        <f>IF(ISNUMBER(J184), $B199 * K184, "")</f>
        <v/>
      </c>
      <c r="M184" s="15"/>
      <c r="N184" s="37" t="str">
        <f>IF(ISNUMBER(M184), (M184 - $B184) / $B184, "")</f>
        <v/>
      </c>
      <c r="O184" s="19" t="str">
        <f>IF(ISNUMBER(M184), $B199 * N184, "")</f>
        <v/>
      </c>
      <c r="Q184" s="127"/>
      <c r="R184" s="127"/>
      <c r="S184" s="127"/>
    </row>
    <row r="185" spans="1:19" ht="17.25" thickBot="1">
      <c r="A185" s="32" t="s">
        <v>186</v>
      </c>
      <c r="B185" s="33">
        <v>26.3</v>
      </c>
      <c r="C185" s="16">
        <v>-2.9520295200000001E-2</v>
      </c>
      <c r="D185" s="15">
        <v>27.2</v>
      </c>
      <c r="E185" s="16">
        <f t="shared" ref="E185:E188" si="98">IF(ISNUMBER(D185), (D185 - $B185) / $B185, "")</f>
        <v>3.4220532319391581E-2</v>
      </c>
      <c r="F185" s="19">
        <f>IF(ISNUMBER(D185), $B199 * E185, "")</f>
        <v>10266.159695817474</v>
      </c>
      <c r="G185" s="15"/>
      <c r="H185" s="16" t="str">
        <f t="shared" ref="H185:H188" si="99">IF(ISNUMBER(G185), (G185 - $B185) / $B185, "")</f>
        <v/>
      </c>
      <c r="I185" s="19" t="str">
        <f>IF(ISNUMBER(G185), $B199 * H185, "")</f>
        <v/>
      </c>
      <c r="J185" s="15"/>
      <c r="K185" s="16" t="str">
        <f t="shared" ref="K185:K188" si="100">IF(ISNUMBER(J185), (J185 - $B185) / $B185, "")</f>
        <v/>
      </c>
      <c r="L185" s="19" t="str">
        <f>IF(ISNUMBER(J185), $B199 * K185, "")</f>
        <v/>
      </c>
      <c r="M185" s="15"/>
      <c r="N185" s="16" t="str">
        <f t="shared" ref="N185:N188" si="101">IF(ISNUMBER(M185), (M185 - $B185) / $B185, "")</f>
        <v/>
      </c>
      <c r="O185" s="19" t="str">
        <f>IF(ISNUMBER(M185), $B199 * N185, "")</f>
        <v/>
      </c>
      <c r="Q185" s="127"/>
      <c r="R185" s="127"/>
      <c r="S185" s="127"/>
    </row>
    <row r="186" spans="1:19" ht="17.25" thickBot="1">
      <c r="A186" s="32" t="s">
        <v>252</v>
      </c>
      <c r="B186" s="33">
        <v>589</v>
      </c>
      <c r="C186" s="16">
        <v>-2.9654036200000001E-2</v>
      </c>
      <c r="D186" s="15">
        <v>581</v>
      </c>
      <c r="E186" s="16">
        <f t="shared" si="98"/>
        <v>-1.3582342954159592E-2</v>
      </c>
      <c r="F186" s="19">
        <f>IF(ISNUMBER(D186), $B199 * E186, "")</f>
        <v>-4074.7028862478778</v>
      </c>
      <c r="G186" s="15"/>
      <c r="H186" s="16" t="str">
        <f t="shared" si="99"/>
        <v/>
      </c>
      <c r="I186" s="19" t="str">
        <f>IF(ISNUMBER(G186), $B199 * H186, "")</f>
        <v/>
      </c>
      <c r="J186" s="15"/>
      <c r="K186" s="16" t="str">
        <f t="shared" si="100"/>
        <v/>
      </c>
      <c r="L186" s="19" t="str">
        <f>IF(ISNUMBER(J186), $B199 * K186, "")</f>
        <v/>
      </c>
      <c r="M186" s="15"/>
      <c r="N186" s="16" t="str">
        <f t="shared" si="101"/>
        <v/>
      </c>
      <c r="O186" s="19" t="str">
        <f>IF(ISNUMBER(M186), $B199 * N186, "")</f>
        <v/>
      </c>
      <c r="Q186" s="127"/>
      <c r="R186" s="127"/>
      <c r="S186" s="127"/>
    </row>
    <row r="187" spans="1:19" ht="17.25" thickBot="1">
      <c r="A187" s="32" t="s">
        <v>172</v>
      </c>
      <c r="B187" s="33">
        <v>28.2</v>
      </c>
      <c r="C187" s="16">
        <v>-3.0927835099999999E-2</v>
      </c>
      <c r="D187" s="15">
        <v>28.1</v>
      </c>
      <c r="E187" s="16">
        <f t="shared" si="98"/>
        <v>-3.5460992907800663E-3</v>
      </c>
      <c r="F187" s="19">
        <f>IF(ISNUMBER(D187), $B199 * E187, "")</f>
        <v>-1063.8297872340199</v>
      </c>
      <c r="G187" s="15"/>
      <c r="H187" s="16" t="str">
        <f t="shared" si="99"/>
        <v/>
      </c>
      <c r="I187" s="19" t="str">
        <f>IF(ISNUMBER(G187), $B199 * H187, "")</f>
        <v/>
      </c>
      <c r="J187" s="15"/>
      <c r="K187" s="16" t="str">
        <f t="shared" si="100"/>
        <v/>
      </c>
      <c r="L187" s="19" t="str">
        <f>IF(ISNUMBER(J187), $B199 * K187, "")</f>
        <v/>
      </c>
      <c r="M187" s="15"/>
      <c r="N187" s="16" t="str">
        <f t="shared" si="101"/>
        <v/>
      </c>
      <c r="O187" s="19" t="str">
        <f>IF(ISNUMBER(M187), $B199 * N187, "")</f>
        <v/>
      </c>
      <c r="Q187" s="38"/>
      <c r="R187" s="38"/>
    </row>
    <row r="188" spans="1:19" ht="17.25" thickBot="1">
      <c r="A188" s="34" t="s">
        <v>234</v>
      </c>
      <c r="B188" s="35">
        <v>1400</v>
      </c>
      <c r="C188" s="22">
        <v>-3.1141868499999999E-2</v>
      </c>
      <c r="D188" s="21">
        <v>1500</v>
      </c>
      <c r="E188" s="22">
        <f t="shared" si="98"/>
        <v>7.1428571428571425E-2</v>
      </c>
      <c r="F188" s="19">
        <f>IF(ISNUMBER(D188), $B199 * E188, "")</f>
        <v>21428.571428571428</v>
      </c>
      <c r="G188" s="21"/>
      <c r="H188" s="22" t="str">
        <f t="shared" si="99"/>
        <v/>
      </c>
      <c r="I188" s="19" t="str">
        <f>IF(ISNUMBER(G188), $B199 * H188, "")</f>
        <v/>
      </c>
      <c r="J188" s="21"/>
      <c r="K188" s="22" t="str">
        <f t="shared" si="100"/>
        <v/>
      </c>
      <c r="L188" s="19" t="str">
        <f>IF(ISNUMBER(J188), $B199 * K188, "")</f>
        <v/>
      </c>
      <c r="M188" s="21"/>
      <c r="N188" s="22" t="str">
        <f t="shared" si="101"/>
        <v/>
      </c>
      <c r="O188" s="19" t="str">
        <f>IF(ISNUMBER(M188), $B199 * N188, "")</f>
        <v/>
      </c>
      <c r="Q188" s="139"/>
      <c r="R188" s="140"/>
      <c r="S188" s="141"/>
    </row>
    <row r="189" spans="1:19">
      <c r="A189" s="30" t="s">
        <v>204</v>
      </c>
      <c r="B189" s="31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7">
        <f>IF(ISNUMBER(D189), $B199 * E189, "")</f>
        <v>-4738.400789733465</v>
      </c>
      <c r="G189" s="13"/>
      <c r="H189" s="14" t="str">
        <f>IF(ISNUMBER(G189), (G189 - $B189) / $B189, "")</f>
        <v/>
      </c>
      <c r="I189" s="17" t="str">
        <f>IF(ISNUMBER(G189), $B199 * H189, "")</f>
        <v/>
      </c>
      <c r="J189" s="13"/>
      <c r="K189" s="14" t="str">
        <f>IF(ISNUMBER(J189), (J189 - $B189) / $B189, "")</f>
        <v/>
      </c>
      <c r="L189" s="17" t="str">
        <f>IF(ISNUMBER(J189), $B199 * K189, "")</f>
        <v/>
      </c>
      <c r="M189" s="13"/>
      <c r="N189" s="14" t="str">
        <f>IF(ISNUMBER(M189), (M189 - $B189) / $B189, "")</f>
        <v/>
      </c>
      <c r="O189" s="17" t="str">
        <f>IF(ISNUMBER(M189), $B199 * N189, "")</f>
        <v/>
      </c>
      <c r="Q189" s="142"/>
      <c r="R189" s="143"/>
      <c r="S189" s="144"/>
    </row>
    <row r="190" spans="1:19" ht="17.25" thickBot="1">
      <c r="A190" s="32" t="s">
        <v>284</v>
      </c>
      <c r="B190" s="33">
        <v>470</v>
      </c>
      <c r="C190" s="16">
        <v>-3.2921810699999998E-2</v>
      </c>
      <c r="D190" s="15">
        <v>462</v>
      </c>
      <c r="E190" s="16">
        <f t="shared" ref="E190:E193" si="102">IF(ISNUMBER(D190), (D190 - $B190) / $B190, "")</f>
        <v>-1.7021276595744681E-2</v>
      </c>
      <c r="F190" s="19">
        <f>IF(ISNUMBER(D190), $B199 * E190, "")</f>
        <v>-5106.3829787234044</v>
      </c>
      <c r="G190" s="15"/>
      <c r="H190" s="16" t="str">
        <f t="shared" ref="H190:H193" si="103">IF(ISNUMBER(G190), (G190 - $B190) / $B190, "")</f>
        <v/>
      </c>
      <c r="I190" s="19" t="str">
        <f>IF(ISNUMBER(G190), $B199 * H190, "")</f>
        <v/>
      </c>
      <c r="J190" s="15"/>
      <c r="K190" s="16" t="str">
        <f t="shared" ref="K190:K193" si="104">IF(ISNUMBER(J190), (J190 - $B190) / $B190, "")</f>
        <v/>
      </c>
      <c r="L190" s="19" t="str">
        <f>IF(ISNUMBER(J190), $B199 * K190, "")</f>
        <v/>
      </c>
      <c r="M190" s="15"/>
      <c r="N190" s="16" t="str">
        <f t="shared" ref="N190:N193" si="105">IF(ISNUMBER(M190), (M190 - $B190) / $B190, "")</f>
        <v/>
      </c>
      <c r="O190" s="19" t="str">
        <f>IF(ISNUMBER(M190), $B199 * N190, "")</f>
        <v/>
      </c>
      <c r="Q190" s="145"/>
      <c r="R190" s="146"/>
      <c r="S190" s="147"/>
    </row>
    <row r="191" spans="1:19" ht="17.25" thickBot="1">
      <c r="A191" s="32" t="s">
        <v>218</v>
      </c>
      <c r="B191" s="33">
        <v>32.1</v>
      </c>
      <c r="C191" s="16">
        <v>-3.3132530100000002E-2</v>
      </c>
      <c r="D191" s="15">
        <v>31.5</v>
      </c>
      <c r="E191" s="16">
        <f t="shared" si="102"/>
        <v>-1.8691588785046773E-2</v>
      </c>
      <c r="F191" s="19">
        <f>IF(ISNUMBER(D191), $B199 * E191, "")</f>
        <v>-5607.4766355140318</v>
      </c>
      <c r="G191" s="15"/>
      <c r="H191" s="16" t="str">
        <f t="shared" si="103"/>
        <v/>
      </c>
      <c r="I191" s="19" t="str">
        <f>IF(ISNUMBER(G191), $B199 * H191, "")</f>
        <v/>
      </c>
      <c r="J191" s="15"/>
      <c r="K191" s="16" t="str">
        <f t="shared" si="104"/>
        <v/>
      </c>
      <c r="L191" s="19" t="str">
        <f>IF(ISNUMBER(J191), $B199 * K191, "")</f>
        <v/>
      </c>
      <c r="M191" s="15"/>
      <c r="N191" s="16" t="str">
        <f t="shared" si="105"/>
        <v/>
      </c>
      <c r="O191" s="19" t="str">
        <f>IF(ISNUMBER(M191), $B199 * N191, "")</f>
        <v/>
      </c>
      <c r="Q191" s="127"/>
      <c r="R191" s="127"/>
      <c r="S191" s="127"/>
    </row>
    <row r="192" spans="1:19" ht="17.25" thickBot="1">
      <c r="A192" s="32" t="s">
        <v>82</v>
      </c>
      <c r="B192" s="33">
        <v>1585</v>
      </c>
      <c r="C192" s="16">
        <v>-3.3536585399999999E-2</v>
      </c>
      <c r="D192" s="15">
        <v>1560</v>
      </c>
      <c r="E192" s="16">
        <f t="shared" si="102"/>
        <v>-1.5772870662460567E-2</v>
      </c>
      <c r="F192" s="19">
        <f>IF(ISNUMBER(D192), $B199 * E192, "")</f>
        <v>-4731.8611987381701</v>
      </c>
      <c r="G192" s="15"/>
      <c r="H192" s="16" t="str">
        <f t="shared" si="103"/>
        <v/>
      </c>
      <c r="I192" s="19" t="str">
        <f>IF(ISNUMBER(G192), $B199 * H192, "")</f>
        <v/>
      </c>
      <c r="J192" s="15"/>
      <c r="K192" s="16" t="str">
        <f t="shared" si="104"/>
        <v/>
      </c>
      <c r="L192" s="19" t="str">
        <f>IF(ISNUMBER(J192), $B199 * K192, "")</f>
        <v/>
      </c>
      <c r="M192" s="15"/>
      <c r="N192" s="16" t="str">
        <f t="shared" si="105"/>
        <v/>
      </c>
      <c r="O192" s="19" t="str">
        <f>IF(ISNUMBER(M192), $B199 * N192, "")</f>
        <v/>
      </c>
      <c r="Q192" s="148"/>
      <c r="R192" s="148"/>
      <c r="S192" s="148"/>
    </row>
    <row r="193" spans="1:19" ht="17.25" thickBot="1">
      <c r="A193" s="34" t="s">
        <v>254</v>
      </c>
      <c r="B193" s="35">
        <v>92.4</v>
      </c>
      <c r="C193" s="22">
        <v>-3.54906054E-2</v>
      </c>
      <c r="D193" s="21">
        <v>93.7</v>
      </c>
      <c r="E193" s="22">
        <f t="shared" si="102"/>
        <v>1.4069264069264037E-2</v>
      </c>
      <c r="F193" s="23">
        <f>IF(ISNUMBER(D193), $B199 * E193, "")</f>
        <v>4220.7792207792108</v>
      </c>
      <c r="G193" s="21"/>
      <c r="H193" s="22" t="str">
        <f t="shared" si="103"/>
        <v/>
      </c>
      <c r="I193" s="23" t="str">
        <f>IF(ISNUMBER(G193), $B199 * H193, "")</f>
        <v/>
      </c>
      <c r="J193" s="21"/>
      <c r="K193" s="22" t="str">
        <f t="shared" si="104"/>
        <v/>
      </c>
      <c r="L193" s="23" t="str">
        <f>IF(ISNUMBER(J193), $B199 * K193, "")</f>
        <v/>
      </c>
      <c r="M193" s="21"/>
      <c r="N193" s="22" t="str">
        <f t="shared" si="105"/>
        <v/>
      </c>
      <c r="O193" s="23" t="str">
        <f>IF(ISNUMBER(M193), $B199 * N193, "")</f>
        <v/>
      </c>
      <c r="Q193" s="148"/>
      <c r="R193" s="148"/>
      <c r="S193" s="148"/>
    </row>
    <row r="194" spans="1:19" ht="17.25" thickBot="1">
      <c r="A194" s="32" t="s">
        <v>190</v>
      </c>
      <c r="B194" s="36">
        <v>78410</v>
      </c>
      <c r="C194" s="37">
        <v>-4.1325345399999998E-2</v>
      </c>
      <c r="D194" s="15">
        <v>76720</v>
      </c>
      <c r="E194" s="37">
        <f>IF(ISNUMBER(D194), (D194 - $B194) / $B194, "")</f>
        <v>-2.1553373294222675E-2</v>
      </c>
      <c r="F194" s="19">
        <f>IF(ISNUMBER(D194), $B199 * E194, "")</f>
        <v>-6466.0119882668023</v>
      </c>
      <c r="G194" s="15"/>
      <c r="H194" s="37" t="str">
        <f>IF(ISNUMBER(G194), (G194 - $B194) / $B194, "")</f>
        <v/>
      </c>
      <c r="I194" s="19" t="str">
        <f>IF(ISNUMBER(G194), $B199 * H194, "")</f>
        <v/>
      </c>
      <c r="J194" s="15"/>
      <c r="K194" s="37" t="str">
        <f>IF(ISNUMBER(J194), (J194 - $B194) / $B194, "")</f>
        <v/>
      </c>
      <c r="L194" s="19" t="str">
        <f>IF(ISNUMBER(J194), $B199 * K194, "")</f>
        <v/>
      </c>
      <c r="M194" s="15"/>
      <c r="N194" s="37" t="str">
        <f>IF(ISNUMBER(M194), (M194 - $B194) / $B194, "")</f>
        <v/>
      </c>
      <c r="O194" s="19" t="str">
        <f>IF(ISNUMBER(M194), $B199 * N194, "")</f>
        <v/>
      </c>
      <c r="Q194" s="127"/>
      <c r="R194" s="127"/>
      <c r="S194" s="127"/>
    </row>
    <row r="195" spans="1:19" ht="17.25" thickBot="1">
      <c r="A195" s="32" t="s">
        <v>67</v>
      </c>
      <c r="B195" s="33">
        <v>10040</v>
      </c>
      <c r="C195" s="16">
        <v>-4.38095238E-2</v>
      </c>
      <c r="D195" s="15">
        <v>9735</v>
      </c>
      <c r="E195" s="16">
        <f t="shared" ref="E195:E198" si="106">IF(ISNUMBER(D195), (D195 - $B195) / $B195, "")</f>
        <v>-3.0378486055776893E-2</v>
      </c>
      <c r="F195" s="19">
        <f>IF(ISNUMBER(D195), $B199 * E195, "")</f>
        <v>-9113.5458167330671</v>
      </c>
      <c r="G195" s="15"/>
      <c r="H195" s="16" t="str">
        <f t="shared" ref="H195:H198" si="107">IF(ISNUMBER(G195), (G195 - $B195) / $B195, "")</f>
        <v/>
      </c>
      <c r="I195" s="19" t="str">
        <f>IF(ISNUMBER(G195), $B199 * H195, "")</f>
        <v/>
      </c>
      <c r="J195" s="15"/>
      <c r="K195" s="16" t="str">
        <f t="shared" ref="K195:K198" si="108">IF(ISNUMBER(J195), (J195 - $B195) / $B195, "")</f>
        <v/>
      </c>
      <c r="L195" s="19" t="str">
        <f>IF(ISNUMBER(J195), $B199 * K195, "")</f>
        <v/>
      </c>
      <c r="M195" s="15"/>
      <c r="N195" s="16" t="str">
        <f t="shared" ref="N195:N198" si="109">IF(ISNUMBER(M195), (M195 - $B195) / $B195, "")</f>
        <v/>
      </c>
      <c r="O195" s="19" t="str">
        <f>IF(ISNUMBER(M195), $B199 * N195, "")</f>
        <v/>
      </c>
      <c r="Q195" s="127"/>
      <c r="R195" s="127"/>
      <c r="S195" s="127"/>
    </row>
    <row r="196" spans="1:19" ht="17.25" thickBot="1">
      <c r="A196" s="32" t="s">
        <v>158</v>
      </c>
      <c r="B196" s="33">
        <v>11480</v>
      </c>
      <c r="C196" s="16">
        <v>-4.5719035700000001E-2</v>
      </c>
      <c r="D196" s="15">
        <v>11320</v>
      </c>
      <c r="E196" s="16">
        <f t="shared" si="106"/>
        <v>-1.3937282229965157E-2</v>
      </c>
      <c r="F196" s="19">
        <f>IF(ISNUMBER(D196), $B199 * E196, "")</f>
        <v>-4181.1846689895474</v>
      </c>
      <c r="G196" s="15"/>
      <c r="H196" s="16" t="str">
        <f t="shared" si="107"/>
        <v/>
      </c>
      <c r="I196" s="19" t="str">
        <f>IF(ISNUMBER(G196), $B199 * H196, "")</f>
        <v/>
      </c>
      <c r="J196" s="15"/>
      <c r="K196" s="16" t="str">
        <f t="shared" si="108"/>
        <v/>
      </c>
      <c r="L196" s="19" t="str">
        <f>IF(ISNUMBER(J196), $B199 * K196, "")</f>
        <v/>
      </c>
      <c r="M196" s="15"/>
      <c r="N196" s="16" t="str">
        <f t="shared" si="109"/>
        <v/>
      </c>
      <c r="O196" s="19" t="str">
        <f>IF(ISNUMBER(M196), $B199 * N196, "")</f>
        <v/>
      </c>
      <c r="Q196" s="127"/>
      <c r="R196" s="127"/>
      <c r="S196" s="127"/>
    </row>
    <row r="197" spans="1:19">
      <c r="A197" s="32" t="s">
        <v>65</v>
      </c>
      <c r="B197" s="33">
        <v>77.5</v>
      </c>
      <c r="C197" s="16">
        <v>-4.6740467399999999E-2</v>
      </c>
      <c r="D197" s="15">
        <v>76.7</v>
      </c>
      <c r="E197" s="16">
        <f t="shared" si="106"/>
        <v>-1.0322580645161254E-2</v>
      </c>
      <c r="F197" s="19">
        <f>IF(ISNUMBER(D197), $B199 * E197, "")</f>
        <v>-3096.7741935483764</v>
      </c>
      <c r="G197" s="15"/>
      <c r="H197" s="16" t="str">
        <f t="shared" si="107"/>
        <v/>
      </c>
      <c r="I197" s="19" t="str">
        <f>IF(ISNUMBER(G197), $B199 * H197, "")</f>
        <v/>
      </c>
      <c r="J197" s="15"/>
      <c r="K197" s="16" t="str">
        <f t="shared" si="108"/>
        <v/>
      </c>
      <c r="L197" s="19" t="str">
        <f>IF(ISNUMBER(J197), $B199 * K197, "")</f>
        <v/>
      </c>
      <c r="M197" s="15"/>
      <c r="N197" s="16" t="str">
        <f t="shared" si="109"/>
        <v/>
      </c>
      <c r="O197" s="19" t="str">
        <f>IF(ISNUMBER(M197), $B199 * N197, "")</f>
        <v/>
      </c>
      <c r="Q197" s="128"/>
      <c r="R197" s="129"/>
      <c r="S197" s="130"/>
    </row>
    <row r="198" spans="1:19" ht="17.25" thickBot="1">
      <c r="A198" s="34" t="s">
        <v>126</v>
      </c>
      <c r="B198" s="35">
        <v>70.7</v>
      </c>
      <c r="C198" s="22">
        <v>-4.9731182800000003E-2</v>
      </c>
      <c r="D198" s="21">
        <v>68</v>
      </c>
      <c r="E198" s="22">
        <f t="shared" si="106"/>
        <v>-3.8189533239038231E-2</v>
      </c>
      <c r="F198" s="19">
        <f>IF(ISNUMBER(D198), $B199 * E198, "")</f>
        <v>-11456.85997171147</v>
      </c>
      <c r="G198" s="21"/>
      <c r="H198" s="22" t="str">
        <f t="shared" si="107"/>
        <v/>
      </c>
      <c r="I198" s="19" t="str">
        <f>IF(ISNUMBER(G198), $B199 * H198, "")</f>
        <v/>
      </c>
      <c r="J198" s="21"/>
      <c r="K198" s="22" t="str">
        <f t="shared" si="108"/>
        <v/>
      </c>
      <c r="L198" s="19" t="str">
        <f>IF(ISNUMBER(J198), $B199 * K198, "")</f>
        <v/>
      </c>
      <c r="M198" s="21"/>
      <c r="N198" s="22" t="str">
        <f t="shared" si="109"/>
        <v/>
      </c>
      <c r="O198" s="19" t="str">
        <f>IF(ISNUMBER(M198), $B199 * N198, "")</f>
        <v/>
      </c>
      <c r="Q198" s="131"/>
      <c r="R198" s="132"/>
      <c r="S198" s="133"/>
    </row>
    <row r="199" spans="1:19" ht="17.25" thickBot="1">
      <c r="A199" s="27" t="s">
        <v>42</v>
      </c>
      <c r="B199" s="137">
        <f>$B$37</f>
        <v>300000</v>
      </c>
      <c r="C199" s="138"/>
      <c r="D199" s="27" t="s">
        <v>43</v>
      </c>
      <c r="E199" s="28">
        <f>IF(COUNT(E179:E198), SUM(E179:E198) / COUNT(E179:E198), 0)</f>
        <v>-6.7170160195650138E-3</v>
      </c>
      <c r="F199" s="29">
        <f>SUM(F179:F198)</f>
        <v>-40302.096117390087</v>
      </c>
      <c r="G199" s="27" t="s">
        <v>43</v>
      </c>
      <c r="H199" s="28">
        <f>IF(COUNT(H179:H198), SUM(H179:H198) / COUNT(H179:H198), 0)</f>
        <v>0</v>
      </c>
      <c r="I199" s="29">
        <f>SUM(I179:I198)</f>
        <v>0</v>
      </c>
      <c r="J199" s="27" t="s">
        <v>43</v>
      </c>
      <c r="K199" s="28">
        <f>IF(COUNT(K179:K198), SUM(K179:K198) / COUNT(K179:K198), 0)</f>
        <v>0</v>
      </c>
      <c r="L199" s="29">
        <f>SUM(L179:L198)</f>
        <v>0</v>
      </c>
      <c r="M199" s="27" t="s">
        <v>43</v>
      </c>
      <c r="N199" s="28">
        <f>IF(COUNT(N179:N198), SUM(N179:N198) / COUNT(N179:N198), 0)</f>
        <v>0</v>
      </c>
      <c r="O199" s="29">
        <f>SUM(O179:O198)</f>
        <v>0</v>
      </c>
      <c r="Q199" s="134"/>
      <c r="R199" s="135"/>
      <c r="S199" s="13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D15:F16 E37:F37">
    <cfRule type="expression" dxfId="113" priority="97">
      <formula>$E$37&gt;0</formula>
    </cfRule>
    <cfRule type="expression" dxfId="112" priority="98">
      <formula>$E$37&lt;0</formula>
    </cfRule>
  </conditionalFormatting>
  <conditionalFormatting sqref="G15:I16 H37:I37">
    <cfRule type="expression" dxfId="111" priority="95">
      <formula>$H$37&gt;0</formula>
    </cfRule>
    <cfRule type="expression" dxfId="110" priority="96">
      <formula>$H$37&lt;0</formula>
    </cfRule>
  </conditionalFormatting>
  <conditionalFormatting sqref="J15:L16 K37:L37">
    <cfRule type="expression" dxfId="109" priority="93">
      <formula>$K$37&gt;0</formula>
    </cfRule>
    <cfRule type="expression" dxfId="108" priority="94">
      <formula>$K$37&lt;0</formula>
    </cfRule>
  </conditionalFormatting>
  <conditionalFormatting sqref="M15:O16 N37:O37">
    <cfRule type="expression" dxfId="107" priority="91">
      <formula>$N$37&gt;0</formula>
    </cfRule>
    <cfRule type="expression" dxfId="106" priority="92">
      <formula>$N$37&lt;0</formula>
    </cfRule>
  </conditionalFormatting>
  <conditionalFormatting sqref="A44:O63 A17:O36">
    <cfRule type="expression" dxfId="105" priority="99">
      <formula>AND($N17 &gt; 0, ISNUMBER($N17))</formula>
    </cfRule>
    <cfRule type="expression" dxfId="104" priority="100">
      <formula>AND($N17 &lt; 0, ISNUMBER($N17))</formula>
    </cfRule>
    <cfRule type="expression" dxfId="103" priority="101">
      <formula>AND($K17 &gt; 0, ISNUMBER($K17))</formula>
    </cfRule>
    <cfRule type="expression" dxfId="102" priority="102">
      <formula>AND($K17 &lt; 0, ISNUMBER($K17))</formula>
    </cfRule>
    <cfRule type="expression" dxfId="101" priority="103">
      <formula>AND($H17 &gt; 0, ISNUMBER($H17))</formula>
    </cfRule>
    <cfRule type="expression" dxfId="100" priority="104">
      <formula>AND($H17 &lt; 0, ISNUMBER($H17))</formula>
    </cfRule>
    <cfRule type="expression" dxfId="99" priority="105">
      <formula>AND($E17 &gt; 0, ISNUMBER($E17))</formula>
    </cfRule>
    <cfRule type="expression" dxfId="98" priority="106">
      <formula>AND($E17 &lt; 0, ISNUMBER($E17))</formula>
    </cfRule>
  </conditionalFormatting>
  <conditionalFormatting sqref="D42:F43 E64:F64">
    <cfRule type="expression" dxfId="97" priority="89">
      <formula>$E$64&gt;0</formula>
    </cfRule>
    <cfRule type="expression" dxfId="96" priority="90">
      <formula>$E$64&lt;0</formula>
    </cfRule>
  </conditionalFormatting>
  <conditionalFormatting sqref="G42:I43 H64:I64">
    <cfRule type="expression" dxfId="95" priority="87">
      <formula>$H$64&gt;0</formula>
    </cfRule>
    <cfRule type="expression" dxfId="94" priority="88">
      <formula>$H$64&lt;0</formula>
    </cfRule>
  </conditionalFormatting>
  <conditionalFormatting sqref="J42:L43 K64:L64">
    <cfRule type="expression" dxfId="93" priority="85">
      <formula>$K$64&gt;0</formula>
    </cfRule>
    <cfRule type="expression" dxfId="92" priority="86">
      <formula>$K$64&lt;0</formula>
    </cfRule>
  </conditionalFormatting>
  <conditionalFormatting sqref="M42:O43 N64:O64">
    <cfRule type="expression" dxfId="91" priority="83">
      <formula>$N$64&gt;0</formula>
    </cfRule>
    <cfRule type="expression" dxfId="90" priority="84">
      <formula>$N$64&lt;0</formula>
    </cfRule>
  </conditionalFormatting>
  <conditionalFormatting sqref="G2:I3">
    <cfRule type="expression" dxfId="89" priority="8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" priority="8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87" priority="10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6" priority="10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85" priority="10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4" priority="11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83" priority="11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2" priority="11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81" priority="11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0" priority="11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79" priority="73">
      <formula>AND($N71 &gt; 0, ISNUMBER($N71))</formula>
    </cfRule>
    <cfRule type="expression" dxfId="78" priority="74">
      <formula>AND($N71 &lt; 0, ISNUMBER($N71))</formula>
    </cfRule>
    <cfRule type="expression" dxfId="77" priority="75">
      <formula>AND($K71 &gt; 0, ISNUMBER($K71))</formula>
    </cfRule>
    <cfRule type="expression" dxfId="76" priority="76">
      <formula>AND($K71 &lt; 0, ISNUMBER($K71))</formula>
    </cfRule>
    <cfRule type="expression" dxfId="75" priority="77">
      <formula>AND($H71 &gt; 0, ISNUMBER($H71))</formula>
    </cfRule>
    <cfRule type="expression" dxfId="74" priority="78">
      <formula>AND($H71 &lt; 0, ISNUMBER($H71))</formula>
    </cfRule>
    <cfRule type="expression" dxfId="73" priority="79">
      <formula>AND($E71 &gt; 0, ISNUMBER($E71))</formula>
    </cfRule>
    <cfRule type="expression" dxfId="72" priority="80">
      <formula>AND($E71 &lt; 0, ISNUMBER($E71))</formula>
    </cfRule>
  </conditionalFormatting>
  <conditionalFormatting sqref="D69:F70 E91:F91">
    <cfRule type="expression" dxfId="71" priority="71">
      <formula>$E$64&gt;0</formula>
    </cfRule>
    <cfRule type="expression" dxfId="70" priority="72">
      <formula>$E$64&lt;0</formula>
    </cfRule>
  </conditionalFormatting>
  <conditionalFormatting sqref="G69:I70 H91:I91">
    <cfRule type="expression" dxfId="69" priority="69">
      <formula>$H$64&gt;0</formula>
    </cfRule>
    <cfRule type="expression" dxfId="68" priority="70">
      <formula>$H$64&lt;0</formula>
    </cfRule>
  </conditionalFormatting>
  <conditionalFormatting sqref="J69:L70 K91:L91">
    <cfRule type="expression" dxfId="67" priority="67">
      <formula>$K$64&gt;0</formula>
    </cfRule>
    <cfRule type="expression" dxfId="66" priority="68">
      <formula>$K$64&lt;0</formula>
    </cfRule>
  </conditionalFormatting>
  <conditionalFormatting sqref="M69:O70 N91:O91">
    <cfRule type="expression" dxfId="65" priority="65">
      <formula>$N$64&gt;0</formula>
    </cfRule>
    <cfRule type="expression" dxfId="64" priority="66">
      <formula>$N$64&lt;0</formula>
    </cfRule>
  </conditionalFormatting>
  <conditionalFormatting sqref="A98:O117">
    <cfRule type="expression" dxfId="63" priority="57">
      <formula>AND($N98 &gt; 0, ISNUMBER($N98))</formula>
    </cfRule>
    <cfRule type="expression" dxfId="62" priority="58">
      <formula>AND($N98 &lt; 0, ISNUMBER($N98))</formula>
    </cfRule>
    <cfRule type="expression" dxfId="61" priority="59">
      <formula>AND($K98 &gt; 0, ISNUMBER($K98))</formula>
    </cfRule>
    <cfRule type="expression" dxfId="60" priority="60">
      <formula>AND($K98 &lt; 0, ISNUMBER($K98))</formula>
    </cfRule>
    <cfRule type="expression" dxfId="59" priority="61">
      <formula>AND($H98 &gt; 0, ISNUMBER($H98))</formula>
    </cfRule>
    <cfRule type="expression" dxfId="58" priority="62">
      <formula>AND($H98 &lt; 0, ISNUMBER($H98))</formula>
    </cfRule>
    <cfRule type="expression" dxfId="57" priority="63">
      <formula>AND($E98 &gt; 0, ISNUMBER($E98))</formula>
    </cfRule>
    <cfRule type="expression" dxfId="56" priority="64">
      <formula>AND($E98 &lt; 0, ISNUMBER($E98))</formula>
    </cfRule>
  </conditionalFormatting>
  <conditionalFormatting sqref="D96:F97 E118:F118">
    <cfRule type="expression" dxfId="55" priority="55">
      <formula>$E$64&gt;0</formula>
    </cfRule>
    <cfRule type="expression" dxfId="54" priority="56">
      <formula>$E$64&lt;0</formula>
    </cfRule>
  </conditionalFormatting>
  <conditionalFormatting sqref="G96:I97 H118:I118">
    <cfRule type="expression" dxfId="53" priority="53">
      <formula>$H$64&gt;0</formula>
    </cfRule>
    <cfRule type="expression" dxfId="52" priority="54">
      <formula>$H$64&lt;0</formula>
    </cfRule>
  </conditionalFormatting>
  <conditionalFormatting sqref="J96:L97 K118:L118">
    <cfRule type="expression" dxfId="51" priority="51">
      <formula>$K$64&gt;0</formula>
    </cfRule>
    <cfRule type="expression" dxfId="50" priority="52">
      <formula>$K$64&lt;0</formula>
    </cfRule>
  </conditionalFormatting>
  <conditionalFormatting sqref="M96:O97 N118:O118">
    <cfRule type="expression" dxfId="49" priority="49">
      <formula>$N$64&gt;0</formula>
    </cfRule>
    <cfRule type="expression" dxfId="48" priority="50">
      <formula>$N$64&lt;0</formula>
    </cfRule>
  </conditionalFormatting>
  <conditionalFormatting sqref="A125:O144">
    <cfRule type="expression" dxfId="47" priority="41">
      <formula>AND($N125 &gt; 0, ISNUMBER($N125))</formula>
    </cfRule>
    <cfRule type="expression" dxfId="46" priority="42">
      <formula>AND($N125 &lt; 0, ISNUMBER($N125))</formula>
    </cfRule>
    <cfRule type="expression" dxfId="45" priority="43">
      <formula>AND($K125 &gt; 0, ISNUMBER($K125))</formula>
    </cfRule>
    <cfRule type="expression" dxfId="44" priority="44">
      <formula>AND($K125 &lt; 0, ISNUMBER($K125))</formula>
    </cfRule>
    <cfRule type="expression" dxfId="43" priority="45">
      <formula>AND($H125 &gt; 0, ISNUMBER($H125))</formula>
    </cfRule>
    <cfRule type="expression" dxfId="42" priority="46">
      <formula>AND($H125 &lt; 0, ISNUMBER($H125))</formula>
    </cfRule>
    <cfRule type="expression" dxfId="41" priority="47">
      <formula>AND($E125 &gt; 0, ISNUMBER($E125))</formula>
    </cfRule>
    <cfRule type="expression" dxfId="40" priority="48">
      <formula>AND($E125 &lt; 0, ISNUMBER($E125))</formula>
    </cfRule>
  </conditionalFormatting>
  <conditionalFormatting sqref="D123:F124 E145:F145">
    <cfRule type="expression" dxfId="39" priority="39">
      <formula>$E$64&gt;0</formula>
    </cfRule>
    <cfRule type="expression" dxfId="38" priority="40">
      <formula>$E$64&lt;0</formula>
    </cfRule>
  </conditionalFormatting>
  <conditionalFormatting sqref="G123:I124 H145:I145">
    <cfRule type="expression" dxfId="37" priority="37">
      <formula>$H$64&gt;0</formula>
    </cfRule>
    <cfRule type="expression" dxfId="36" priority="38">
      <formula>$H$64&lt;0</formula>
    </cfRule>
  </conditionalFormatting>
  <conditionalFormatting sqref="J123:L124 K145:L145">
    <cfRule type="expression" dxfId="35" priority="35">
      <formula>$K$64&gt;0</formula>
    </cfRule>
    <cfRule type="expression" dxfId="34" priority="36">
      <formula>$K$64&lt;0</formula>
    </cfRule>
  </conditionalFormatting>
  <conditionalFormatting sqref="M123:O124 N145:O145">
    <cfRule type="expression" dxfId="33" priority="33">
      <formula>$N$64&gt;0</formula>
    </cfRule>
    <cfRule type="expression" dxfId="32" priority="34">
      <formula>$N$64&lt;0</formula>
    </cfRule>
  </conditionalFormatting>
  <conditionalFormatting sqref="A152:O171">
    <cfRule type="expression" dxfId="31" priority="25">
      <formula>AND($N152 &gt; 0, ISNUMBER($N152))</formula>
    </cfRule>
    <cfRule type="expression" dxfId="30" priority="26">
      <formula>AND($N152 &lt; 0, ISNUMBER($N152))</formula>
    </cfRule>
    <cfRule type="expression" dxfId="29" priority="27">
      <formula>AND($K152 &gt; 0, ISNUMBER($K152))</formula>
    </cfRule>
    <cfRule type="expression" dxfId="28" priority="28">
      <formula>AND($K152 &lt; 0, ISNUMBER($K152))</formula>
    </cfRule>
    <cfRule type="expression" dxfId="27" priority="29">
      <formula>AND($H152 &gt; 0, ISNUMBER($H152))</formula>
    </cfRule>
    <cfRule type="expression" dxfId="26" priority="30">
      <formula>AND($H152 &lt; 0, ISNUMBER($H152))</formula>
    </cfRule>
    <cfRule type="expression" dxfId="25" priority="31">
      <formula>AND($E152 &gt; 0, ISNUMBER($E152))</formula>
    </cfRule>
    <cfRule type="expression" dxfId="24" priority="32">
      <formula>AND($E152 &lt; 0, ISNUMBER($E152))</formula>
    </cfRule>
  </conditionalFormatting>
  <conditionalFormatting sqref="D150:F151 E172:F172">
    <cfRule type="expression" dxfId="23" priority="23">
      <formula>$E$64&gt;0</formula>
    </cfRule>
    <cfRule type="expression" dxfId="22" priority="24">
      <formula>$E$64&lt;0</formula>
    </cfRule>
  </conditionalFormatting>
  <conditionalFormatting sqref="G150:I151 H172:I172">
    <cfRule type="expression" dxfId="21" priority="21">
      <formula>$H$64&gt;0</formula>
    </cfRule>
    <cfRule type="expression" dxfId="20" priority="22">
      <formula>$H$64&lt;0</formula>
    </cfRule>
  </conditionalFormatting>
  <conditionalFormatting sqref="J150:L151 K172:L172">
    <cfRule type="expression" dxfId="19" priority="19">
      <formula>$K$64&gt;0</formula>
    </cfRule>
    <cfRule type="expression" dxfId="18" priority="20">
      <formula>$K$64&lt;0</formula>
    </cfRule>
  </conditionalFormatting>
  <conditionalFormatting sqref="M150:O151 N172:O172">
    <cfRule type="expression" dxfId="17" priority="17">
      <formula>$N$64&gt;0</formula>
    </cfRule>
    <cfRule type="expression" dxfId="16" priority="18">
      <formula>$N$64&lt;0</formula>
    </cfRule>
  </conditionalFormatting>
  <conditionalFormatting sqref="A179:O198">
    <cfRule type="expression" dxfId="15" priority="9">
      <formula>AND($N179 &gt; 0, ISNUMBER($N179))</formula>
    </cfRule>
    <cfRule type="expression" dxfId="14" priority="10">
      <formula>AND($N179 &lt; 0, ISNUMBER($N179))</formula>
    </cfRule>
    <cfRule type="expression" dxfId="13" priority="11">
      <formula>AND($K179 &gt; 0, ISNUMBER($K179))</formula>
    </cfRule>
    <cfRule type="expression" dxfId="12" priority="12">
      <formula>AND($K179 &lt; 0, ISNUMBER($K179))</formula>
    </cfRule>
    <cfRule type="expression" dxfId="11" priority="13">
      <formula>AND($H179 &gt; 0, ISNUMBER($H179))</formula>
    </cfRule>
    <cfRule type="expression" dxfId="10" priority="14">
      <formula>AND($H179 &lt; 0, ISNUMBER($H179))</formula>
    </cfRule>
    <cfRule type="expression" dxfId="9" priority="15">
      <formula>AND($E179 &gt; 0, ISNUMBER($E179))</formula>
    </cfRule>
    <cfRule type="expression" dxfId="8" priority="16">
      <formula>AND($E179 &lt; 0, ISNUMBER($E179))</formula>
    </cfRule>
  </conditionalFormatting>
  <conditionalFormatting sqref="D177:F178 E199:F199">
    <cfRule type="expression" dxfId="7" priority="7">
      <formula>$E$64&gt;0</formula>
    </cfRule>
    <cfRule type="expression" dxfId="6" priority="8">
      <formula>$E$64&lt;0</formula>
    </cfRule>
  </conditionalFormatting>
  <conditionalFormatting sqref="G177:I178 H199:I199">
    <cfRule type="expression" dxfId="5" priority="5">
      <formula>$H$64&gt;0</formula>
    </cfRule>
    <cfRule type="expression" dxfId="4" priority="6">
      <formula>$H$64&lt;0</formula>
    </cfRule>
  </conditionalFormatting>
  <conditionalFormatting sqref="J177:L178 K199:L199">
    <cfRule type="expression" dxfId="3" priority="3">
      <formula>$K$64&gt;0</formula>
    </cfRule>
    <cfRule type="expression" dxfId="2" priority="4">
      <formula>$K$64&lt;0</formula>
    </cfRule>
  </conditionalFormatting>
  <conditionalFormatting sqref="M177:O178 N199:O199">
    <cfRule type="expression" dxfId="1" priority="1">
      <formula>$N$64&gt;0</formula>
    </cfRule>
    <cfRule type="expression" dxfId="0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투자전략</vt:lpstr>
      <vt:lpstr>월말정산</vt:lpstr>
      <vt:lpstr>현재가테이블</vt:lpstr>
      <vt:lpstr>종목선정</vt:lpstr>
      <vt:lpstr>2021.05.01</vt:lpstr>
      <vt:lpstr>2021.05.02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정영도</cp:lastModifiedBy>
  <dcterms:created xsi:type="dcterms:W3CDTF">2021-04-11T14:11:55Z</dcterms:created>
  <dcterms:modified xsi:type="dcterms:W3CDTF">2021-05-02T06:39:00Z</dcterms:modified>
</cp:coreProperties>
</file>